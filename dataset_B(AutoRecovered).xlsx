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RAJ BAJAJ\project 1 inter\"/>
    </mc:Choice>
  </mc:AlternateContent>
  <xr:revisionPtr revIDLastSave="0" documentId="13_ncr:1_{F536019A-3E9A-4960-924C-6C742027BBEC}" xr6:coauthVersionLast="47" xr6:coauthVersionMax="47" xr10:uidLastSave="{00000000-0000-0000-0000-000000000000}"/>
  <bookViews>
    <workbookView xWindow="-108" yWindow="-108" windowWidth="23256" windowHeight="13176" activeTab="1" xr2:uid="{00000000-000D-0000-FFFF-FFFF00000000}"/>
  </bookViews>
  <sheets>
    <sheet name="dataset_a" sheetId="2" r:id="rId1"/>
    <sheet name="dashboard" sheetId="6" r:id="rId2"/>
    <sheet name="Analysis " sheetId="4" r:id="rId3"/>
    <sheet name="forecast" sheetId="5" r:id="rId4"/>
  </sheets>
  <definedNames>
    <definedName name="NativeTimeline_dteday">#N/A</definedName>
    <definedName name="Slicer_holiday">#N/A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 l="1" a="1"/>
  <c r="S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c r="S70" i="2" a="1"/>
  <c r="S70" i="2" s="1"/>
  <c r="S71" i="2" a="1"/>
  <c r="S71" i="2" s="1"/>
  <c r="S72" i="2" a="1"/>
  <c r="S72" i="2" s="1"/>
  <c r="S73" i="2" a="1"/>
  <c r="S73" i="2" s="1"/>
  <c r="S74" i="2" a="1"/>
  <c r="S74" i="2" s="1"/>
  <c r="S75" i="2" a="1"/>
  <c r="S75" i="2"/>
  <c r="S76" i="2" a="1"/>
  <c r="S76" i="2" s="1"/>
  <c r="S77" i="2" a="1"/>
  <c r="S77" i="2" s="1"/>
  <c r="S78" i="2" a="1"/>
  <c r="S78" i="2"/>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c r="S142" i="2" a="1"/>
  <c r="S142" i="2" s="1"/>
  <c r="S143" i="2" a="1"/>
  <c r="S143" i="2" s="1"/>
  <c r="S144" i="2" a="1"/>
  <c r="S144" i="2" s="1"/>
  <c r="S145" i="2" a="1"/>
  <c r="S145" i="2" s="1"/>
  <c r="S146" i="2" a="1"/>
  <c r="S146" i="2" s="1"/>
  <c r="S147" i="2" a="1"/>
  <c r="S147" i="2" s="1"/>
  <c r="S148" i="2" a="1"/>
  <c r="S148" i="2" s="1"/>
  <c r="S149" i="2" a="1"/>
  <c r="S149" i="2" s="1"/>
  <c r="S150" i="2" a="1"/>
  <c r="S150" i="2"/>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c r="S175" i="2" a="1"/>
  <c r="S175" i="2" s="1"/>
  <c r="S176" i="2" a="1"/>
  <c r="S176" i="2" s="1"/>
  <c r="S177" i="2" a="1"/>
  <c r="S177" i="2" s="1"/>
  <c r="S178" i="2" a="1"/>
  <c r="S178" i="2" s="1"/>
  <c r="S179" i="2" a="1"/>
  <c r="S179" i="2"/>
  <c r="S180" i="2" a="1"/>
  <c r="S180" i="2" s="1"/>
  <c r="S181" i="2" a="1"/>
  <c r="S181" i="2" s="1"/>
  <c r="S182" i="2" a="1"/>
  <c r="S182" i="2" s="1"/>
  <c r="S183" i="2" a="1"/>
  <c r="S183" i="2" s="1"/>
  <c r="S184" i="2" a="1"/>
  <c r="S184" i="2" s="1"/>
  <c r="S185" i="2" a="1"/>
  <c r="S185" i="2" s="1"/>
  <c r="S186" i="2" a="1"/>
  <c r="S186" i="2"/>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c r="S211" i="2" a="1"/>
  <c r="S211" i="2" s="1"/>
  <c r="S212" i="2" a="1"/>
  <c r="S212" i="2" s="1"/>
  <c r="S213" i="2" a="1"/>
  <c r="S213" i="2"/>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c r="S259" i="2" a="1"/>
  <c r="S259" i="2" s="1"/>
  <c r="S260" i="2" a="1"/>
  <c r="S260" i="2" s="1"/>
  <c r="S261" i="2" a="1"/>
  <c r="S261" i="2" s="1"/>
  <c r="S262" i="2" a="1"/>
  <c r="S262" i="2" s="1"/>
  <c r="S263" i="2" a="1"/>
  <c r="S263" i="2" s="1"/>
  <c r="S264" i="2" a="1"/>
  <c r="S264" i="2" s="1"/>
  <c r="S265" i="2" a="1"/>
  <c r="S265" i="2" s="1"/>
  <c r="S266" i="2" a="1"/>
  <c r="S266" i="2" s="1"/>
  <c r="S267" i="2" a="1"/>
  <c r="S267" i="2"/>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c r="S280" i="2" a="1"/>
  <c r="S280" i="2" s="1"/>
  <c r="S281" i="2" a="1"/>
  <c r="S281" i="2" s="1"/>
  <c r="S282" i="2" a="1"/>
  <c r="S282" i="2" s="1"/>
  <c r="S283" i="2" a="1"/>
  <c r="S283" i="2" s="1"/>
  <c r="S284" i="2" a="1"/>
  <c r="S284" i="2" s="1"/>
  <c r="S285" i="2" a="1"/>
  <c r="S285" i="2" s="1"/>
  <c r="S286" i="2" a="1"/>
  <c r="S286" i="2" s="1"/>
  <c r="S287" i="2" a="1"/>
  <c r="S287" i="2" s="1"/>
  <c r="S288" i="2" a="1"/>
  <c r="S288" i="2"/>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c r="S302" i="2" a="1"/>
  <c r="S302" i="2" s="1"/>
  <c r="S303" i="2" a="1"/>
  <c r="S303" i="2" s="1"/>
  <c r="S304" i="2" a="1"/>
  <c r="S304" i="2" s="1"/>
  <c r="S305" i="2" a="1"/>
  <c r="S305" i="2" s="1"/>
  <c r="S306" i="2" a="1"/>
  <c r="S306" i="2" s="1"/>
  <c r="S307" i="2" a="1"/>
  <c r="S307" i="2" s="1"/>
  <c r="S308" i="2" a="1"/>
  <c r="S308" i="2" s="1"/>
  <c r="S309" i="2" a="1"/>
  <c r="S309" i="2" s="1"/>
  <c r="S310" i="2" a="1"/>
  <c r="S310" i="2" s="1"/>
  <c r="S311" i="2" a="1"/>
  <c r="S311" i="2"/>
  <c r="S312" i="2" a="1"/>
  <c r="S312" i="2" s="1"/>
  <c r="S313" i="2" a="1"/>
  <c r="S313" i="2" s="1"/>
  <c r="S314" i="2" a="1"/>
  <c r="S314" i="2" s="1"/>
  <c r="S315" i="2" a="1"/>
  <c r="S315" i="2" s="1"/>
  <c r="S316" i="2" a="1"/>
  <c r="S316" i="2" s="1"/>
  <c r="S317" i="2" a="1"/>
  <c r="S317" i="2" s="1"/>
  <c r="S318" i="2" a="1"/>
  <c r="S318" i="2" s="1"/>
  <c r="S319" i="2" a="1"/>
  <c r="S319" i="2" s="1"/>
  <c r="S320" i="2" a="1"/>
  <c r="S320" i="2" s="1"/>
  <c r="S321" i="2" a="1"/>
  <c r="S321" i="2"/>
  <c r="S322" i="2" a="1"/>
  <c r="S322" i="2" s="1"/>
  <c r="S323" i="2" a="1"/>
  <c r="S323" i="2" s="1"/>
  <c r="S324" i="2" a="1"/>
  <c r="S324" i="2" s="1"/>
  <c r="S325" i="2" a="1"/>
  <c r="S325" i="2" s="1"/>
  <c r="S326" i="2" a="1"/>
  <c r="S326" i="2" s="1"/>
  <c r="S327" i="2" a="1"/>
  <c r="S327" i="2" s="1"/>
  <c r="S328" i="2" a="1"/>
  <c r="S328" i="2" s="1"/>
  <c r="S329" i="2" a="1"/>
  <c r="S329" i="2" s="1"/>
  <c r="S330" i="2" a="1"/>
  <c r="S330" i="2"/>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c r="S400" i="2" a="1"/>
  <c r="S400" i="2" s="1"/>
  <c r="S401" i="2" a="1"/>
  <c r="S401" i="2" s="1"/>
  <c r="S402" i="2" a="1"/>
  <c r="S402" i="2" s="1"/>
  <c r="S403" i="2" a="1"/>
  <c r="S403" i="2" s="1"/>
  <c r="S404" i="2" a="1"/>
  <c r="S404" i="2" s="1"/>
  <c r="S405" i="2" a="1"/>
  <c r="S405" i="2" s="1"/>
  <c r="S406" i="2" a="1"/>
  <c r="S406" i="2" s="1"/>
  <c r="S407" i="2" a="1"/>
  <c r="S407" i="2" s="1"/>
  <c r="S408" i="2" a="1"/>
  <c r="S408" i="2" s="1"/>
  <c r="S409" i="2" a="1"/>
  <c r="S409" i="2"/>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c r="S440" i="2" a="1"/>
  <c r="S440" i="2" s="1"/>
  <c r="S441" i="2" a="1"/>
  <c r="S441" i="2" s="1"/>
  <c r="S442" i="2" a="1"/>
  <c r="S442" i="2" s="1"/>
  <c r="S443" i="2" a="1"/>
  <c r="S443" i="2" s="1"/>
  <c r="S444" i="2" a="1"/>
  <c r="S444" i="2" s="1"/>
  <c r="S445" i="2" a="1"/>
  <c r="S445" i="2" s="1"/>
  <c r="S446" i="2" a="1"/>
  <c r="S446" i="2" s="1"/>
  <c r="S447" i="2" a="1"/>
  <c r="S447" i="2" s="1"/>
  <c r="S448" i="2" a="1"/>
  <c r="S448" i="2" s="1"/>
  <c r="S449" i="2" a="1"/>
  <c r="S449" i="2" s="1"/>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c r="S524" i="2" a="1"/>
  <c r="S524" i="2" s="1"/>
  <c r="S525" i="2" a="1"/>
  <c r="S525" i="2" s="1"/>
  <c r="S526" i="2" a="1"/>
  <c r="S526" i="2" s="1"/>
  <c r="S527" i="2" a="1"/>
  <c r="S527" i="2" s="1"/>
  <c r="S528" i="2" a="1"/>
  <c r="S528" i="2" s="1"/>
  <c r="S529" i="2" a="1"/>
  <c r="S529" i="2" s="1"/>
  <c r="S530" i="2" a="1"/>
  <c r="S530" i="2" s="1"/>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s="1"/>
  <c r="S560" i="2" a="1"/>
  <c r="S560" i="2" s="1"/>
  <c r="S561" i="2" a="1"/>
  <c r="S561" i="2" s="1"/>
  <c r="S562" i="2" a="1"/>
  <c r="S562" i="2" s="1"/>
  <c r="S563" i="2" a="1"/>
  <c r="S563" i="2" s="1"/>
  <c r="S564" i="2" a="1"/>
  <c r="S564" i="2" s="1"/>
  <c r="S565" i="2" a="1"/>
  <c r="S565" i="2" s="1"/>
  <c r="S566" i="2" a="1"/>
  <c r="S566" i="2" s="1"/>
  <c r="S567" i="2" a="1"/>
  <c r="S567" i="2" s="1"/>
  <c r="S568" i="2" a="1"/>
  <c r="S568" i="2" s="1"/>
  <c r="S569" i="2" a="1"/>
  <c r="S569" i="2" s="1"/>
  <c r="S570" i="2" a="1"/>
  <c r="S570" i="2" s="1"/>
  <c r="S571" i="2" a="1"/>
  <c r="S571" i="2"/>
  <c r="S572" i="2" a="1"/>
  <c r="S572" i="2" s="1"/>
  <c r="S573" i="2" a="1"/>
  <c r="S573" i="2" s="1"/>
  <c r="S574" i="2" a="1"/>
  <c r="S574" i="2" s="1"/>
  <c r="S575" i="2" a="1"/>
  <c r="S575" i="2" s="1"/>
  <c r="S576" i="2" a="1"/>
  <c r="S576" i="2" s="1"/>
  <c r="S577" i="2" a="1"/>
  <c r="S577" i="2"/>
  <c r="S578" i="2" a="1"/>
  <c r="S578" i="2" s="1"/>
  <c r="S579" i="2" a="1"/>
  <c r="S579" i="2" s="1"/>
  <c r="S580" i="2" a="1"/>
  <c r="S580" i="2" s="1"/>
  <c r="S581" i="2" a="1"/>
  <c r="S581" i="2" s="1"/>
  <c r="S582" i="2" a="1"/>
  <c r="S582" i="2" s="1"/>
  <c r="S583" i="2" a="1"/>
  <c r="S583" i="2" s="1"/>
  <c r="S584" i="2" a="1"/>
  <c r="S584" i="2" s="1"/>
  <c r="S585" i="2" a="1"/>
  <c r="S585" i="2" s="1"/>
  <c r="S586" i="2" a="1"/>
  <c r="S586" i="2" s="1"/>
  <c r="S587" i="2" a="1"/>
  <c r="S587" i="2" s="1"/>
  <c r="S588" i="2" a="1"/>
  <c r="S588" i="2"/>
  <c r="S589" i="2" a="1"/>
  <c r="S589" i="2" s="1"/>
  <c r="S590" i="2" a="1"/>
  <c r="S590" i="2"/>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s="1"/>
  <c r="S654" i="2" a="1"/>
  <c r="S654" i="2" s="1"/>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c r="S669" i="2" a="1"/>
  <c r="S669" i="2" s="1"/>
  <c r="S670" i="2" a="1"/>
  <c r="S670" i="2" s="1"/>
  <c r="S671" i="2" a="1"/>
  <c r="S671" i="2" s="1"/>
  <c r="S672" i="2" a="1"/>
  <c r="S672" i="2" s="1"/>
  <c r="S673" i="2" a="1"/>
  <c r="S673" i="2" s="1"/>
  <c r="S674" i="2" a="1"/>
  <c r="S674" i="2" s="1"/>
  <c r="S675" i="2" a="1"/>
  <c r="S675" i="2" s="1"/>
  <c r="S676" i="2" a="1"/>
  <c r="S676" i="2" s="1"/>
  <c r="S677" i="2" a="1"/>
  <c r="S677" i="2" s="1"/>
  <c r="S678" i="2" a="1"/>
  <c r="S678" i="2" s="1"/>
  <c r="S679" i="2" a="1"/>
  <c r="S679" i="2" s="1"/>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s="1"/>
  <c r="S698" i="2" a="1"/>
  <c r="S698" i="2" s="1"/>
  <c r="S699" i="2" a="1"/>
  <c r="S699" i="2" s="1"/>
  <c r="S700" i="2" a="1"/>
  <c r="S700" i="2" s="1"/>
  <c r="S701" i="2" a="1"/>
  <c r="S701" i="2" s="1"/>
  <c r="S702" i="2" a="1"/>
  <c r="S702" i="2" s="1"/>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s="1"/>
  <c r="S728" i="2" a="1"/>
  <c r="S728" i="2" s="1"/>
  <c r="S729" i="2" a="1"/>
  <c r="S729" i="2" s="1"/>
  <c r="S730" i="2" a="1"/>
  <c r="S730" i="2" s="1"/>
  <c r="S731" i="2" a="1"/>
  <c r="S731" i="2" s="1"/>
  <c r="S732" i="2" a="1"/>
  <c r="S732" i="2" s="1"/>
  <c r="S733" i="2" a="1"/>
  <c r="S733" i="2" s="1"/>
  <c r="S734" i="2" a="1"/>
  <c r="S734" i="2"/>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c r="S757" i="2" a="1"/>
  <c r="S757" i="2" s="1"/>
  <c r="S758" i="2" a="1"/>
  <c r="S758" i="2" s="1"/>
  <c r="S759" i="2" a="1"/>
  <c r="S759" i="2" s="1"/>
  <c r="S760" i="2" a="1"/>
  <c r="S760" i="2" s="1"/>
  <c r="S761" i="2" a="1"/>
  <c r="S761" i="2" s="1"/>
  <c r="S762" i="2" a="1"/>
  <c r="S762" i="2" s="1"/>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c r="S787" i="2" a="1"/>
  <c r="S787" i="2" s="1"/>
  <c r="S788" i="2" a="1"/>
  <c r="S788" i="2" s="1"/>
  <c r="S789" i="2" a="1"/>
  <c r="S789" i="2" s="1"/>
  <c r="S790" i="2" a="1"/>
  <c r="S790" i="2" s="1"/>
  <c r="S791" i="2" a="1"/>
  <c r="S791" i="2" s="1"/>
  <c r="S792" i="2" a="1"/>
  <c r="S792" i="2" s="1"/>
  <c r="S793" i="2" a="1"/>
  <c r="S793" i="2" s="1"/>
  <c r="S794" i="2" a="1"/>
  <c r="S794" i="2"/>
  <c r="S795" i="2" a="1"/>
  <c r="S795" i="2" s="1"/>
  <c r="S796" i="2" a="1"/>
  <c r="S796" i="2" s="1"/>
  <c r="S797" i="2" a="1"/>
  <c r="S797" i="2" s="1"/>
  <c r="S798" i="2" a="1"/>
  <c r="S798" i="2" s="1"/>
  <c r="S799" i="2" a="1"/>
  <c r="S799" i="2" s="1"/>
  <c r="S800" i="2" a="1"/>
  <c r="S800" i="2" s="1"/>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s="1"/>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s="1"/>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s="1"/>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s="1"/>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s="1"/>
  <c r="S970" i="2" a="1"/>
  <c r="S970" i="2" s="1"/>
  <c r="S971" i="2" a="1"/>
  <c r="S971" i="2" s="1"/>
  <c r="S972" i="2" a="1"/>
  <c r="S972" i="2" s="1"/>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s="1"/>
  <c r="S985" i="2" a="1"/>
  <c r="S985" i="2" s="1"/>
  <c r="S986" i="2" a="1"/>
  <c r="S986" i="2" s="1"/>
  <c r="S987" i="2" a="1"/>
  <c r="S987" i="2" s="1"/>
  <c r="S988" i="2" a="1"/>
  <c r="S988" i="2" s="1"/>
  <c r="S989" i="2" a="1"/>
  <c r="S989" i="2" s="1"/>
  <c r="S990" i="2" a="1"/>
  <c r="S990" i="2" s="1"/>
  <c r="S991" i="2" a="1"/>
  <c r="S991" i="2" s="1"/>
  <c r="S992" i="2" a="1"/>
  <c r="S992" i="2" s="1"/>
  <c r="S993" i="2" a="1"/>
  <c r="S993" i="2" s="1"/>
  <c r="S994" i="2" a="1"/>
  <c r="S994" i="2" s="1"/>
  <c r="S995" i="2" a="1"/>
  <c r="S995" i="2" s="1"/>
  <c r="S996" i="2" a="1"/>
  <c r="S996" i="2" s="1"/>
  <c r="S997" i="2" a="1"/>
  <c r="S997" i="2" s="1"/>
  <c r="S998" i="2" a="1"/>
  <c r="S998" i="2" s="1"/>
  <c r="S999" i="2" a="1"/>
  <c r="S999" i="2" s="1"/>
  <c r="S1000" i="2" a="1"/>
  <c r="S1000" i="2" s="1"/>
  <c r="S1001" i="2" a="1"/>
  <c r="S1001" i="2"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C612" i="5"/>
  <c r="C624" i="5"/>
  <c r="C636" i="5"/>
  <c r="C648" i="5"/>
  <c r="C660" i="5"/>
  <c r="C672" i="5"/>
  <c r="C684" i="5"/>
  <c r="C696" i="5"/>
  <c r="C708" i="5"/>
  <c r="C720" i="5"/>
  <c r="C732" i="5"/>
  <c r="C744" i="5"/>
  <c r="C756" i="5"/>
  <c r="C613" i="5"/>
  <c r="C625" i="5"/>
  <c r="C637" i="5"/>
  <c r="C649" i="5"/>
  <c r="C661" i="5"/>
  <c r="C673" i="5"/>
  <c r="C685" i="5"/>
  <c r="C697" i="5"/>
  <c r="C709" i="5"/>
  <c r="C721" i="5"/>
  <c r="C733" i="5"/>
  <c r="C745" i="5"/>
  <c r="C757" i="5"/>
  <c r="C614" i="5"/>
  <c r="C626" i="5"/>
  <c r="C638" i="5"/>
  <c r="C650" i="5"/>
  <c r="C662" i="5"/>
  <c r="C674" i="5"/>
  <c r="C686" i="5"/>
  <c r="C698" i="5"/>
  <c r="C710" i="5"/>
  <c r="C722" i="5"/>
  <c r="C734" i="5"/>
  <c r="C746" i="5"/>
  <c r="C758" i="5"/>
  <c r="C615" i="5"/>
  <c r="C627" i="5"/>
  <c r="C639" i="5"/>
  <c r="C651" i="5"/>
  <c r="C663" i="5"/>
  <c r="C675" i="5"/>
  <c r="C687" i="5"/>
  <c r="C699" i="5"/>
  <c r="C711" i="5"/>
  <c r="C723" i="5"/>
  <c r="C735" i="5"/>
  <c r="C747" i="5"/>
  <c r="C759" i="5"/>
  <c r="C616" i="5"/>
  <c r="C628" i="5"/>
  <c r="C640" i="5"/>
  <c r="C652" i="5"/>
  <c r="C664" i="5"/>
  <c r="C676" i="5"/>
  <c r="C688" i="5"/>
  <c r="C700" i="5"/>
  <c r="C712" i="5"/>
  <c r="C724" i="5"/>
  <c r="C736" i="5"/>
  <c r="C748" i="5"/>
  <c r="C760" i="5"/>
  <c r="C617" i="5"/>
  <c r="C629" i="5"/>
  <c r="C641" i="5"/>
  <c r="C653" i="5"/>
  <c r="C665" i="5"/>
  <c r="C677" i="5"/>
  <c r="C689" i="5"/>
  <c r="C701" i="5"/>
  <c r="C713" i="5"/>
  <c r="C725" i="5"/>
  <c r="C737" i="5"/>
  <c r="C749" i="5"/>
  <c r="C761" i="5"/>
  <c r="C618" i="5"/>
  <c r="C630" i="5"/>
  <c r="C642" i="5"/>
  <c r="C654" i="5"/>
  <c r="C666" i="5"/>
  <c r="C678" i="5"/>
  <c r="C690" i="5"/>
  <c r="C702" i="5"/>
  <c r="C714" i="5"/>
  <c r="C726" i="5"/>
  <c r="C738" i="5"/>
  <c r="C750" i="5"/>
  <c r="C762" i="5"/>
  <c r="C619" i="5"/>
  <c r="C631" i="5"/>
  <c r="C643" i="5"/>
  <c r="C655" i="5"/>
  <c r="C667" i="5"/>
  <c r="C679" i="5"/>
  <c r="C691" i="5"/>
  <c r="C703" i="5"/>
  <c r="C715" i="5"/>
  <c r="C727" i="5"/>
  <c r="C739" i="5"/>
  <c r="C751" i="5"/>
  <c r="C763" i="5"/>
  <c r="C620" i="5"/>
  <c r="C632" i="5"/>
  <c r="C644" i="5"/>
  <c r="C656" i="5"/>
  <c r="C668" i="5"/>
  <c r="C680" i="5"/>
  <c r="C692" i="5"/>
  <c r="C704" i="5"/>
  <c r="C716" i="5"/>
  <c r="C728" i="5"/>
  <c r="C740" i="5"/>
  <c r="C752" i="5"/>
  <c r="C764" i="5"/>
  <c r="C621" i="5"/>
  <c r="C633" i="5"/>
  <c r="C645" i="5"/>
  <c r="C657" i="5"/>
  <c r="C669" i="5"/>
  <c r="C681" i="5"/>
  <c r="C693" i="5"/>
  <c r="C705" i="5"/>
  <c r="C717" i="5"/>
  <c r="C729" i="5"/>
  <c r="C741" i="5"/>
  <c r="C753" i="5"/>
  <c r="C622" i="5"/>
  <c r="C634" i="5"/>
  <c r="C646" i="5"/>
  <c r="C658" i="5"/>
  <c r="C670" i="5"/>
  <c r="C682" i="5"/>
  <c r="C694" i="5"/>
  <c r="C706" i="5"/>
  <c r="C718" i="5"/>
  <c r="C730" i="5"/>
  <c r="C742" i="5"/>
  <c r="C754" i="5"/>
  <c r="C623" i="5"/>
  <c r="C635" i="5"/>
  <c r="C647" i="5"/>
  <c r="C659" i="5"/>
  <c r="C671" i="5"/>
  <c r="C683" i="5"/>
  <c r="C695" i="5"/>
  <c r="C707" i="5"/>
  <c r="C719" i="5"/>
  <c r="C731" i="5"/>
  <c r="C743" i="5"/>
  <c r="C755" i="5"/>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E755" i="5"/>
  <c r="E683" i="5"/>
  <c r="E754" i="5"/>
  <c r="E682" i="5"/>
  <c r="E753" i="5"/>
  <c r="E681" i="5"/>
  <c r="E764" i="5"/>
  <c r="E692" i="5"/>
  <c r="E620" i="5"/>
  <c r="D703" i="5"/>
  <c r="D631" i="5"/>
  <c r="D714" i="5"/>
  <c r="E642" i="5"/>
  <c r="D725" i="5"/>
  <c r="D653" i="5"/>
  <c r="E736" i="5"/>
  <c r="E664" i="5"/>
  <c r="E747" i="5"/>
  <c r="D675" i="5"/>
  <c r="D758" i="5"/>
  <c r="D686" i="5"/>
  <c r="E614" i="5"/>
  <c r="D697" i="5"/>
  <c r="E625" i="5"/>
  <c r="E708" i="5"/>
  <c r="E636" i="5"/>
  <c r="E717" i="5"/>
  <c r="D646" i="5"/>
  <c r="E634" i="5"/>
  <c r="D634" i="5"/>
  <c r="E622" i="5"/>
  <c r="D698" i="5"/>
  <c r="D694" i="5"/>
  <c r="E654" i="5"/>
  <c r="E698" i="5"/>
  <c r="D755" i="5"/>
  <c r="D683" i="5"/>
  <c r="D754" i="5"/>
  <c r="D682" i="5"/>
  <c r="D753" i="5"/>
  <c r="D681" i="5"/>
  <c r="D764" i="5"/>
  <c r="D692" i="5"/>
  <c r="D620" i="5"/>
  <c r="E703" i="5"/>
  <c r="E631" i="5"/>
  <c r="E714" i="5"/>
  <c r="D642" i="5"/>
  <c r="E725" i="5"/>
  <c r="E653" i="5"/>
  <c r="D736" i="5"/>
  <c r="D664" i="5"/>
  <c r="D747" i="5"/>
  <c r="E675" i="5"/>
  <c r="E758" i="5"/>
  <c r="E686" i="5"/>
  <c r="D614" i="5"/>
  <c r="E697" i="5"/>
  <c r="D625" i="5"/>
  <c r="D708" i="5"/>
  <c r="D636" i="5"/>
  <c r="E742" i="5"/>
  <c r="D652" i="5"/>
  <c r="D746" i="5"/>
  <c r="E757" i="5"/>
  <c r="D685" i="5"/>
  <c r="E696" i="5"/>
  <c r="E624" i="5"/>
  <c r="E647" i="5"/>
  <c r="E645" i="5"/>
  <c r="E656" i="5"/>
  <c r="D750" i="5"/>
  <c r="D761" i="5"/>
  <c r="D700" i="5"/>
  <c r="E711" i="5"/>
  <c r="D650" i="5"/>
  <c r="E744" i="5"/>
  <c r="D647" i="5"/>
  <c r="D645" i="5"/>
  <c r="E739" i="5"/>
  <c r="E678" i="5"/>
  <c r="E617" i="5"/>
  <c r="D711" i="5"/>
  <c r="E722" i="5"/>
  <c r="E661" i="5"/>
  <c r="E635" i="5"/>
  <c r="E633" i="5"/>
  <c r="E644" i="5"/>
  <c r="D738" i="5"/>
  <c r="D749" i="5"/>
  <c r="D616" i="5"/>
  <c r="D710" i="5"/>
  <c r="E721" i="5"/>
  <c r="E660" i="5"/>
  <c r="D635" i="5"/>
  <c r="D633" i="5"/>
  <c r="D644" i="5"/>
  <c r="E738" i="5"/>
  <c r="E749" i="5"/>
  <c r="E616" i="5"/>
  <c r="E710" i="5"/>
  <c r="E649" i="5"/>
  <c r="D660" i="5"/>
  <c r="E695" i="5"/>
  <c r="E632" i="5"/>
  <c r="D726" i="5"/>
  <c r="D665" i="5"/>
  <c r="D759" i="5"/>
  <c r="E637" i="5"/>
  <c r="D648" i="5"/>
  <c r="D622" i="5"/>
  <c r="D704" i="5"/>
  <c r="E715" i="5"/>
  <c r="E726" i="5"/>
  <c r="E676" i="5"/>
  <c r="E759" i="5"/>
  <c r="D626" i="5"/>
  <c r="E648" i="5"/>
  <c r="E743" i="5"/>
  <c r="E671" i="5"/>
  <c r="E670" i="5"/>
  <c r="E741" i="5"/>
  <c r="E669" i="5"/>
  <c r="E752" i="5"/>
  <c r="E680" i="5"/>
  <c r="E763" i="5"/>
  <c r="D691" i="5"/>
  <c r="D619" i="5"/>
  <c r="D702" i="5"/>
  <c r="D630" i="5"/>
  <c r="D713" i="5"/>
  <c r="D641" i="5"/>
  <c r="D724" i="5"/>
  <c r="D735" i="5"/>
  <c r="D663" i="5"/>
  <c r="D674" i="5"/>
  <c r="E613" i="5"/>
  <c r="E646" i="5"/>
  <c r="D717" i="5"/>
  <c r="E705" i="5"/>
  <c r="D705" i="5"/>
  <c r="E693" i="5"/>
  <c r="D615" i="5"/>
  <c r="D623" i="5"/>
  <c r="E665" i="5"/>
  <c r="E615" i="5"/>
  <c r="D743" i="5"/>
  <c r="D671" i="5"/>
  <c r="D742" i="5"/>
  <c r="D670" i="5"/>
  <c r="D741" i="5"/>
  <c r="D669" i="5"/>
  <c r="D752" i="5"/>
  <c r="D680" i="5"/>
  <c r="D763" i="5"/>
  <c r="E691" i="5"/>
  <c r="E619" i="5"/>
  <c r="E702" i="5"/>
  <c r="E630" i="5"/>
  <c r="E713" i="5"/>
  <c r="E641" i="5"/>
  <c r="E724" i="5"/>
  <c r="E652" i="5"/>
  <c r="E735" i="5"/>
  <c r="E663" i="5"/>
  <c r="E746" i="5"/>
  <c r="E674" i="5"/>
  <c r="D757" i="5"/>
  <c r="E685" i="5"/>
  <c r="D613" i="5"/>
  <c r="D696" i="5"/>
  <c r="D624" i="5"/>
  <c r="D659" i="5"/>
  <c r="D730" i="5"/>
  <c r="D658" i="5"/>
  <c r="D657" i="5"/>
  <c r="D668" i="5"/>
  <c r="E679" i="5"/>
  <c r="D690" i="5"/>
  <c r="E701" i="5"/>
  <c r="D640" i="5"/>
  <c r="E662" i="5"/>
  <c r="D756" i="5"/>
  <c r="D612" i="5"/>
  <c r="E718" i="5"/>
  <c r="E667" i="5"/>
  <c r="D689" i="5"/>
  <c r="E628" i="5"/>
  <c r="D722" i="5"/>
  <c r="D661" i="5"/>
  <c r="D718" i="5"/>
  <c r="D728" i="5"/>
  <c r="D667" i="5"/>
  <c r="E761" i="5"/>
  <c r="D628" i="5"/>
  <c r="E650" i="5"/>
  <c r="D744" i="5"/>
  <c r="E706" i="5"/>
  <c r="D655" i="5"/>
  <c r="E760" i="5"/>
  <c r="D699" i="5"/>
  <c r="D638" i="5"/>
  <c r="D732" i="5"/>
  <c r="D706" i="5"/>
  <c r="E655" i="5"/>
  <c r="D760" i="5"/>
  <c r="E699" i="5"/>
  <c r="D721" i="5"/>
  <c r="E694" i="5"/>
  <c r="E621" i="5"/>
  <c r="D715" i="5"/>
  <c r="D737" i="5"/>
  <c r="D676" i="5"/>
  <c r="E626" i="5"/>
  <c r="D695" i="5"/>
  <c r="E737" i="5"/>
  <c r="D637" i="5"/>
  <c r="E731" i="5"/>
  <c r="E659" i="5"/>
  <c r="E730" i="5"/>
  <c r="E658" i="5"/>
  <c r="E729" i="5"/>
  <c r="E657" i="5"/>
  <c r="E740" i="5"/>
  <c r="E668" i="5"/>
  <c r="D751" i="5"/>
  <c r="D679" i="5"/>
  <c r="E762" i="5"/>
  <c r="E690" i="5"/>
  <c r="D618" i="5"/>
  <c r="D701" i="5"/>
  <c r="D629" i="5"/>
  <c r="E712" i="5"/>
  <c r="E640" i="5"/>
  <c r="D723" i="5"/>
  <c r="E651" i="5"/>
  <c r="E734" i="5"/>
  <c r="D662" i="5"/>
  <c r="D745" i="5"/>
  <c r="E673" i="5"/>
  <c r="E756" i="5"/>
  <c r="E684" i="5"/>
  <c r="E612" i="5"/>
  <c r="D731" i="5"/>
  <c r="D729" i="5"/>
  <c r="D740" i="5"/>
  <c r="E751" i="5"/>
  <c r="D762" i="5"/>
  <c r="E618" i="5"/>
  <c r="E629" i="5"/>
  <c r="D712" i="5"/>
  <c r="E723" i="5"/>
  <c r="D651" i="5"/>
  <c r="D734" i="5"/>
  <c r="E745" i="5"/>
  <c r="D673" i="5"/>
  <c r="D684" i="5"/>
  <c r="E719" i="5"/>
  <c r="E728" i="5"/>
  <c r="D739" i="5"/>
  <c r="D678" i="5"/>
  <c r="D617" i="5"/>
  <c r="E639" i="5"/>
  <c r="D733" i="5"/>
  <c r="E672" i="5"/>
  <c r="D719" i="5"/>
  <c r="D656" i="5"/>
  <c r="E750" i="5"/>
  <c r="E689" i="5"/>
  <c r="E700" i="5"/>
  <c r="D639" i="5"/>
  <c r="E733" i="5"/>
  <c r="D672" i="5"/>
  <c r="E707" i="5"/>
  <c r="E716" i="5"/>
  <c r="D727" i="5"/>
  <c r="D666" i="5"/>
  <c r="D677" i="5"/>
  <c r="E688" i="5"/>
  <c r="D627" i="5"/>
  <c r="D649" i="5"/>
  <c r="D707" i="5"/>
  <c r="D716" i="5"/>
  <c r="E727" i="5"/>
  <c r="E666" i="5"/>
  <c r="E677" i="5"/>
  <c r="D688" i="5"/>
  <c r="E627" i="5"/>
  <c r="E638" i="5"/>
  <c r="E732" i="5"/>
  <c r="E623" i="5"/>
  <c r="E704" i="5"/>
  <c r="D643" i="5"/>
  <c r="D654" i="5"/>
  <c r="D748" i="5"/>
  <c r="D687" i="5"/>
  <c r="E709" i="5"/>
  <c r="E720" i="5"/>
  <c r="D693" i="5"/>
  <c r="D621" i="5"/>
  <c r="D632" i="5"/>
  <c r="E643" i="5"/>
  <c r="E748" i="5"/>
  <c r="E687" i="5"/>
  <c r="D709" i="5"/>
  <c r="D72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<sst xmlns="http://schemas.openxmlformats.org/spreadsheetml/2006/main" count="94" uniqueCount="42">
  <si>
    <t>cnt</t>
  </si>
  <si>
    <t>registered</t>
  </si>
  <si>
    <t>casual</t>
  </si>
  <si>
    <t>windspeed</t>
  </si>
  <si>
    <t>hum</t>
  </si>
  <si>
    <t>atemp</t>
  </si>
  <si>
    <t>temp</t>
  </si>
  <si>
    <t>weathersit</t>
  </si>
  <si>
    <t>weekday</t>
  </si>
  <si>
    <t>holiday</t>
  </si>
  <si>
    <t>hr</t>
  </si>
  <si>
    <t>mnth</t>
  </si>
  <si>
    <t>yr</t>
  </si>
  <si>
    <t>season</t>
  </si>
  <si>
    <t>dteday</t>
  </si>
  <si>
    <t>instant</t>
  </si>
  <si>
    <t>Row Labels</t>
  </si>
  <si>
    <t>Grand Total</t>
  </si>
  <si>
    <t>Sum of cnt</t>
  </si>
  <si>
    <t>week_name</t>
  </si>
  <si>
    <t>Sunday</t>
  </si>
  <si>
    <t>Monday</t>
  </si>
  <si>
    <t>Tuesday</t>
  </si>
  <si>
    <t>Wednesday</t>
  </si>
  <si>
    <t>Thursday</t>
  </si>
  <si>
    <t>Friday</t>
  </si>
  <si>
    <t>Saturday</t>
  </si>
  <si>
    <t>Sum of registered</t>
  </si>
  <si>
    <t>Sum of casual</t>
  </si>
  <si>
    <t>heat</t>
  </si>
  <si>
    <t>Average of cnt</t>
  </si>
  <si>
    <t>Average of registered</t>
  </si>
  <si>
    <t>Forecast(cnt)</t>
  </si>
  <si>
    <t>Lower Confidence Bound(cnt)</t>
  </si>
  <si>
    <t>Upper Confidence Bound(cnt)</t>
  </si>
  <si>
    <t>weather</t>
  </si>
  <si>
    <t>cold</t>
  </si>
  <si>
    <t>colder</t>
  </si>
  <si>
    <t>clear sky</t>
  </si>
  <si>
    <t>mist</t>
  </si>
  <si>
    <t>partially dark</t>
  </si>
  <si>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</sst>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0"/>
      <color theme="1"/>
      <name val="Calibri"/>
      <scheme val="minor"/>
    </font>
    <font>
      <sz val="11"/>
      <color theme="1"/>
      <name val="Calibri"/>
      <family val="2"/>
      <scheme val="minor"/>
    </font>
  </fonts>
  <fills count="3">
    <fill>
      <patternFill patternType="none"/>
    </fill>
    <fill>
      <patternFill patternType="gray125"/>
    </fill>
    <fill>
      <patternFill patternType="solid">
        <fgColor rgb="FFDDEBF7"/>
        <bgColor rgb="FFDDEBF7"/>
      </patternFill>
    </fill>
  </fills>
  <borders count="5">
    <border>
      <left/>
      <right/>
      <top/>
      <bottom/>
      <diagonal/>
    </border>
    <border>
      <left/>
      <right/>
      <top/>
      <bottom style="thin">
        <color rgb="FF9BC2E6"/>
      </bottom>
      <diagonal/>
    </border>
    <border>
      <left/>
      <right/>
      <top style="thin">
        <color rgb="FF9BC2E6"/>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9" fontId="8" fillId="0" borderId="0" applyFont="0" applyFill="0" applyBorder="0" applyAlignment="0" applyProtection="0"/>
  </cellStyleXfs>
  <cellXfs count="20">
    <xf numFmtId="0" fontId="0" fillId="0" borderId="0" xfId="0"/>
    <xf numFmtId="0" fontId="1" fillId="0" borderId="0" xfId="1"/>
    <xf numFmtId="0" fontId="2" fillId="0" borderId="0" xfId="1" applyFont="1" applyAlignment="1">
      <alignment horizontal="center"/>
    </xf>
    <xf numFmtId="164" fontId="2" fillId="0" borderId="0" xfId="1" applyNumberFormat="1" applyFont="1" applyAlignment="1">
      <alignment horizontal="center"/>
    </xf>
    <xf numFmtId="0" fontId="1" fillId="0" borderId="0" xfId="1" applyAlignment="1">
      <alignment horizontal="center"/>
    </xf>
    <xf numFmtId="0" fontId="3" fillId="0" borderId="0" xfId="1" applyFont="1" applyAlignment="1">
      <alignment horizontal="center"/>
    </xf>
    <xf numFmtId="0" fontId="0" fillId="0" borderId="0" xfId="0" pivotButton="1"/>
    <xf numFmtId="0" fontId="0" fillId="0" borderId="0" xfId="0" applyAlignment="1">
      <alignment horizontal="left"/>
    </xf>
    <xf numFmtId="0" fontId="4" fillId="2" borderId="1" xfId="0" applyFont="1" applyFill="1" applyBorder="1"/>
    <xf numFmtId="0" fontId="5" fillId="0" borderId="0" xfId="0" applyFont="1" applyAlignment="1">
      <alignment horizontal="left"/>
    </xf>
    <xf numFmtId="0" fontId="5" fillId="0" borderId="0" xfId="0" applyFont="1"/>
    <xf numFmtId="0" fontId="4" fillId="2" borderId="2" xfId="0" applyFont="1" applyFill="1" applyBorder="1" applyAlignment="1">
      <alignment horizontal="left"/>
    </xf>
    <xf numFmtId="0" fontId="4" fillId="2" borderId="2" xfId="0" applyFont="1" applyFill="1" applyBorder="1"/>
    <xf numFmtId="164" fontId="0" fillId="0" borderId="0" xfId="0" applyNumberFormat="1"/>
    <xf numFmtId="2" fontId="0" fillId="0" borderId="0" xfId="0" applyNumberFormat="1"/>
    <xf numFmtId="0" fontId="0" fillId="0" borderId="0" xfId="0" applyAlignment="1">
      <alignment horizontal="center"/>
    </xf>
    <xf numFmtId="0" fontId="7" fillId="0" borderId="0" xfId="1" applyFont="1" applyAlignment="1">
      <alignment horizontal="center"/>
    </xf>
    <xf numFmtId="2" fontId="6" fillId="0" borderId="4" xfId="2" applyNumberFormat="1" applyFont="1" applyBorder="1" applyAlignment="1">
      <alignment horizontal="center"/>
    </xf>
    <xf numFmtId="2" fontId="0" fillId="0" borderId="0" xfId="2" applyNumberFormat="1" applyFont="1"/>
    <xf numFmtId="2" fontId="0" fillId="0" borderId="3" xfId="2" applyNumberFormat="1" applyFont="1" applyBorder="1"/>
  </cellXfs>
  <cellStyles count="3">
    <cellStyle name="Normal" xfId="0" builtinId="0"/>
    <cellStyle name="Normal 2" xfId="1" xr:uid="{ACC9495A-9734-4DE1-B64D-F0C8B14BD06B}"/>
    <cellStyle name="Percent" xfId="2" builtinId="5"/>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164" formatCode="dd\-mm\-yyyy"/>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!time vs cnt</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Time vs cnt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64115708519949E-2"/>
          <c:y val="0.18535495022136445"/>
          <c:w val="0.9634214842932729"/>
          <c:h val="0.65293370322728239"/>
        </c:manualLayout>
      </c:layout>
      <c:barChart>
        <c:barDir val="col"/>
        <c:grouping val="clustered"/>
        <c:varyColors val="0"/>
        <c:ser>
          <c:idx val="0"/>
          <c:order val="0"/>
          <c:tx>
            <c:strRef>
              <c:f>'Analysis '!$E$3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'Analysis '!$D$4:$D$28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 '!$E$4:$E$28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1-AF4B-480E-940A-34287F60232C}"/>
            </c:ext>
          </c:extLst>
        </c:ser>
        <c:dLbls>
          <c:dLblPos val="outEnd"/>
          <c:showLegendKey val="0"/>
          <c:showVal val="1"/>
          <c:showCatName val="0"/>
          <c:showSerName val="0"/>
          <c:showPercent val="0"/>
          <c:showBubbleSize val="0"/>
        </c:dLbls>
        <c:gapWidth val="444"/>
        <c:overlap val="-90"/>
        <c:axId val="148549744"/>
        <c:axId val="1577614464"/>
      </c:barChart>
      <c:catAx>
        <c:axId val="14854974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7614464"/>
        <c:crosses val="autoZero"/>
        <c:auto val="1"/>
        <c:lblAlgn val="ctr"/>
        <c:lblOffset val="100"/>
        <c:noMultiLvlLbl val="0"/>
      </c:catAx>
      <c:valAx>
        <c:axId val="157761446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number of cnt</a:t>
                </a:r>
              </a:p>
            </c:rich>
          </c:tx>
          <c:layout>
            <c:manualLayout>
              <c:xMode val="edge"/>
              <c:yMode val="edge"/>
              <c:x val="1.2413761709116658E-2"/>
              <c:y val="0.3528640493894503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4854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!wind vs resit</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windspeed vs registered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'!$H$3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'Analysis '!$G$4:$G$24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'Analysis '!$H$4:$H$24</c:f>
              <c:numCache>
                <c:formatCode>General</c:formatCode>
                <c:ptCount val="20"/>
                <c:pt idx="0">
                  <c:v>52.605839416058394</c:v>
                </c:pt>
                <c:pt idx="1">
                  <c:v>47.25925925925926</c:v>
                </c:pt>
                <c:pt idx="2">
                  <c:v>46.942528735632187</c:v>
                </c:pt>
                <c:pt idx="3">
                  <c:v>51.03092783505155</c:v>
                </c:pt>
                <c:pt idx="4">
                  <c:v>52.03</c:v>
                </c:pt>
                <c:pt idx="5">
                  <c:v>53.358024691358025</c:v>
                </c:pt>
                <c:pt idx="6">
                  <c:v>50.46153846153846</c:v>
                </c:pt>
                <c:pt idx="7">
                  <c:v>53.28358208955224</c:v>
                </c:pt>
                <c:pt idx="8">
                  <c:v>51.42622950819672</c:v>
                </c:pt>
                <c:pt idx="9">
                  <c:v>57.022727272727273</c:v>
                </c:pt>
                <c:pt idx="10">
                  <c:v>63.32692307692308</c:v>
                </c:pt>
                <c:pt idx="11">
                  <c:v>57.878787878787875</c:v>
                </c:pt>
                <c:pt idx="12">
                  <c:v>50.695652173913047</c:v>
                </c:pt>
                <c:pt idx="13">
                  <c:v>61.45</c:v>
                </c:pt>
                <c:pt idx="14">
                  <c:v>56.111111111111114</c:v>
                </c:pt>
                <c:pt idx="15">
                  <c:v>56.92307692307692</c:v>
                </c:pt>
                <c:pt idx="16">
                  <c:v>119.6</c:v>
                </c:pt>
                <c:pt idx="17">
                  <c:v>79.625</c:v>
                </c:pt>
                <c:pt idx="18">
                  <c:v>88.5</c:v>
                </c:pt>
                <c:pt idx="19">
                  <c:v>89</c:v>
                </c:pt>
              </c:numCache>
            </c:numRef>
          </c:val>
          <c:extLst>
            <c:ext xmlns:c16="http://schemas.microsoft.com/office/drawing/2014/chart" uri="{C3380CC4-5D6E-409C-BE32-E72D297353CC}">
              <c16:uniqueId val="{00000001-1DC0-4087-B940-867071036A2E}"/>
            </c:ext>
          </c:extLst>
        </c:ser>
        <c:dLbls>
          <c:dLblPos val="outEnd"/>
          <c:showLegendKey val="0"/>
          <c:showVal val="1"/>
          <c:showCatName val="0"/>
          <c:showSerName val="0"/>
          <c:showPercent val="0"/>
          <c:showBubbleSize val="0"/>
        </c:dLbls>
        <c:gapWidth val="444"/>
        <c:overlap val="-90"/>
        <c:axId val="1461127872"/>
        <c:axId val="1461125952"/>
      </c:barChart>
      <c:catAx>
        <c:axId val="14611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1125952"/>
        <c:crosses val="autoZero"/>
        <c:auto val="1"/>
        <c:lblAlgn val="ctr"/>
        <c:lblOffset val="100"/>
        <c:noMultiLvlLbl val="0"/>
      </c:catAx>
      <c:valAx>
        <c:axId val="1461125952"/>
        <c:scaling>
          <c:orientation val="minMax"/>
        </c:scaling>
        <c:delete val="1"/>
        <c:axPos val="l"/>
        <c:numFmt formatCode="General" sourceLinked="1"/>
        <c:majorTickMark val="none"/>
        <c:minorTickMark val="none"/>
        <c:tickLblPos val="nextTo"/>
        <c:crossAx val="146112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!week vs cnt</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days</a:t>
            </a:r>
            <a:r>
              <a:rPr lang="en-IN" baseline="0"/>
              <a:t> vs cnt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squar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triangle"/>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'!$E$33</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hade val="65000"/>
                  </a:schemeClr>
                </a:solidFill>
                <a:prstDash val="sysDash"/>
              </a:ln>
              <a:effectLst/>
            </c:spPr>
            <c:trendlineType val="linear"/>
            <c:dispRSqr val="0"/>
            <c:dispEq val="0"/>
          </c:trendline>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'!$E$34:$E$41</c:f>
              <c:numCache>
                <c:formatCode>General</c:formatCode>
                <c:ptCount val="7"/>
                <c:pt idx="0">
                  <c:v>9348</c:v>
                </c:pt>
                <c:pt idx="1">
                  <c:v>8506</c:v>
                </c:pt>
                <c:pt idx="2">
                  <c:v>7814</c:v>
                </c:pt>
                <c:pt idx="3">
                  <c:v>7672</c:v>
                </c:pt>
                <c:pt idx="4">
                  <c:v>7856</c:v>
                </c:pt>
                <c:pt idx="5">
                  <c:v>8589</c:v>
                </c:pt>
                <c:pt idx="6">
                  <c:v>8519</c:v>
                </c:pt>
              </c:numCache>
            </c:numRef>
          </c:val>
          <c:extLst>
            <c:ext xmlns:c16="http://schemas.microsoft.com/office/drawing/2014/chart" uri="{C3380CC4-5D6E-409C-BE32-E72D297353CC}">
              <c16:uniqueId val="{00000001-0A25-4C9E-93D7-CC2400159278}"/>
            </c:ext>
          </c:extLst>
        </c:ser>
        <c:ser>
          <c:idx val="1"/>
          <c:order val="1"/>
          <c:tx>
            <c:strRef>
              <c:f>'Analysis '!$F$33</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'!$F$34:$F$41</c:f>
              <c:numCache>
                <c:formatCode>General</c:formatCode>
                <c:ptCount val="7"/>
                <c:pt idx="0">
                  <c:v>8052</c:v>
                </c:pt>
                <c:pt idx="1">
                  <c:v>7933</c:v>
                </c:pt>
                <c:pt idx="2">
                  <c:v>7318</c:v>
                </c:pt>
                <c:pt idx="3">
                  <c:v>7178</c:v>
                </c:pt>
                <c:pt idx="4">
                  <c:v>7386</c:v>
                </c:pt>
                <c:pt idx="5">
                  <c:v>7921</c:v>
                </c:pt>
                <c:pt idx="6">
                  <c:v>7595</c:v>
                </c:pt>
              </c:numCache>
            </c:numRef>
          </c:val>
          <c:extLst>
            <c:ext xmlns:c16="http://schemas.microsoft.com/office/drawing/2014/chart" uri="{C3380CC4-5D6E-409C-BE32-E72D297353CC}">
              <c16:uniqueId val="{00000002-0A25-4C9E-93D7-CC2400159278}"/>
            </c:ext>
          </c:extLst>
        </c:ser>
        <c:ser>
          <c:idx val="2"/>
          <c:order val="2"/>
          <c:tx>
            <c:strRef>
              <c:f>'Analysis '!$G$33</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'!$D$34:$D$41</c:f>
              <c:strCache>
                <c:ptCount val="7"/>
                <c:pt idx="0">
                  <c:v>Sunday</c:v>
                </c:pt>
                <c:pt idx="1">
                  <c:v>Monday</c:v>
                </c:pt>
                <c:pt idx="2">
                  <c:v>Tuesday</c:v>
                </c:pt>
                <c:pt idx="3">
                  <c:v>Wednesday</c:v>
                </c:pt>
                <c:pt idx="4">
                  <c:v>Thursday</c:v>
                </c:pt>
                <c:pt idx="5">
                  <c:v>Friday</c:v>
                </c:pt>
                <c:pt idx="6">
                  <c:v>Saturday</c:v>
                </c:pt>
              </c:strCache>
            </c:strRef>
          </c:cat>
          <c:val>
            <c:numRef>
              <c:f>'Analysis '!$G$34:$G$41</c:f>
              <c:numCache>
                <c:formatCode>General</c:formatCode>
                <c:ptCount val="7"/>
                <c:pt idx="0">
                  <c:v>1296</c:v>
                </c:pt>
                <c:pt idx="1">
                  <c:v>573</c:v>
                </c:pt>
                <c:pt idx="2">
                  <c:v>496</c:v>
                </c:pt>
                <c:pt idx="3">
                  <c:v>494</c:v>
                </c:pt>
                <c:pt idx="4">
                  <c:v>470</c:v>
                </c:pt>
                <c:pt idx="5">
                  <c:v>668</c:v>
                </c:pt>
                <c:pt idx="6">
                  <c:v>924</c:v>
                </c:pt>
              </c:numCache>
            </c:numRef>
          </c:val>
          <c:extLst>
            <c:ext xmlns:c16="http://schemas.microsoft.com/office/drawing/2014/chart" uri="{C3380CC4-5D6E-409C-BE32-E72D297353CC}">
              <c16:uniqueId val="{00000003-0A25-4C9E-93D7-CC2400159278}"/>
            </c:ext>
          </c:extLst>
        </c:ser>
        <c:dLbls>
          <c:dLblPos val="outEnd"/>
          <c:showLegendKey val="0"/>
          <c:showVal val="1"/>
          <c:showCatName val="0"/>
          <c:showSerName val="0"/>
          <c:showPercent val="0"/>
          <c:showBubbleSize val="0"/>
        </c:dLbls>
        <c:gapWidth val="444"/>
        <c:overlap val="-90"/>
        <c:axId val="127067984"/>
        <c:axId val="127064144"/>
      </c:barChart>
      <c:catAx>
        <c:axId val="1270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064144"/>
        <c:crosses val="autoZero"/>
        <c:auto val="1"/>
        <c:lblAlgn val="ctr"/>
        <c:lblOffset val="100"/>
        <c:noMultiLvlLbl val="0"/>
      </c:catAx>
      <c:valAx>
        <c:axId val="127064144"/>
        <c:scaling>
          <c:orientation val="minMax"/>
        </c:scaling>
        <c:delete val="1"/>
        <c:axPos val="l"/>
        <c:numFmt formatCode="General" sourceLinked="1"/>
        <c:majorTickMark val="none"/>
        <c:minorTickMark val="none"/>
        <c:tickLblPos val="nextTo"/>
        <c:crossAx val="1270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tempt</a:t>
            </a:r>
            <a:r>
              <a:rPr lang="en-IN" baseline="0"/>
              <a:t> vs cnt</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'!$E$45</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hade val="65000"/>
                  </a:schemeClr>
                </a:solidFill>
                <a:prstDash val="sysDash"/>
              </a:ln>
              <a:effectLst/>
            </c:spPr>
            <c:trendlineType val="linear"/>
            <c:dispRSqr val="0"/>
            <c:dispEq val="0"/>
          </c:trendline>
          <c:cat>
            <c:strRef>
              <c:f>'Analysis '!$D$46:$D$48</c:f>
              <c:strCache>
                <c:ptCount val="2"/>
                <c:pt idx="0">
                  <c:v>cold</c:v>
                </c:pt>
                <c:pt idx="1">
                  <c:v>colder</c:v>
                </c:pt>
              </c:strCache>
            </c:strRef>
          </c:cat>
          <c:val>
            <c:numRef>
              <c:f>'Analysis '!$E$46:$E$48</c:f>
              <c:numCache>
                <c:formatCode>General</c:formatCode>
                <c:ptCount val="2"/>
                <c:pt idx="0">
                  <c:v>22900</c:v>
                </c:pt>
                <c:pt idx="1">
                  <c:v>35404</c:v>
                </c:pt>
              </c:numCache>
            </c:numRef>
          </c:val>
          <c:extLst>
            <c:ext xmlns:c16="http://schemas.microsoft.com/office/drawing/2014/chart" uri="{C3380CC4-5D6E-409C-BE32-E72D297353CC}">
              <c16:uniqueId val="{00000000-2DA3-4016-B5A9-087DC7320B4E}"/>
            </c:ext>
          </c:extLst>
        </c:ser>
        <c:ser>
          <c:idx val="1"/>
          <c:order val="1"/>
          <c:tx>
            <c:strRef>
              <c:f>'Analysis '!$F$45</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'!$D$46:$D$48</c:f>
              <c:strCache>
                <c:ptCount val="2"/>
                <c:pt idx="0">
                  <c:v>cold</c:v>
                </c:pt>
                <c:pt idx="1">
                  <c:v>colder</c:v>
                </c:pt>
              </c:strCache>
            </c:strRef>
          </c:cat>
          <c:val>
            <c:numRef>
              <c:f>'Analysis '!$F$46:$F$48</c:f>
              <c:numCache>
                <c:formatCode>General</c:formatCode>
                <c:ptCount val="2"/>
                <c:pt idx="0">
                  <c:v>19910</c:v>
                </c:pt>
                <c:pt idx="1">
                  <c:v>33421</c:v>
                </c:pt>
              </c:numCache>
            </c:numRef>
          </c:val>
          <c:extLst>
            <c:ext xmlns:c16="http://schemas.microsoft.com/office/drawing/2014/chart" uri="{C3380CC4-5D6E-409C-BE32-E72D297353CC}">
              <c16:uniqueId val="{00000001-2DA3-4016-B5A9-087DC7320B4E}"/>
            </c:ext>
          </c:extLst>
        </c:ser>
        <c:ser>
          <c:idx val="2"/>
          <c:order val="2"/>
          <c:tx>
            <c:strRef>
              <c:f>'Analysis '!$G$45</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'!$D$46:$D$48</c:f>
              <c:strCache>
                <c:ptCount val="2"/>
                <c:pt idx="0">
                  <c:v>cold</c:v>
                </c:pt>
                <c:pt idx="1">
                  <c:v>colder</c:v>
                </c:pt>
              </c:strCache>
            </c:strRef>
          </c:cat>
          <c:val>
            <c:numRef>
              <c:f>'Analysis '!$G$46:$G$48</c:f>
              <c:numCache>
                <c:formatCode>General</c:formatCode>
                <c:ptCount val="2"/>
                <c:pt idx="0">
                  <c:v>2938</c:v>
                </c:pt>
                <c:pt idx="1">
                  <c:v>1983</c:v>
                </c:pt>
              </c:numCache>
            </c:numRef>
          </c:val>
          <c:extLst>
            <c:ext xmlns:c16="http://schemas.microsoft.com/office/drawing/2014/chart" uri="{C3380CC4-5D6E-409C-BE32-E72D297353CC}">
              <c16:uniqueId val="{00000002-2DA3-4016-B5A9-087DC7320B4E}"/>
            </c:ext>
          </c:extLst>
        </c:ser>
        <c:dLbls>
          <c:dLblPos val="outEnd"/>
          <c:showLegendKey val="0"/>
          <c:showVal val="1"/>
          <c:showCatName val="0"/>
          <c:showSerName val="0"/>
          <c:showPercent val="0"/>
          <c:showBubbleSize val="0"/>
        </c:dLbls>
        <c:gapWidth val="444"/>
        <c:overlap val="-90"/>
        <c:axId val="147960175"/>
        <c:axId val="147951055"/>
      </c:barChart>
      <c:catAx>
        <c:axId val="1479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7951055"/>
        <c:crosses val="autoZero"/>
        <c:auto val="1"/>
        <c:lblAlgn val="ctr"/>
        <c:lblOffset val="100"/>
        <c:noMultiLvlLbl val="0"/>
      </c:catAx>
      <c:valAx>
        <c:axId val="147951055"/>
        <c:scaling>
          <c:orientation val="minMax"/>
        </c:scaling>
        <c:delete val="1"/>
        <c:axPos val="l"/>
        <c:numFmt formatCode="General" sourceLinked="1"/>
        <c:majorTickMark val="none"/>
        <c:minorTickMark val="none"/>
        <c:tickLblPos val="nextTo"/>
        <c:crossAx val="1479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temprature vs registered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612727489305065E-2"/>
          <c:y val="0.12758643781325399"/>
          <c:w val="0.91449881531615484"/>
          <c:h val="0.8172494122420727"/>
        </c:manualLayout>
      </c:layout>
      <c:scatterChart>
        <c:scatterStyle val="lineMarker"/>
        <c:varyColors val="0"/>
        <c:ser>
          <c:idx val="0"/>
          <c:order val="0"/>
          <c:tx>
            <c:strRef>
              <c:f>'Analysis '!$P$15</c:f>
              <c:strCache>
                <c:ptCount val="1"/>
                <c:pt idx="0">
                  <c:v>registered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'Analysis '!$O$16:$O$1015</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'Analysis '!$P$16:$P$1015</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1-DECE-435D-ACAF-0E33EB798F25}"/>
            </c:ext>
          </c:extLst>
        </c:ser>
        <c:dLbls>
          <c:showLegendKey val="0"/>
          <c:showVal val="0"/>
          <c:showCatName val="0"/>
          <c:showSerName val="0"/>
          <c:showPercent val="0"/>
          <c:showBubbleSize val="0"/>
        </c:dLbls>
        <c:axId val="1740278703"/>
        <c:axId val="1740275823"/>
      </c:scatterChart>
      <c:valAx>
        <c:axId val="174027870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75823"/>
        <c:crosses val="autoZero"/>
        <c:crossBetween val="midCat"/>
      </c:valAx>
      <c:valAx>
        <c:axId val="1740275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78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[dataset_B(AutoRecovered).xlsx]Analysis !PivotTable6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humidity</a:t>
            </a:r>
          </a:p>
        </c:rich>
      </c:tx>
      <c:layout>
        <c:manualLayout>
          <c:xMode val="edge"/>
          <c:yMode val="edge"/>
          <c:x val="0.44968256234800746"/>
          <c:y val="6.3215146189995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83581219014288E-2"/>
          <c:y val="0.12442536762881364"/>
          <c:w val="0.82305686789151355"/>
          <c:h val="0.76657567243057023"/>
        </c:manualLayout>
      </c:layout>
      <c:lineChart>
        <c:grouping val="standard"/>
        <c:varyColors val="0"/>
        <c:ser>
          <c:idx val="0"/>
          <c:order val="0"/>
          <c:tx>
            <c:strRef>
              <c:f>'Analysis '!$B$32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'Analysis '!$A$33:$A$97</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'Analysis '!$B$33:$B$97</c:f>
              <c:numCache>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Cache>
            </c:numRef>
          </c:val>
          <c:smooth val="0"/>
          <c:extLst>
            <c:ext xmlns:c16="http://schemas.microsoft.com/office/drawing/2014/chart" uri="{C3380CC4-5D6E-409C-BE32-E72D297353CC}">
              <c16:uniqueId val="{00000001-6156-4FE4-A418-E317570AC4F4}"/>
            </c:ext>
          </c:extLst>
        </c:ser>
        <c:dLbls>
          <c:showLegendKey val="0"/>
          <c:showVal val="0"/>
          <c:showCatName val="0"/>
          <c:showSerName val="0"/>
          <c:showPercent val="0"/>
          <c:showBubbleSize val="0"/>
        </c:dLbls>
        <c:smooth val="0"/>
        <c:axId val="2088652799"/>
        <c:axId val="2088655679"/>
      </c:lineChart>
      <c:catAx>
        <c:axId val="208865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5679"/>
        <c:crosses val="autoZero"/>
        <c:auto val="1"/>
        <c:lblAlgn val="ctr"/>
        <c:lblOffset val="100"/>
        <c:noMultiLvlLbl val="0"/>
      </c:catAx>
      <c:valAx>
        <c:axId val="208865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[dataset_B(AutoRecovered).xlsx]Analysis !PivotTable1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'!$E$53</c:f>
              <c:strCache>
                <c:ptCount val="1"/>
                <c:pt idx="0">
                  <c:v>Sum of cnt</c:v>
                </c:pt>
              </c:strCache>
            </c:strRef>
          </c:tx>
          <c:spPr>
            <a:solidFill>
              <a:schemeClr val="accent1">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'!$E$54:$E$58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9A6F-4C50-AA8A-F309FA6A91FC}"/>
            </c:ext>
          </c:extLst>
        </c:ser>
        <c:ser>
          <c:idx val="1"/>
          <c:order val="1"/>
          <c:tx>
            <c:strRef>
              <c:f>'Analysis '!$F$53</c:f>
              <c:strCache>
                <c:ptCount val="1"/>
                <c:pt idx="0">
                  <c:v>Sum of registered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'!$F$54:$F$58</c:f>
              <c:numCache>
                <c:formatCode>General</c:formatCode>
                <c:ptCount val="4"/>
                <c:pt idx="0">
                  <c:v>34162</c:v>
                </c:pt>
                <c:pt idx="1">
                  <c:v>16516</c:v>
                </c:pt>
                <c:pt idx="2">
                  <c:v>2618</c:v>
                </c:pt>
                <c:pt idx="3">
                  <c:v>35</c:v>
                </c:pt>
              </c:numCache>
            </c:numRef>
          </c:val>
          <c:extLst>
            <c:ext xmlns:c16="http://schemas.microsoft.com/office/drawing/2014/chart" uri="{C3380CC4-5D6E-409C-BE32-E72D297353CC}">
              <c16:uniqueId val="{00000001-9A6F-4C50-AA8A-F309FA6A91FC}"/>
            </c:ext>
          </c:extLst>
        </c:ser>
        <c:ser>
          <c:idx val="2"/>
          <c:order val="2"/>
          <c:tx>
            <c:strRef>
              <c:f>'Analysis '!$G$53</c:f>
              <c:strCache>
                <c:ptCount val="1"/>
                <c:pt idx="0">
                  <c:v>Sum of casual</c:v>
                </c:pt>
              </c:strCache>
            </c:strRef>
          </c:tx>
          <c:spPr>
            <a:solidFill>
              <a:schemeClr val="accent1">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 '!$D$54:$D$58</c:f>
              <c:strCache>
                <c:ptCount val="4"/>
                <c:pt idx="0">
                  <c:v>clear sky</c:v>
                </c:pt>
                <c:pt idx="1">
                  <c:v>mist</c:v>
                </c:pt>
                <c:pt idx="2">
                  <c:v>partially dark</c:v>
                </c:pt>
                <c:pt idx="3">
                  <c:v>rain</c:v>
                </c:pt>
              </c:strCache>
            </c:strRef>
          </c:cat>
          <c:val>
            <c:numRef>
              <c:f>'Analysis '!$G$54:$G$58</c:f>
              <c:numCache>
                <c:formatCode>General</c:formatCode>
                <c:ptCount val="4"/>
                <c:pt idx="0">
                  <c:v>3211</c:v>
                </c:pt>
                <c:pt idx="1">
                  <c:v>1538</c:v>
                </c:pt>
                <c:pt idx="2">
                  <c:v>171</c:v>
                </c:pt>
                <c:pt idx="3">
                  <c:v>1</c:v>
                </c:pt>
              </c:numCache>
            </c:numRef>
          </c:val>
          <c:extLst>
            <c:ext xmlns:c16="http://schemas.microsoft.com/office/drawing/2014/chart" uri="{C3380CC4-5D6E-409C-BE32-E72D297353CC}">
              <c16:uniqueId val="{00000002-9A6F-4C50-AA8A-F309FA6A91FC}"/>
            </c:ext>
          </c:extLst>
        </c:ser>
        <c:dLbls>
          <c:dLblPos val="outEnd"/>
          <c:showLegendKey val="0"/>
          <c:showVal val="1"/>
          <c:showCatName val="0"/>
          <c:showSerName val="0"/>
          <c:showPercent val="0"/>
          <c:showBubbleSize val="0"/>
        </c:dLbls>
        <c:gapWidth val="444"/>
        <c:overlap val="-90"/>
        <c:axId val="1395333551"/>
        <c:axId val="1395339311"/>
      </c:barChart>
      <c:catAx>
        <c:axId val="13953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5339311"/>
        <c:crosses val="autoZero"/>
        <c:auto val="1"/>
        <c:lblAlgn val="ctr"/>
        <c:lblOffset val="100"/>
        <c:noMultiLvlLbl val="0"/>
      </c:catAx>
      <c:valAx>
        <c:axId val="1395339311"/>
        <c:scaling>
          <c:orientation val="minMax"/>
        </c:scaling>
        <c:delete val="1"/>
        <c:axPos val="l"/>
        <c:numFmt formatCode="General" sourceLinked="1"/>
        <c:majorTickMark val="none"/>
        <c:minorTickMark val="none"/>
        <c:tickLblPos val="nextTo"/>
        <c:crossAx val="139533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472750688772608E-2"/>
          <c:y val="3.8095238095238099E-2"/>
          <c:w val="0.92996410231329785"/>
          <c:h val="0.69496649282476053"/>
        </c:manualLayout>
      </c:layout>
      <c:lineChart>
        <c:grouping val="standard"/>
        <c:varyColors val="0"/>
        <c:ser>
          <c:idx val="0"/>
          <c:order val="0"/>
          <c:tx>
            <c:strRef>
              <c:f>forecast!$B$1</c:f>
              <c:strCache>
                <c:ptCount val="1"/>
                <c:pt idx="0">
                  <c:v>cnt</c:v>
                </c:pt>
              </c:strCache>
            </c:strRef>
          </c:tx>
          <c:spPr>
            <a:ln w="28575" cap="rnd">
              <a:solidFill>
                <a:schemeClr val="accent1"/>
              </a:solidFill>
              <a:round/>
            </a:ln>
            <a:effectLst/>
          </c:spPr>
          <c:marker>
            <c:symbol val="none"/>
          </c:marker>
          <c:val>
            <c:numRef>
              <c:f>forecast!$B$2:$B$764</c:f>
              <c:numCache>
                <c:formatCode>General</c:formatCode>
                <c:ptCount val="763"/>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66.888888888888886</c:v>
                </c:pt>
                <c:pt idx="28">
                  <c:v>45.875</c:v>
                </c:pt>
                <c:pt idx="29">
                  <c:v>45.75</c:v>
                </c:pt>
                <c:pt idx="30">
                  <c:v>60.08</c:v>
                </c:pt>
                <c:pt idx="31">
                  <c:v>57</c:v>
                </c:pt>
                <c:pt idx="32">
                  <c:v>61.84</c:v>
                </c:pt>
                <c:pt idx="33">
                  <c:v>66.791666666666671</c:v>
                </c:pt>
                <c:pt idx="34">
                  <c:v>74.083333333333329</c:v>
                </c:pt>
                <c:pt idx="35">
                  <c:v>43.92</c:v>
                </c:pt>
                <c:pt idx="36">
                  <c:v>67.92</c:v>
                </c:pt>
                <c:pt idx="37">
                  <c:v>70.84</c:v>
                </c:pt>
                <c:pt idx="38">
                  <c:v>64.16</c:v>
                </c:pt>
                <c:pt idx="39">
                  <c:v>70.041666666666671</c:v>
                </c:pt>
                <c:pt idx="40">
                  <c:v>66.791666666666671</c:v>
                </c:pt>
                <c:pt idx="41">
                  <c:v>78.217391304347828</c:v>
                </c:pt>
                <c:pt idx="42">
                  <c:v>60.08</c:v>
                </c:pt>
                <c:pt idx="43">
                  <c:v>67.125</c:v>
                </c:pt>
                <c:pt idx="44">
                  <c:v>20.222222222222221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numCache>
            </c:numRef>
          </c:val>
          <c:smooth val="0"/>
          <c:extLst>
            <c:ext xmlns:c16="http://schemas.microsoft.com/office/drawing/2014/chart" uri="{C3380CC4-5D6E-409C-BE32-E72D297353CC}">
              <c16:uniqueId val="{00000000-39F5-4570-8DE9-6A407CC7D683}"/>
            </c:ext>
          </c:extLst>
        </c:ser>
        <c:ser>
          <c:idx val="1"/>
          <c:order val="1"/>
          <c:tx>
            <c:strRef>
              <c:f>forecast!$C$1</c:f>
              <c:strCache>
                <c:ptCount val="1"/>
                <c:pt idx="0">
                  <c:v>Forecast(cnt)</c:v>
                </c:pt>
              </c:strCache>
            </c:strRef>
          </c:tx>
          <c:spPr>
            <a:ln w="28575" cap="rnd">
              <a:solidFill>
                <a:schemeClr val="accent2"/>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forecast!$C$2:$C$764</c:f>
              <c:numCache>
                <c:formatCode>General</c:formatCode>
                <c:ptCount val="763"/>
                <c:pt idx="609">
                  <c:v>41</c:v>
                </c:pt>
                <c:pt idx="610">
                  <c:v>91.697595557319133</c:v>
                </c:pt>
                <c:pt idx="611">
                  <c:v>116.7547167251706</c:v>
                </c:pt>
                <c:pt idx="612">
                  <c:v>100.56556926077971</c:v>
                </c:pt>
                <c:pt idx="613">
                  <c:v>75.472122860970472</c:v>
                </c:pt>
                <c:pt idx="614">
                  <c:v>42.960517834198392</c:v>
                </c:pt>
                <c:pt idx="615">
                  <c:v>30.84548984443213</c:v>
                </c:pt>
                <c:pt idx="616">
                  <c:v>20.060757411601465</c:v>
                </c:pt>
                <c:pt idx="617">
                  <c:v>5.2305320182495052</c:v>
                </c:pt>
                <c:pt idx="618">
                  <c:v>-2.6110068123687853</c:v>
                </c:pt>
                <c:pt idx="619">
                  <c:v>-4.7408263668318043</c:v>
                </c:pt>
                <c:pt idx="620">
                  <c:v>-8.1100206634579592</c:v>
                </c:pt>
                <c:pt idx="621">
                  <c:v>-5.6044947505001943</c:v>
                </c:pt>
                <c:pt idx="622">
                  <c:v>5.8243600622869138</c:v>
                </c:pt>
                <c:pt idx="623">
                  <c:v>36.429345347415556</c:v>
                </c:pt>
                <c:pt idx="624">
                  <c:v>78.439243315956745</c:v>
                </c:pt>
                <c:pt idx="625">
                  <c:v>102.81836691155024</c:v>
                </c:pt>
                <c:pt idx="626">
                  <c:v>63.374849530762248</c:v>
                </c:pt>
                <c:pt idx="627">
                  <c:v>41.641547831761379</c:v>
                </c:pt>
                <c:pt idx="628">
                  <c:v>39.386351819469219</c:v>
                </c:pt>
                <c:pt idx="629">
                  <c:v>33.598435571279055</c:v>
                </c:pt>
                <c:pt idx="630">
                  <c:v>32.872118995089373</c:v>
                </c:pt>
                <c:pt idx="631">
                  <c:v>37.199499828519428</c:v>
                </c:pt>
                <c:pt idx="632">
                  <c:v>41.094701641713407</c:v>
                </c:pt>
                <c:pt idx="633">
                  <c:v>91.792297199032532</c:v>
                </c:pt>
                <c:pt idx="634">
                  <c:v>116.84941836688401</c:v>
                </c:pt>
                <c:pt idx="635">
                  <c:v>100.66027090249311</c:v>
                </c:pt>
                <c:pt idx="636">
                  <c:v>75.566824502683872</c:v>
                </c:pt>
                <c:pt idx="637">
                  <c:v>43.055219475911798</c:v>
                </c:pt>
                <c:pt idx="638">
                  <c:v>30.940191486145537</c:v>
                </c:pt>
                <c:pt idx="639">
                  <c:v>20.155459053314878</c:v>
                </c:pt>
                <c:pt idx="640">
                  <c:v>5.3252336599629189</c:v>
                </c:pt>
                <c:pt idx="641">
                  <c:v>-2.5163051706553787</c:v>
                </c:pt>
                <c:pt idx="642">
                  <c:v>-4.6461247251183977</c:v>
                </c:pt>
                <c:pt idx="643">
                  <c:v>-8.0153190217445527</c:v>
                </c:pt>
                <c:pt idx="644">
                  <c:v>-5.5097931087867877</c:v>
                </c:pt>
                <c:pt idx="645">
                  <c:v>5.9190617040003275</c:v>
                </c:pt>
                <c:pt idx="646">
                  <c:v>36.524046989128962</c:v>
                </c:pt>
                <c:pt idx="647">
                  <c:v>78.533944957670144</c:v>
                </c:pt>
                <c:pt idx="648">
                  <c:v>102.91306855326366</c:v>
                </c:pt>
                <c:pt idx="649">
                  <c:v>63.469551172475654</c:v>
                </c:pt>
                <c:pt idx="650">
                  <c:v>41.736249473474793</c:v>
                </c:pt>
                <c:pt idx="651">
                  <c:v>39.481053461182626</c:v>
                </c:pt>
                <c:pt idx="652">
                  <c:v>33.693137212992461</c:v>
                </c:pt>
                <c:pt idx="653">
                  <c:v>32.96682063680278</c:v>
                </c:pt>
                <c:pt idx="654">
                  <c:v>37.294201470232835</c:v>
                </c:pt>
                <c:pt idx="655">
                  <c:v>41.18940328342682</c:v>
                </c:pt>
                <c:pt idx="656">
                  <c:v>91.886998840745946</c:v>
                </c:pt>
                <c:pt idx="657">
                  <c:v>116.94412000859742</c:v>
                </c:pt>
                <c:pt idx="658">
                  <c:v>100.75497254420651</c:v>
                </c:pt>
                <c:pt idx="659">
                  <c:v>75.661526144397271</c:v>
                </c:pt>
                <c:pt idx="660">
                  <c:v>43.149921117625205</c:v>
                </c:pt>
                <c:pt idx="661">
                  <c:v>31.03489312785895</c:v>
                </c:pt>
                <c:pt idx="662">
                  <c:v>20.250160695028285</c:v>
                </c:pt>
                <c:pt idx="663">
                  <c:v>5.4199353016763254</c:v>
                </c:pt>
                <c:pt idx="664">
                  <c:v>-2.4216035289419722</c:v>
                </c:pt>
                <c:pt idx="665">
                  <c:v>-4.5514230834049911</c:v>
                </c:pt>
                <c:pt idx="666">
                  <c:v>-7.920617380031139</c:v>
                </c:pt>
                <c:pt idx="667">
                  <c:v>-5.4150914670733741</c:v>
                </c:pt>
                <c:pt idx="668">
                  <c:v>6.0137633457137341</c:v>
                </c:pt>
                <c:pt idx="669">
                  <c:v>36.618748630842369</c:v>
                </c:pt>
                <c:pt idx="670">
                  <c:v>78.628646599383558</c:v>
                </c:pt>
                <c:pt idx="671">
                  <c:v>103.00777019497707</c:v>
                </c:pt>
                <c:pt idx="672">
                  <c:v>63.564252814189068</c:v>
                </c:pt>
                <c:pt idx="673">
                  <c:v>41.830951115188199</c:v>
                </c:pt>
                <c:pt idx="674">
                  <c:v>39.575755102896032</c:v>
                </c:pt>
                <c:pt idx="675">
                  <c:v>33.787838854705868</c:v>
                </c:pt>
                <c:pt idx="676">
                  <c:v>33.061522278516186</c:v>
                </c:pt>
                <c:pt idx="677">
                  <c:v>37.388903111946249</c:v>
                </c:pt>
                <c:pt idx="678">
                  <c:v>41.284104925140227</c:v>
                </c:pt>
                <c:pt idx="679">
                  <c:v>91.98170048245936</c:v>
                </c:pt>
                <c:pt idx="680">
                  <c:v>117.03882165031082</c:v>
                </c:pt>
                <c:pt idx="681">
                  <c:v>100.84967418591992</c:v>
                </c:pt>
                <c:pt idx="682">
                  <c:v>75.756227786110685</c:v>
                </c:pt>
                <c:pt idx="683">
                  <c:v>43.244622759338618</c:v>
                </c:pt>
                <c:pt idx="684">
                  <c:v>31.129594769572357</c:v>
                </c:pt>
                <c:pt idx="685">
                  <c:v>20.344862336741691</c:v>
                </c:pt>
                <c:pt idx="686">
                  <c:v>5.514636943389732</c:v>
                </c:pt>
                <c:pt idx="687">
                  <c:v>-2.3269018872285656</c:v>
                </c:pt>
                <c:pt idx="688">
                  <c:v>-4.4567214416915775</c:v>
                </c:pt>
                <c:pt idx="689">
                  <c:v>-7.8259157383177325</c:v>
                </c:pt>
                <c:pt idx="690">
                  <c:v>-5.3203898253599675</c:v>
                </c:pt>
                <c:pt idx="691">
                  <c:v>6.1084649874271406</c:v>
                </c:pt>
                <c:pt idx="692">
                  <c:v>36.713450272555775</c:v>
                </c:pt>
                <c:pt idx="693">
                  <c:v>78.723348241096971</c:v>
                </c:pt>
                <c:pt idx="694">
                  <c:v>103.10247183669048</c:v>
                </c:pt>
                <c:pt idx="695">
                  <c:v>63.658954455902474</c:v>
                </c:pt>
                <c:pt idx="696">
                  <c:v>41.925652756901606</c:v>
                </c:pt>
                <c:pt idx="697">
                  <c:v>39.670456744609439</c:v>
                </c:pt>
                <c:pt idx="698">
                  <c:v>33.882540496419274</c:v>
                </c:pt>
                <c:pt idx="699">
                  <c:v>33.1562239202296</c:v>
                </c:pt>
                <c:pt idx="700">
                  <c:v>37.483604753659655</c:v>
                </c:pt>
                <c:pt idx="701">
                  <c:v>41.378806566853633</c:v>
                </c:pt>
                <c:pt idx="702">
                  <c:v>92.076402124172773</c:v>
                </c:pt>
                <c:pt idx="703">
                  <c:v>117.13352329202422</c:v>
                </c:pt>
                <c:pt idx="704">
                  <c:v>100.94437582763334</c:v>
                </c:pt>
                <c:pt idx="705">
                  <c:v>75.850929427824099</c:v>
                </c:pt>
                <c:pt idx="706">
                  <c:v>43.339324401052025</c:v>
                </c:pt>
                <c:pt idx="707">
                  <c:v>31.224296411285763</c:v>
                </c:pt>
                <c:pt idx="708">
                  <c:v>20.439563978455098</c:v>
                </c:pt>
                <c:pt idx="709">
                  <c:v>5.6093385851031456</c:v>
                </c:pt>
                <c:pt idx="710">
                  <c:v>-2.2322002455151519</c:v>
                </c:pt>
                <c:pt idx="711">
                  <c:v>-4.3620197999781709</c:v>
                </c:pt>
                <c:pt idx="712">
                  <c:v>-7.7312140966043259</c:v>
                </c:pt>
                <c:pt idx="713">
                  <c:v>-5.225688183646561</c:v>
                </c:pt>
                <c:pt idx="714">
                  <c:v>6.2031666291405472</c:v>
                </c:pt>
                <c:pt idx="715">
                  <c:v>36.808151914269189</c:v>
                </c:pt>
                <c:pt idx="716">
                  <c:v>78.818049882810385</c:v>
                </c:pt>
                <c:pt idx="717">
                  <c:v>103.19717347840388</c:v>
                </c:pt>
                <c:pt idx="718">
                  <c:v>63.753656097615881</c:v>
                </c:pt>
                <c:pt idx="719">
                  <c:v>42.020354398615012</c:v>
                </c:pt>
                <c:pt idx="720">
                  <c:v>39.765158386322852</c:v>
                </c:pt>
                <c:pt idx="721">
                  <c:v>33.977242138132688</c:v>
                </c:pt>
                <c:pt idx="722">
                  <c:v>33.250925561943006</c:v>
                </c:pt>
                <c:pt idx="723">
                  <c:v>37.578306395373062</c:v>
                </c:pt>
                <c:pt idx="724">
                  <c:v>41.47350820856704</c:v>
                </c:pt>
                <c:pt idx="725">
                  <c:v>92.171103765886173</c:v>
                </c:pt>
                <c:pt idx="726">
                  <c:v>117.22822493373764</c:v>
                </c:pt>
                <c:pt idx="727">
                  <c:v>101.03907746934675</c:v>
                </c:pt>
                <c:pt idx="728">
                  <c:v>75.945631069537512</c:v>
                </c:pt>
                <c:pt idx="729">
                  <c:v>43.434026042765431</c:v>
                </c:pt>
                <c:pt idx="730">
                  <c:v>31.31899805299917</c:v>
                </c:pt>
                <c:pt idx="731">
                  <c:v>20.534265620168512</c:v>
                </c:pt>
                <c:pt idx="732">
                  <c:v>5.7040402268165522</c:v>
                </c:pt>
                <c:pt idx="733">
                  <c:v>-2.1374986038017454</c:v>
                </c:pt>
                <c:pt idx="734">
                  <c:v>-4.2673181582647643</c:v>
                </c:pt>
                <c:pt idx="735">
                  <c:v>-7.6365124548909193</c:v>
                </c:pt>
                <c:pt idx="736">
                  <c:v>-5.1309865419331473</c:v>
                </c:pt>
                <c:pt idx="737">
                  <c:v>6.2978682708539608</c:v>
                </c:pt>
                <c:pt idx="738">
                  <c:v>36.902853555982595</c:v>
                </c:pt>
                <c:pt idx="739">
                  <c:v>78.912751524523784</c:v>
                </c:pt>
                <c:pt idx="740">
                  <c:v>103.29187512011728</c:v>
                </c:pt>
                <c:pt idx="741">
                  <c:v>63.848357739329288</c:v>
                </c:pt>
                <c:pt idx="742">
                  <c:v>42.115056040328426</c:v>
                </c:pt>
                <c:pt idx="743">
                  <c:v>39.859860028036259</c:v>
                </c:pt>
                <c:pt idx="744">
                  <c:v>34.071943779846094</c:v>
                </c:pt>
                <c:pt idx="745">
                  <c:v>33.345627203656413</c:v>
                </c:pt>
                <c:pt idx="746">
                  <c:v>37.673008037086468</c:v>
                </c:pt>
                <c:pt idx="747">
                  <c:v>41.568209850280454</c:v>
                </c:pt>
                <c:pt idx="748">
                  <c:v>92.265805407599586</c:v>
                </c:pt>
                <c:pt idx="749">
                  <c:v>117.32292657545105</c:v>
                </c:pt>
                <c:pt idx="750">
                  <c:v>101.13377911106015</c:v>
                </c:pt>
                <c:pt idx="751">
                  <c:v>76.040332711250912</c:v>
                </c:pt>
                <c:pt idx="752">
                  <c:v>43.528727684478845</c:v>
                </c:pt>
                <c:pt idx="753">
                  <c:v>31.413699694712584</c:v>
                </c:pt>
                <c:pt idx="754">
                  <c:v>20.628967261881918</c:v>
                </c:pt>
                <c:pt idx="755">
                  <c:v>5.7987418685299588</c:v>
                </c:pt>
                <c:pt idx="756">
                  <c:v>-2.0427969620883388</c:v>
                </c:pt>
                <c:pt idx="757">
                  <c:v>-4.1726165165513578</c:v>
                </c:pt>
                <c:pt idx="758">
                  <c:v>-7.5418108131775057</c:v>
                </c:pt>
                <c:pt idx="759">
                  <c:v>-5.0362849002197407</c:v>
                </c:pt>
                <c:pt idx="760">
                  <c:v>6.3925699125673674</c:v>
                </c:pt>
                <c:pt idx="761">
                  <c:v>36.997555197696002</c:v>
                </c:pt>
                <c:pt idx="762">
                  <c:v>79.007453166237184</c:v>
                </c:pt>
              </c:numCache>
            </c:numRef>
          </c:val>
          <c:smooth val="0"/>
          <c:extLst>
            <c:ext xmlns:c16="http://schemas.microsoft.com/office/drawing/2014/chart" uri="{C3380CC4-5D6E-409C-BE32-E72D297353CC}">
              <c16:uniqueId val="{00000001-39F5-4570-8DE9-6A407CC7D683}"/>
            </c:ext>
          </c:extLst>
        </c:ser>
        <c:ser>
          <c:idx val="2"/>
          <c:order val="2"/>
          <c:tx>
            <c:strRef>
              <c:f>forecast!$D$1</c:f>
              <c:strCache>
                <c:ptCount val="1"/>
                <c:pt idx="0">
                  <c:v>Lower Confidence Bound(cnt)</c:v>
                </c:pt>
              </c:strCache>
            </c:strRef>
          </c:tx>
          <c:spPr>
            <a:ln w="28575" cap="rnd">
              <a:solidFill>
                <a:schemeClr val="accent3"/>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forecast!$D$2:$D$764</c:f>
              <c:numCache>
                <c:formatCode>General</c:formatCode>
                <c:ptCount val="763"/>
                <c:pt idx="609" formatCode="0.00">
                  <c:v>41</c:v>
                </c:pt>
                <c:pt idx="610" formatCode="0.00">
                  <c:v>5.8891725160811745</c:v>
                </c:pt>
                <c:pt idx="611" formatCode="0.00">
                  <c:v>30.945907546897757</c:v>
                </c:pt>
                <c:pt idx="612" formatCode="0.00">
                  <c:v>14.756073620957437</c:v>
                </c:pt>
                <c:pt idx="613" formatCode="0.00">
                  <c:v>-10.338445364029056</c:v>
                </c:pt>
                <c:pt idx="614" formatCode="0.00">
                  <c:v>-42.851594889903858</c:v>
                </c:pt>
                <c:pt idx="615" formatCode="0.00">
                  <c:v>-54.968725069891981</c:v>
                </c:pt>
                <c:pt idx="616" formatCode="0.00">
                  <c:v>-65.756203143008946</c:v>
                </c:pt>
                <c:pt idx="617" formatCode="0.00">
                  <c:v>-80.589903361409384</c:v>
                </c:pt>
                <c:pt idx="618" formatCode="0.00">
                  <c:v>-88.435731905436754</c:v>
                </c:pt>
                <c:pt idx="619" formatCode="0.00">
                  <c:v>-90.570741726465798</c:v>
                </c:pt>
                <c:pt idx="620" formatCode="0.00">
                  <c:v>-93.946112460259087</c:v>
                </c:pt>
                <c:pt idx="621" formatCode="0.00">
                  <c:v>-91.4478347157673</c:v>
                </c:pt>
                <c:pt idx="622" formatCode="0.00">
                  <c:v>-80.02738529646237</c:v>
                </c:pt>
                <c:pt idx="623" formatCode="0.00">
                  <c:v>-49.432048045500657</c:v>
                </c:pt>
                <c:pt idx="624" formatCode="0.00">
                  <c:v>-7.433126077533899</c:v>
                </c:pt>
                <c:pt idx="625" formatCode="0.00">
                  <c:v>16.933608328018991</c:v>
                </c:pt>
                <c:pt idx="626" formatCode="0.00">
                  <c:v>-22.523796539138345</c:v>
                </c:pt>
                <c:pt idx="627" formatCode="0.00">
                  <c:v>-44.272568997167546</c:v>
                </c:pt>
                <c:pt idx="628" formatCode="0.00">
                  <c:v>-46.544903871814476</c:v>
                </c:pt>
                <c:pt idx="629" formatCode="0.00">
                  <c:v>-52.351711754777142</c:v>
                </c:pt>
                <c:pt idx="630" formatCode="0.00">
                  <c:v>-53.098757228988624</c:v>
                </c:pt>
                <c:pt idx="631" formatCode="0.00">
                  <c:v>-48.794026851961767</c:v>
                </c:pt>
                <c:pt idx="632" formatCode="0.00">
                  <c:v>-44.923481134804085</c:v>
                </c:pt>
                <c:pt idx="633" formatCode="0.00">
                  <c:v>-5.3085689115048211</c:v>
                </c:pt>
                <c:pt idx="634" formatCode="0.00">
                  <c:v>19.72292535292452</c:v>
                </c:pt>
                <c:pt idx="635" formatCode="0.00">
                  <c:v>3.5061493507309365</c:v>
                </c:pt>
                <c:pt idx="636" formatCode="0.00">
                  <c:v>-21.617001278662073</c:v>
                </c:pt>
                <c:pt idx="637" formatCode="0.00">
                  <c:v>-54.160460063835899</c:v>
                </c:pt>
                <c:pt idx="638" formatCode="0.00">
                  <c:v>-66.309564941792431</c:v>
                </c:pt>
                <c:pt idx="639" formatCode="0.00">
                  <c:v>-77.130670741352958</c:v>
                </c:pt>
                <c:pt idx="640" formatCode="0.00">
                  <c:v>-91.99963905991757</c:v>
                </c:pt>
                <c:pt idx="641" formatCode="0.00">
                  <c:v>-99.882363168358722</c:v>
                </c:pt>
                <c:pt idx="642" formatCode="0.00">
                  <c:v>-102.05588284415627</c:v>
                </c:pt>
                <c:pt idx="643" formatCode="0.00">
                  <c:v>-105.47136427550947</c:v>
                </c:pt>
                <c:pt idx="644" formatCode="0.00">
                  <c:v>-103.01478434137081</c:v>
                </c:pt>
                <c:pt idx="645" formatCode="0.00">
                  <c:v>-91.637605824506565</c:v>
                </c:pt>
                <c:pt idx="646" formatCode="0.00">
                  <c:v>-61.087098248896183</c:v>
                </c:pt>
                <c:pt idx="647" formatCode="0.00">
                  <c:v>-19.134550104303827</c:v>
                </c:pt>
                <c:pt idx="648" formatCode="0.00">
                  <c:v>5.1842812671494727</c:v>
                </c:pt>
                <c:pt idx="649" formatCode="0.00">
                  <c:v>-34.322540588979784</c:v>
                </c:pt>
                <c:pt idx="650" formatCode="0.00">
                  <c:v>-56.12222841087037</c:v>
                </c:pt>
                <c:pt idx="651" formatCode="0.00">
                  <c:v>-58.446961115164896</c:v>
                </c:pt>
                <c:pt idx="652" formatCode="0.00">
                  <c:v>-64.307633050945952</c:v>
                </c:pt>
                <c:pt idx="653" formatCode="0.00">
                  <c:v>-65.109992221239764</c:v>
                </c:pt>
                <c:pt idx="654" formatCode="0.00">
                  <c:v>-60.862008263207187</c:v>
                </c:pt>
                <c:pt idx="655" formatCode="0.00">
                  <c:v>-57.049624424642765</c:v>
                </c:pt>
                <c:pt idx="656" formatCode="0.00">
                  <c:v>-17.02613435472955</c:v>
                </c:pt>
                <c:pt idx="657" formatCode="0.00">
                  <c:v>7.9498570831735407</c:v>
                </c:pt>
                <c:pt idx="658" formatCode="0.00">
                  <c:v>-8.3237011932316847</c:v>
                </c:pt>
                <c:pt idx="659" formatCode="0.00">
                  <c:v>-33.504899324299359</c:v>
                </c:pt>
                <c:pt idx="660" formatCode="0.00">
                  <c:v>-66.107656343662939</c:v>
                </c:pt>
                <c:pt idx="661" formatCode="0.00">
                  <c:v>-78.317295418050236</c:v>
                </c:pt>
                <c:pt idx="662" formatCode="0.00">
                  <c:v>-89.200156330531314</c:v>
                </c:pt>
                <c:pt idx="663" formatCode="0.00">
                  <c:v>-104.13208535758213</c:v>
                </c:pt>
                <c:pt idx="664" formatCode="0.00">
                  <c:v>-112.07896017474243</c:v>
                </c:pt>
                <c:pt idx="665" formatCode="0.00">
                  <c:v>-114.3178046909787</c:v>
                </c:pt>
                <c:pt idx="666" formatCode="0.00">
                  <c:v>-117.79976895449116</c:v>
                </c:pt>
                <c:pt idx="667" formatCode="0.00">
                  <c:v>-115.41081343491271</c:v>
                </c:pt>
                <c:pt idx="668" formatCode="0.00">
                  <c:v>-104.10238423900512</c:v>
                </c:pt>
                <c:pt idx="669" formatCode="0.00">
                  <c:v>-73.621733951166448</c:v>
                </c:pt>
                <c:pt idx="670" formatCode="0.00">
                  <c:v>-31.740133861582734</c:v>
                </c:pt>
                <c:pt idx="671" formatCode="0.00">
                  <c:v>-7.4933238568505942</c:v>
                </c:pt>
                <c:pt idx="672" formatCode="0.00">
                  <c:v>-47.073222684462742</c:v>
                </c:pt>
                <c:pt idx="673" formatCode="0.00">
                  <c:v>-68.947025129206438</c:v>
                </c:pt>
                <c:pt idx="674" formatCode="0.00">
                  <c:v>-71.346891913339732</c:v>
                </c:pt>
                <c:pt idx="675" formatCode="0.00">
                  <c:v>-77.28369895647252</c:v>
                </c:pt>
                <c:pt idx="676" formatCode="0.00">
                  <c:v>-78.163175603426282</c:v>
                </c:pt>
                <c:pt idx="677" formatCode="0.00">
                  <c:v>-73.993272611225024</c:v>
                </c:pt>
                <c:pt idx="678" formatCode="0.00">
                  <c:v>-70.259914132830971</c:v>
                </c:pt>
                <c:pt idx="679" formatCode="0.00">
                  <c:v>-29.849067124257061</c:v>
                </c:pt>
                <c:pt idx="680" formatCode="0.00">
                  <c:v>-4.9484980624011001</c:v>
                </c:pt>
                <c:pt idx="681" formatCode="0.00">
                  <c:v>-21.298367358484057</c:v>
                </c:pt>
                <c:pt idx="682" formatCode="0.00">
                  <c:v>-46.556749077093869</c:v>
                </c:pt>
                <c:pt idx="683" formatCode="0.00">
                  <c:v>-79.237546003622356</c:v>
                </c:pt>
                <c:pt idx="684" formatCode="0.00">
                  <c:v>-91.526064889993592</c:v>
                </c:pt>
                <c:pt idx="685" formatCode="0.00">
                  <c:v>-102.48862894411468</c:v>
                </c:pt>
                <c:pt idx="686" formatCode="0.00">
                  <c:v>-117.50106771342311</c:v>
                </c:pt>
                <c:pt idx="687" formatCode="0.00">
                  <c:v>-125.52924199730185</c:v>
                </c:pt>
                <c:pt idx="688" formatCode="0.00">
                  <c:v>-127.85015868846352</c:v>
                </c:pt>
                <c:pt idx="689" formatCode="0.00">
                  <c:v>-131.41495068603371</c:v>
                </c:pt>
                <c:pt idx="690" formatCode="0.00">
                  <c:v>-129.10956118527025</c:v>
                </c:pt>
                <c:pt idx="691" formatCode="0.00">
                  <c:v>-117.88541890101473</c:v>
                </c:pt>
                <c:pt idx="692" formatCode="0.00">
                  <c:v>-87.489758916177379</c:v>
                </c:pt>
                <c:pt idx="693" formatCode="0.00">
                  <c:v>-45.693834918077471</c:v>
                </c:pt>
                <c:pt idx="694" formatCode="0.00">
                  <c:v>-21.533369097454127</c:v>
                </c:pt>
                <c:pt idx="695" formatCode="0.00">
                  <c:v>-61.200262421525721</c:v>
                </c:pt>
                <c:pt idx="696" formatCode="0.00">
                  <c:v>-83.161691819135541</c:v>
                </c:pt>
                <c:pt idx="697" formatCode="0.00">
                  <c:v>-85.649800089834997</c:v>
                </c:pt>
                <c:pt idx="698" formatCode="0.00">
                  <c:v>-91.675445172817206</c:v>
                </c:pt>
                <c:pt idx="699" formatCode="0.00">
                  <c:v>-92.644338383960445</c:v>
                </c:pt>
                <c:pt idx="700" formatCode="0.00">
                  <c:v>-88.564412412119964</c:v>
                </c:pt>
                <c:pt idx="701" formatCode="0.00">
                  <c:v>-84.921573312266048</c:v>
                </c:pt>
                <c:pt idx="702" formatCode="0.00">
                  <c:v>-44.121055930948785</c:v>
                </c:pt>
                <c:pt idx="703" formatCode="0.00">
                  <c:v>-19.307670733081835</c:v>
                </c:pt>
                <c:pt idx="704" formatCode="0.00">
                  <c:v>-35.745263950370514</c:v>
                </c:pt>
                <c:pt idx="705" formatCode="0.00">
                  <c:v>-61.091894019697179</c:v>
                </c:pt>
                <c:pt idx="706" formatCode="0.00">
                  <c:v>-93.861448069744043</c:v>
                </c:pt>
                <c:pt idx="707" formatCode="0.00">
                  <c:v>-106.23921717404312</c:v>
                </c:pt>
                <c:pt idx="708" formatCode="0.00">
                  <c:v>-117.29150884780346</c:v>
                </c:pt>
                <c:pt idx="709" formatCode="0.00">
                  <c:v>-132.39413693888071</c:v>
                </c:pt>
                <c:pt idx="710" formatCode="0.00">
                  <c:v>-140.51294654764803</c:v>
                </c:pt>
                <c:pt idx="711" formatCode="0.00">
                  <c:v>-142.92492887586025</c:v>
                </c:pt>
                <c:pt idx="712" formatCode="0.00">
                  <c:v>-146.58120114722919</c:v>
                </c:pt>
                <c:pt idx="713" formatCode="0.00">
                  <c:v>-144.36769090463795</c:v>
                </c:pt>
                <c:pt idx="714" formatCode="0.00">
                  <c:v>-133.23581124107741</c:v>
                </c:pt>
                <c:pt idx="715" formatCode="0.00">
                  <c:v>-102.93278165559755</c:v>
                </c:pt>
                <c:pt idx="716" formatCode="0.00">
                  <c:v>-61.229840297083513</c:v>
                </c:pt>
                <c:pt idx="717" formatCode="0.00">
                  <c:v>-37.162693870661357</c:v>
                </c:pt>
                <c:pt idx="718" formatCode="0.00">
                  <c:v>-76.923227918101389</c:v>
                </c:pt>
                <c:pt idx="719" formatCode="0.00">
                  <c:v>-98.978604010245817</c:v>
                </c:pt>
                <c:pt idx="720" formatCode="0.00">
                  <c:v>-101.56094966330262</c:v>
                </c:pt>
                <c:pt idx="721" formatCode="0.00">
                  <c:v>-107.6811076149078</c:v>
                </c:pt>
                <c:pt idx="722" formatCode="0.00">
                  <c:v>-108.74477406820637</c:v>
                </c:pt>
                <c:pt idx="723" formatCode="0.00">
                  <c:v>-104.75986669508043</c:v>
                </c:pt>
                <c:pt idx="724" formatCode="0.00">
                  <c:v>-101.21227663611387</c:v>
                </c:pt>
                <c:pt idx="725" formatCode="0.00">
                  <c:v>-60.020482201475957</c:v>
                </c:pt>
                <c:pt idx="726" formatCode="0.00">
                  <c:v>-35.299813279809172</c:v>
                </c:pt>
                <c:pt idx="727" formatCode="0.00">
                  <c:v>-51.83038022099953</c:v>
                </c:pt>
                <c:pt idx="728" formatCode="0.00">
                  <c:v>-77.27022817889025</c:v>
                </c:pt>
                <c:pt idx="729" formatCode="0.00">
                  <c:v>-110.13323107776961</c:v>
                </c:pt>
                <c:pt idx="730" formatCode="0.00">
                  <c:v>-122.60466687082911</c:v>
                </c:pt>
                <c:pt idx="731" formatCode="0.00">
                  <c:v>-133.75083004231044</c:v>
                </c:pt>
                <c:pt idx="732" formatCode="0.00">
                  <c:v>-148.94752150369885</c:v>
                </c:pt>
                <c:pt idx="733" formatCode="0.00">
                  <c:v>-157.1605735187166</c:v>
                </c:pt>
                <c:pt idx="734" formatCode="0.00">
                  <c:v>-159.66696455720239</c:v>
                </c:pt>
                <c:pt idx="735" formatCode="0.00">
                  <c:v>-163.41779922059007</c:v>
                </c:pt>
                <c:pt idx="736" formatCode="0.00">
                  <c:v>-161.29899254390742</c:v>
                </c:pt>
                <c:pt idx="737" formatCode="0.00">
                  <c:v>-150.26194523137528</c:v>
                </c:pt>
                <c:pt idx="738" formatCode="0.00">
                  <c:v>-120.05386451689358</c:v>
                </c:pt>
                <c:pt idx="739" formatCode="0.00">
                  <c:v>-78.445976412220077</c:v>
                </c:pt>
                <c:pt idx="740" formatCode="0.00">
                  <c:v>-54.473975617643049</c:v>
                </c:pt>
                <c:pt idx="741" formatCode="0.00">
                  <c:v>-94.329735806510826</c:v>
                </c:pt>
                <c:pt idx="742" formatCode="0.00">
                  <c:v>-116.48040682164287</c:v>
                </c:pt>
                <c:pt idx="743" formatCode="0.00">
                  <c:v>-119.15810459545946</c:v>
                </c:pt>
                <c:pt idx="744" formatCode="0.00">
                  <c:v>-125.3736604297298</c:v>
                </c:pt>
                <c:pt idx="745" formatCode="0.00">
                  <c:v>-126.5327592431864</c:v>
                </c:pt>
                <c:pt idx="746" formatCode="0.00">
                  <c:v>-122.6433075781313</c:v>
                </c:pt>
                <c:pt idx="747" formatCode="0.00">
                  <c:v>-119.19118560362136</c:v>
                </c:pt>
                <c:pt idx="748" formatCode="0.00">
                  <c:v>-77.615044110808228</c:v>
                </c:pt>
                <c:pt idx="749" formatCode="0.00">
                  <c:v>-52.988225540968187</c:v>
                </c:pt>
                <c:pt idx="750" formatCode="0.00">
                  <c:v>-69.612693152746218</c:v>
                </c:pt>
                <c:pt idx="751" formatCode="0.00">
                  <c:v>-95.146481983120296</c:v>
                </c:pt>
                <c:pt idx="752" formatCode="0.00">
                  <c:v>-128.10345596824865</c:v>
                </c:pt>
                <c:pt idx="753" formatCode="0.00">
                  <c:v>-140.66888320460788</c:v>
                </c:pt>
                <c:pt idx="754" formatCode="0.00">
                  <c:v>-151.90904845369798</c:v>
                </c:pt>
                <c:pt idx="755" formatCode="0.00">
                  <c:v>-167.19974304067114</c:v>
                </c:pt>
                <c:pt idx="756" formatCode="0.00">
                  <c:v>-175.50678978163745</c:v>
                </c:pt>
                <c:pt idx="757" formatCode="0.00">
                  <c:v>-178.10715783973174</c:v>
                </c:pt>
                <c:pt idx="758" formatCode="0.00">
                  <c:v>-181.95194265265431</c:v>
                </c:pt>
                <c:pt idx="759" formatCode="0.00">
                  <c:v>-179.92705023660659</c:v>
                </c:pt>
                <c:pt idx="760" formatCode="0.00">
                  <c:v>-168.98387242370092</c:v>
                </c:pt>
                <c:pt idx="761" formatCode="0.00">
                  <c:v>-138.86960772413119</c:v>
                </c:pt>
                <c:pt idx="762" formatCode="0.00">
                  <c:v>-97.35547357591085</c:v>
                </c:pt>
              </c:numCache>
            </c:numRef>
          </c:val>
          <c:smooth val="0"/>
          <c:extLst>
            <c:ext xmlns:c16="http://schemas.microsoft.com/office/drawing/2014/chart" uri="{C3380CC4-5D6E-409C-BE32-E72D297353CC}">
              <c16:uniqueId val="{00000002-39F5-4570-8DE9-6A407CC7D683}"/>
            </c:ext>
          </c:extLst>
        </c:ser>
        <c:ser>
          <c:idx val="3"/>
          <c:order val="3"/>
          <c:tx>
            <c:strRef>
              <c:f>forecast!$E$1</c:f>
              <c:strCache>
                <c:ptCount val="1"/>
                <c:pt idx="0">
                  <c:v>Upper Confidence Bound(cnt)</c:v>
                </c:pt>
              </c:strCache>
            </c:strRef>
          </c:tx>
          <c:spPr>
            <a:ln w="28575" cap="rnd">
              <a:solidFill>
                <a:schemeClr val="accent4"/>
              </a:solidFill>
              <a:round/>
            </a:ln>
            <a:effectLst/>
          </c:spPr>
          <c:marker>
            <c:symbol val="none"/>
          </c:marker>
          <c:cat>
            <c:numRef>
              <c:f>forecast!$A$2:$A$764</c:f>
              <c:numCache>
                <c:formatCode>dd\-mm\-yyyy</c:formatCode>
                <c:ptCount val="763"/>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pt idx="74">
                  <c:v>40618</c:v>
                </c:pt>
                <c:pt idx="75">
                  <c:v>40619</c:v>
                </c:pt>
                <c:pt idx="76">
                  <c:v>40620</c:v>
                </c:pt>
                <c:pt idx="77">
                  <c:v>40621</c:v>
                </c:pt>
                <c:pt idx="78">
                  <c:v>40622</c:v>
                </c:pt>
                <c:pt idx="79">
                  <c:v>40623</c:v>
                </c:pt>
                <c:pt idx="80">
                  <c:v>40624</c:v>
                </c:pt>
                <c:pt idx="81">
                  <c:v>40625</c:v>
                </c:pt>
                <c:pt idx="82">
                  <c:v>40626</c:v>
                </c:pt>
                <c:pt idx="83">
                  <c:v>40627</c:v>
                </c:pt>
                <c:pt idx="84">
                  <c:v>40628</c:v>
                </c:pt>
                <c:pt idx="85">
                  <c:v>40629</c:v>
                </c:pt>
                <c:pt idx="86">
                  <c:v>40630</c:v>
                </c:pt>
                <c:pt idx="87">
                  <c:v>40631</c:v>
                </c:pt>
                <c:pt idx="88">
                  <c:v>40632</c:v>
                </c:pt>
                <c:pt idx="89">
                  <c:v>40633</c:v>
                </c:pt>
                <c:pt idx="90">
                  <c:v>40634</c:v>
                </c:pt>
                <c:pt idx="91">
                  <c:v>40635</c:v>
                </c:pt>
                <c:pt idx="92">
                  <c:v>40636</c:v>
                </c:pt>
                <c:pt idx="93">
                  <c:v>40637</c:v>
                </c:pt>
                <c:pt idx="94">
                  <c:v>40638</c:v>
                </c:pt>
                <c:pt idx="95">
                  <c:v>40639</c:v>
                </c:pt>
                <c:pt idx="96">
                  <c:v>40640</c:v>
                </c:pt>
                <c:pt idx="97">
                  <c:v>40641</c:v>
                </c:pt>
                <c:pt idx="98">
                  <c:v>40642</c:v>
                </c:pt>
                <c:pt idx="99">
                  <c:v>40643</c:v>
                </c:pt>
                <c:pt idx="100">
                  <c:v>40644</c:v>
                </c:pt>
                <c:pt idx="101">
                  <c:v>40645</c:v>
                </c:pt>
                <c:pt idx="102">
                  <c:v>40646</c:v>
                </c:pt>
                <c:pt idx="103">
                  <c:v>40647</c:v>
                </c:pt>
                <c:pt idx="104">
                  <c:v>40648</c:v>
                </c:pt>
                <c:pt idx="105">
                  <c:v>40649</c:v>
                </c:pt>
                <c:pt idx="106">
                  <c:v>40650</c:v>
                </c:pt>
                <c:pt idx="107">
                  <c:v>40651</c:v>
                </c:pt>
                <c:pt idx="108">
                  <c:v>40652</c:v>
                </c:pt>
                <c:pt idx="109">
                  <c:v>40653</c:v>
                </c:pt>
                <c:pt idx="110">
                  <c:v>40654</c:v>
                </c:pt>
                <c:pt idx="111">
                  <c:v>40655</c:v>
                </c:pt>
                <c:pt idx="112">
                  <c:v>40656</c:v>
                </c:pt>
                <c:pt idx="113">
                  <c:v>40657</c:v>
                </c:pt>
                <c:pt idx="114">
                  <c:v>40658</c:v>
                </c:pt>
                <c:pt idx="115">
                  <c:v>40659</c:v>
                </c:pt>
                <c:pt idx="116">
                  <c:v>40660</c:v>
                </c:pt>
                <c:pt idx="117">
                  <c:v>40661</c:v>
                </c:pt>
                <c:pt idx="118">
                  <c:v>40662</c:v>
                </c:pt>
                <c:pt idx="119">
                  <c:v>40663</c:v>
                </c:pt>
                <c:pt idx="120">
                  <c:v>40664</c:v>
                </c:pt>
                <c:pt idx="121">
                  <c:v>40665</c:v>
                </c:pt>
                <c:pt idx="122">
                  <c:v>40666</c:v>
                </c:pt>
                <c:pt idx="123">
                  <c:v>40667</c:v>
                </c:pt>
                <c:pt idx="124">
                  <c:v>40668</c:v>
                </c:pt>
                <c:pt idx="125">
                  <c:v>40669</c:v>
                </c:pt>
                <c:pt idx="126">
                  <c:v>40670</c:v>
                </c:pt>
                <c:pt idx="127">
                  <c:v>40671</c:v>
                </c:pt>
                <c:pt idx="128">
                  <c:v>40672</c:v>
                </c:pt>
                <c:pt idx="129">
                  <c:v>40673</c:v>
                </c:pt>
                <c:pt idx="130">
                  <c:v>40674</c:v>
                </c:pt>
                <c:pt idx="131">
                  <c:v>40675</c:v>
                </c:pt>
                <c:pt idx="132">
                  <c:v>40676</c:v>
                </c:pt>
                <c:pt idx="133">
                  <c:v>40677</c:v>
                </c:pt>
                <c:pt idx="134">
                  <c:v>40678</c:v>
                </c:pt>
                <c:pt idx="135">
                  <c:v>40679</c:v>
                </c:pt>
                <c:pt idx="136">
                  <c:v>40680</c:v>
                </c:pt>
                <c:pt idx="137">
                  <c:v>40681</c:v>
                </c:pt>
                <c:pt idx="138">
                  <c:v>40682</c:v>
                </c:pt>
                <c:pt idx="139">
                  <c:v>40683</c:v>
                </c:pt>
                <c:pt idx="140">
                  <c:v>40684</c:v>
                </c:pt>
                <c:pt idx="141">
                  <c:v>40685</c:v>
                </c:pt>
                <c:pt idx="142">
                  <c:v>40686</c:v>
                </c:pt>
                <c:pt idx="143">
                  <c:v>40687</c:v>
                </c:pt>
                <c:pt idx="144">
                  <c:v>40688</c:v>
                </c:pt>
                <c:pt idx="145">
                  <c:v>40689</c:v>
                </c:pt>
                <c:pt idx="146">
                  <c:v>40690</c:v>
                </c:pt>
                <c:pt idx="147">
                  <c:v>40691</c:v>
                </c:pt>
                <c:pt idx="148">
                  <c:v>40692</c:v>
                </c:pt>
                <c:pt idx="149">
                  <c:v>40693</c:v>
                </c:pt>
                <c:pt idx="150">
                  <c:v>40694</c:v>
                </c:pt>
                <c:pt idx="151">
                  <c:v>40695</c:v>
                </c:pt>
                <c:pt idx="152">
                  <c:v>40696</c:v>
                </c:pt>
                <c:pt idx="153">
                  <c:v>40697</c:v>
                </c:pt>
                <c:pt idx="154">
                  <c:v>40698</c:v>
                </c:pt>
                <c:pt idx="155">
                  <c:v>40699</c:v>
                </c:pt>
                <c:pt idx="156">
                  <c:v>40700</c:v>
                </c:pt>
                <c:pt idx="157">
                  <c:v>40701</c:v>
                </c:pt>
                <c:pt idx="158">
                  <c:v>40702</c:v>
                </c:pt>
                <c:pt idx="159">
                  <c:v>40703</c:v>
                </c:pt>
                <c:pt idx="160">
                  <c:v>40704</c:v>
                </c:pt>
                <c:pt idx="161">
                  <c:v>40705</c:v>
                </c:pt>
                <c:pt idx="162">
                  <c:v>40706</c:v>
                </c:pt>
                <c:pt idx="163">
                  <c:v>40707</c:v>
                </c:pt>
                <c:pt idx="164">
                  <c:v>40708</c:v>
                </c:pt>
                <c:pt idx="165">
                  <c:v>40709</c:v>
                </c:pt>
                <c:pt idx="166">
                  <c:v>40710</c:v>
                </c:pt>
                <c:pt idx="167">
                  <c:v>40711</c:v>
                </c:pt>
                <c:pt idx="168">
                  <c:v>40712</c:v>
                </c:pt>
                <c:pt idx="169">
                  <c:v>40713</c:v>
                </c:pt>
                <c:pt idx="170">
                  <c:v>40714</c:v>
                </c:pt>
                <c:pt idx="171">
                  <c:v>40715</c:v>
                </c:pt>
                <c:pt idx="172">
                  <c:v>40716</c:v>
                </c:pt>
                <c:pt idx="173">
                  <c:v>40717</c:v>
                </c:pt>
                <c:pt idx="174">
                  <c:v>40718</c:v>
                </c:pt>
                <c:pt idx="175">
                  <c:v>40719</c:v>
                </c:pt>
                <c:pt idx="176">
                  <c:v>40720</c:v>
                </c:pt>
                <c:pt idx="177">
                  <c:v>40721</c:v>
                </c:pt>
                <c:pt idx="178">
                  <c:v>40722</c:v>
                </c:pt>
                <c:pt idx="179">
                  <c:v>40723</c:v>
                </c:pt>
                <c:pt idx="180">
                  <c:v>40724</c:v>
                </c:pt>
                <c:pt idx="181">
                  <c:v>40725</c:v>
                </c:pt>
                <c:pt idx="182">
                  <c:v>40726</c:v>
                </c:pt>
                <c:pt idx="183">
                  <c:v>40727</c:v>
                </c:pt>
                <c:pt idx="184">
                  <c:v>40728</c:v>
                </c:pt>
                <c:pt idx="185">
                  <c:v>40729</c:v>
                </c:pt>
                <c:pt idx="186">
                  <c:v>40730</c:v>
                </c:pt>
                <c:pt idx="187">
                  <c:v>40731</c:v>
                </c:pt>
                <c:pt idx="188">
                  <c:v>40732</c:v>
                </c:pt>
                <c:pt idx="189">
                  <c:v>40733</c:v>
                </c:pt>
                <c:pt idx="190">
                  <c:v>40734</c:v>
                </c:pt>
                <c:pt idx="191">
                  <c:v>40735</c:v>
                </c:pt>
                <c:pt idx="192">
                  <c:v>40736</c:v>
                </c:pt>
                <c:pt idx="193">
                  <c:v>40737</c:v>
                </c:pt>
                <c:pt idx="194">
                  <c:v>40738</c:v>
                </c:pt>
                <c:pt idx="195">
                  <c:v>40739</c:v>
                </c:pt>
                <c:pt idx="196">
                  <c:v>40740</c:v>
                </c:pt>
                <c:pt idx="197">
                  <c:v>40741</c:v>
                </c:pt>
                <c:pt idx="198">
                  <c:v>40742</c:v>
                </c:pt>
                <c:pt idx="199">
                  <c:v>40743</c:v>
                </c:pt>
                <c:pt idx="200">
                  <c:v>40744</c:v>
                </c:pt>
                <c:pt idx="201">
                  <c:v>40745</c:v>
                </c:pt>
                <c:pt idx="202">
                  <c:v>40746</c:v>
                </c:pt>
                <c:pt idx="203">
                  <c:v>40747</c:v>
                </c:pt>
                <c:pt idx="204">
                  <c:v>40748</c:v>
                </c:pt>
                <c:pt idx="205">
                  <c:v>40749</c:v>
                </c:pt>
                <c:pt idx="206">
                  <c:v>40750</c:v>
                </c:pt>
                <c:pt idx="207">
                  <c:v>40751</c:v>
                </c:pt>
                <c:pt idx="208">
                  <c:v>40752</c:v>
                </c:pt>
                <c:pt idx="209">
                  <c:v>40753</c:v>
                </c:pt>
                <c:pt idx="210">
                  <c:v>40754</c:v>
                </c:pt>
                <c:pt idx="211">
                  <c:v>40755</c:v>
                </c:pt>
                <c:pt idx="212">
                  <c:v>40756</c:v>
                </c:pt>
                <c:pt idx="213">
                  <c:v>40757</c:v>
                </c:pt>
                <c:pt idx="214">
                  <c:v>40758</c:v>
                </c:pt>
                <c:pt idx="215">
                  <c:v>40759</c:v>
                </c:pt>
                <c:pt idx="216">
                  <c:v>40760</c:v>
                </c:pt>
                <c:pt idx="217">
                  <c:v>40761</c:v>
                </c:pt>
                <c:pt idx="218">
                  <c:v>40762</c:v>
                </c:pt>
                <c:pt idx="219">
                  <c:v>40763</c:v>
                </c:pt>
                <c:pt idx="220">
                  <c:v>40764</c:v>
                </c:pt>
                <c:pt idx="221">
                  <c:v>40765</c:v>
                </c:pt>
                <c:pt idx="222">
                  <c:v>40766</c:v>
                </c:pt>
                <c:pt idx="223">
                  <c:v>40767</c:v>
                </c:pt>
                <c:pt idx="224">
                  <c:v>40768</c:v>
                </c:pt>
                <c:pt idx="225">
                  <c:v>40769</c:v>
                </c:pt>
                <c:pt idx="226">
                  <c:v>40770</c:v>
                </c:pt>
                <c:pt idx="227">
                  <c:v>40771</c:v>
                </c:pt>
                <c:pt idx="228">
                  <c:v>40772</c:v>
                </c:pt>
                <c:pt idx="229">
                  <c:v>40773</c:v>
                </c:pt>
                <c:pt idx="230">
                  <c:v>40774</c:v>
                </c:pt>
                <c:pt idx="231">
                  <c:v>40775</c:v>
                </c:pt>
                <c:pt idx="232">
                  <c:v>40776</c:v>
                </c:pt>
                <c:pt idx="233">
                  <c:v>40777</c:v>
                </c:pt>
                <c:pt idx="234">
                  <c:v>40778</c:v>
                </c:pt>
                <c:pt idx="235">
                  <c:v>40779</c:v>
                </c:pt>
                <c:pt idx="236">
                  <c:v>40780</c:v>
                </c:pt>
                <c:pt idx="237">
                  <c:v>40781</c:v>
                </c:pt>
                <c:pt idx="238">
                  <c:v>40782</c:v>
                </c:pt>
                <c:pt idx="239">
                  <c:v>40783</c:v>
                </c:pt>
                <c:pt idx="240">
                  <c:v>40784</c:v>
                </c:pt>
                <c:pt idx="241">
                  <c:v>40785</c:v>
                </c:pt>
                <c:pt idx="242">
                  <c:v>40786</c:v>
                </c:pt>
                <c:pt idx="243">
                  <c:v>40787</c:v>
                </c:pt>
                <c:pt idx="244">
                  <c:v>40788</c:v>
                </c:pt>
                <c:pt idx="245">
                  <c:v>40789</c:v>
                </c:pt>
                <c:pt idx="246">
                  <c:v>40790</c:v>
                </c:pt>
                <c:pt idx="247">
                  <c:v>40791</c:v>
                </c:pt>
                <c:pt idx="248">
                  <c:v>40792</c:v>
                </c:pt>
                <c:pt idx="249">
                  <c:v>40793</c:v>
                </c:pt>
                <c:pt idx="250">
                  <c:v>40794</c:v>
                </c:pt>
                <c:pt idx="251">
                  <c:v>40795</c:v>
                </c:pt>
                <c:pt idx="252">
                  <c:v>40796</c:v>
                </c:pt>
                <c:pt idx="253">
                  <c:v>40797</c:v>
                </c:pt>
                <c:pt idx="254">
                  <c:v>40798</c:v>
                </c:pt>
                <c:pt idx="255">
                  <c:v>40799</c:v>
                </c:pt>
                <c:pt idx="256">
                  <c:v>40800</c:v>
                </c:pt>
                <c:pt idx="257">
                  <c:v>40801</c:v>
                </c:pt>
                <c:pt idx="258">
                  <c:v>40802</c:v>
                </c:pt>
                <c:pt idx="259">
                  <c:v>40803</c:v>
                </c:pt>
                <c:pt idx="260">
                  <c:v>40804</c:v>
                </c:pt>
                <c:pt idx="261">
                  <c:v>40805</c:v>
                </c:pt>
                <c:pt idx="262">
                  <c:v>40806</c:v>
                </c:pt>
                <c:pt idx="263">
                  <c:v>40807</c:v>
                </c:pt>
                <c:pt idx="264">
                  <c:v>40808</c:v>
                </c:pt>
                <c:pt idx="265">
                  <c:v>40809</c:v>
                </c:pt>
                <c:pt idx="266">
                  <c:v>40810</c:v>
                </c:pt>
                <c:pt idx="267">
                  <c:v>40811</c:v>
                </c:pt>
                <c:pt idx="268">
                  <c:v>40812</c:v>
                </c:pt>
                <c:pt idx="269">
                  <c:v>40813</c:v>
                </c:pt>
                <c:pt idx="270">
                  <c:v>40814</c:v>
                </c:pt>
                <c:pt idx="271">
                  <c:v>40815</c:v>
                </c:pt>
                <c:pt idx="272">
                  <c:v>40816</c:v>
                </c:pt>
                <c:pt idx="273">
                  <c:v>40817</c:v>
                </c:pt>
                <c:pt idx="274">
                  <c:v>40818</c:v>
                </c:pt>
                <c:pt idx="275">
                  <c:v>40819</c:v>
                </c:pt>
                <c:pt idx="276">
                  <c:v>40820</c:v>
                </c:pt>
                <c:pt idx="277">
                  <c:v>40821</c:v>
                </c:pt>
                <c:pt idx="278">
                  <c:v>40822</c:v>
                </c:pt>
                <c:pt idx="279">
                  <c:v>40823</c:v>
                </c:pt>
                <c:pt idx="280">
                  <c:v>40824</c:v>
                </c:pt>
                <c:pt idx="281">
                  <c:v>40825</c:v>
                </c:pt>
                <c:pt idx="282">
                  <c:v>40826</c:v>
                </c:pt>
                <c:pt idx="283">
                  <c:v>40827</c:v>
                </c:pt>
                <c:pt idx="284">
                  <c:v>40828</c:v>
                </c:pt>
                <c:pt idx="285">
                  <c:v>40829</c:v>
                </c:pt>
                <c:pt idx="286">
                  <c:v>40830</c:v>
                </c:pt>
                <c:pt idx="287">
                  <c:v>40831</c:v>
                </c:pt>
                <c:pt idx="288">
                  <c:v>40832</c:v>
                </c:pt>
                <c:pt idx="289">
                  <c:v>40833</c:v>
                </c:pt>
                <c:pt idx="290">
                  <c:v>40834</c:v>
                </c:pt>
                <c:pt idx="291">
                  <c:v>40835</c:v>
                </c:pt>
                <c:pt idx="292">
                  <c:v>40836</c:v>
                </c:pt>
                <c:pt idx="293">
                  <c:v>40837</c:v>
                </c:pt>
                <c:pt idx="294">
                  <c:v>40838</c:v>
                </c:pt>
                <c:pt idx="295">
                  <c:v>40839</c:v>
                </c:pt>
                <c:pt idx="296">
                  <c:v>40840</c:v>
                </c:pt>
                <c:pt idx="297">
                  <c:v>40841</c:v>
                </c:pt>
                <c:pt idx="298">
                  <c:v>40842</c:v>
                </c:pt>
                <c:pt idx="299">
                  <c:v>40843</c:v>
                </c:pt>
                <c:pt idx="300">
                  <c:v>40844</c:v>
                </c:pt>
                <c:pt idx="301">
                  <c:v>40845</c:v>
                </c:pt>
                <c:pt idx="302">
                  <c:v>40846</c:v>
                </c:pt>
                <c:pt idx="303">
                  <c:v>40847</c:v>
                </c:pt>
                <c:pt idx="304">
                  <c:v>40848</c:v>
                </c:pt>
                <c:pt idx="305">
                  <c:v>40849</c:v>
                </c:pt>
                <c:pt idx="306">
                  <c:v>40850</c:v>
                </c:pt>
                <c:pt idx="307">
                  <c:v>40851</c:v>
                </c:pt>
                <c:pt idx="308">
                  <c:v>40852</c:v>
                </c:pt>
                <c:pt idx="309">
                  <c:v>40853</c:v>
                </c:pt>
                <c:pt idx="310">
                  <c:v>40854</c:v>
                </c:pt>
                <c:pt idx="311">
                  <c:v>40855</c:v>
                </c:pt>
                <c:pt idx="312">
                  <c:v>40856</c:v>
                </c:pt>
                <c:pt idx="313">
                  <c:v>40857</c:v>
                </c:pt>
                <c:pt idx="314">
                  <c:v>40858</c:v>
                </c:pt>
                <c:pt idx="315">
                  <c:v>40859</c:v>
                </c:pt>
                <c:pt idx="316">
                  <c:v>40860</c:v>
                </c:pt>
                <c:pt idx="317">
                  <c:v>40861</c:v>
                </c:pt>
                <c:pt idx="318">
                  <c:v>40862</c:v>
                </c:pt>
                <c:pt idx="319">
                  <c:v>40863</c:v>
                </c:pt>
                <c:pt idx="320">
                  <c:v>40864</c:v>
                </c:pt>
                <c:pt idx="321">
                  <c:v>40865</c:v>
                </c:pt>
                <c:pt idx="322">
                  <c:v>40866</c:v>
                </c:pt>
                <c:pt idx="323">
                  <c:v>40867</c:v>
                </c:pt>
                <c:pt idx="324">
                  <c:v>40868</c:v>
                </c:pt>
                <c:pt idx="325">
                  <c:v>40869</c:v>
                </c:pt>
                <c:pt idx="326">
                  <c:v>40870</c:v>
                </c:pt>
                <c:pt idx="327">
                  <c:v>40871</c:v>
                </c:pt>
                <c:pt idx="328">
                  <c:v>40872</c:v>
                </c:pt>
                <c:pt idx="329">
                  <c:v>40873</c:v>
                </c:pt>
                <c:pt idx="330">
                  <c:v>40874</c:v>
                </c:pt>
                <c:pt idx="331">
                  <c:v>40875</c:v>
                </c:pt>
                <c:pt idx="332">
                  <c:v>40876</c:v>
                </c:pt>
                <c:pt idx="333">
                  <c:v>40877</c:v>
                </c:pt>
                <c:pt idx="334">
                  <c:v>40878</c:v>
                </c:pt>
                <c:pt idx="335">
                  <c:v>40879</c:v>
                </c:pt>
                <c:pt idx="336">
                  <c:v>40880</c:v>
                </c:pt>
                <c:pt idx="337">
                  <c:v>40881</c:v>
                </c:pt>
                <c:pt idx="338">
                  <c:v>40882</c:v>
                </c:pt>
                <c:pt idx="339">
                  <c:v>40883</c:v>
                </c:pt>
                <c:pt idx="340">
                  <c:v>40884</c:v>
                </c:pt>
                <c:pt idx="341">
                  <c:v>40885</c:v>
                </c:pt>
                <c:pt idx="342">
                  <c:v>40886</c:v>
                </c:pt>
                <c:pt idx="343">
                  <c:v>40887</c:v>
                </c:pt>
                <c:pt idx="344">
                  <c:v>40888</c:v>
                </c:pt>
                <c:pt idx="345">
                  <c:v>40889</c:v>
                </c:pt>
                <c:pt idx="346">
                  <c:v>40890</c:v>
                </c:pt>
                <c:pt idx="347">
                  <c:v>40891</c:v>
                </c:pt>
                <c:pt idx="348">
                  <c:v>40892</c:v>
                </c:pt>
                <c:pt idx="349">
                  <c:v>40893</c:v>
                </c:pt>
                <c:pt idx="350">
                  <c:v>40894</c:v>
                </c:pt>
                <c:pt idx="351">
                  <c:v>40895</c:v>
                </c:pt>
                <c:pt idx="352">
                  <c:v>40896</c:v>
                </c:pt>
                <c:pt idx="353">
                  <c:v>40897</c:v>
                </c:pt>
                <c:pt idx="354">
                  <c:v>40898</c:v>
                </c:pt>
                <c:pt idx="355">
                  <c:v>40899</c:v>
                </c:pt>
                <c:pt idx="356">
                  <c:v>40900</c:v>
                </c:pt>
                <c:pt idx="357">
                  <c:v>40901</c:v>
                </c:pt>
                <c:pt idx="358">
                  <c:v>40902</c:v>
                </c:pt>
                <c:pt idx="359">
                  <c:v>40903</c:v>
                </c:pt>
                <c:pt idx="360">
                  <c:v>40904</c:v>
                </c:pt>
                <c:pt idx="361">
                  <c:v>40905</c:v>
                </c:pt>
                <c:pt idx="362">
                  <c:v>40906</c:v>
                </c:pt>
                <c:pt idx="363">
                  <c:v>40907</c:v>
                </c:pt>
                <c:pt idx="364">
                  <c:v>40908</c:v>
                </c:pt>
                <c:pt idx="365">
                  <c:v>40909</c:v>
                </c:pt>
                <c:pt idx="366">
                  <c:v>40910</c:v>
                </c:pt>
                <c:pt idx="367">
                  <c:v>40911</c:v>
                </c:pt>
                <c:pt idx="368">
                  <c:v>40912</c:v>
                </c:pt>
                <c:pt idx="369">
                  <c:v>40913</c:v>
                </c:pt>
                <c:pt idx="370">
                  <c:v>40914</c:v>
                </c:pt>
                <c:pt idx="371">
                  <c:v>40915</c:v>
                </c:pt>
                <c:pt idx="372">
                  <c:v>40916</c:v>
                </c:pt>
                <c:pt idx="373">
                  <c:v>40917</c:v>
                </c:pt>
                <c:pt idx="374">
                  <c:v>40918</c:v>
                </c:pt>
                <c:pt idx="375">
                  <c:v>40919</c:v>
                </c:pt>
                <c:pt idx="376">
                  <c:v>40920</c:v>
                </c:pt>
                <c:pt idx="377">
                  <c:v>40921</c:v>
                </c:pt>
                <c:pt idx="378">
                  <c:v>40922</c:v>
                </c:pt>
                <c:pt idx="379">
                  <c:v>40923</c:v>
                </c:pt>
                <c:pt idx="380">
                  <c:v>40924</c:v>
                </c:pt>
                <c:pt idx="381">
                  <c:v>40925</c:v>
                </c:pt>
                <c:pt idx="382">
                  <c:v>40926</c:v>
                </c:pt>
                <c:pt idx="383">
                  <c:v>40927</c:v>
                </c:pt>
                <c:pt idx="384">
                  <c:v>40928</c:v>
                </c:pt>
                <c:pt idx="385">
                  <c:v>40929</c:v>
                </c:pt>
                <c:pt idx="386">
                  <c:v>40930</c:v>
                </c:pt>
                <c:pt idx="387">
                  <c:v>40931</c:v>
                </c:pt>
                <c:pt idx="388">
                  <c:v>40932</c:v>
                </c:pt>
                <c:pt idx="389">
                  <c:v>40933</c:v>
                </c:pt>
                <c:pt idx="390">
                  <c:v>40934</c:v>
                </c:pt>
                <c:pt idx="391">
                  <c:v>40935</c:v>
                </c:pt>
                <c:pt idx="392">
                  <c:v>40936</c:v>
                </c:pt>
                <c:pt idx="393">
                  <c:v>40937</c:v>
                </c:pt>
                <c:pt idx="394">
                  <c:v>40938</c:v>
                </c:pt>
                <c:pt idx="395">
                  <c:v>40939</c:v>
                </c:pt>
                <c:pt idx="396">
                  <c:v>40940</c:v>
                </c:pt>
                <c:pt idx="397">
                  <c:v>40941</c:v>
                </c:pt>
                <c:pt idx="398">
                  <c:v>40942</c:v>
                </c:pt>
                <c:pt idx="399">
                  <c:v>40943</c:v>
                </c:pt>
                <c:pt idx="400">
                  <c:v>40944</c:v>
                </c:pt>
                <c:pt idx="401">
                  <c:v>40945</c:v>
                </c:pt>
                <c:pt idx="402">
                  <c:v>40946</c:v>
                </c:pt>
                <c:pt idx="403">
                  <c:v>40947</c:v>
                </c:pt>
                <c:pt idx="404">
                  <c:v>40948</c:v>
                </c:pt>
                <c:pt idx="405">
                  <c:v>40949</c:v>
                </c:pt>
                <c:pt idx="406">
                  <c:v>40950</c:v>
                </c:pt>
                <c:pt idx="407">
                  <c:v>40951</c:v>
                </c:pt>
                <c:pt idx="408">
                  <c:v>40952</c:v>
                </c:pt>
                <c:pt idx="409">
                  <c:v>40953</c:v>
                </c:pt>
                <c:pt idx="410">
                  <c:v>40954</c:v>
                </c:pt>
                <c:pt idx="411">
                  <c:v>40955</c:v>
                </c:pt>
                <c:pt idx="412">
                  <c:v>40956</c:v>
                </c:pt>
                <c:pt idx="413">
                  <c:v>40957</c:v>
                </c:pt>
                <c:pt idx="414">
                  <c:v>40958</c:v>
                </c:pt>
                <c:pt idx="415">
                  <c:v>40959</c:v>
                </c:pt>
                <c:pt idx="416">
                  <c:v>40960</c:v>
                </c:pt>
                <c:pt idx="417">
                  <c:v>40961</c:v>
                </c:pt>
                <c:pt idx="418">
                  <c:v>40962</c:v>
                </c:pt>
                <c:pt idx="419">
                  <c:v>40963</c:v>
                </c:pt>
                <c:pt idx="420">
                  <c:v>40964</c:v>
                </c:pt>
                <c:pt idx="421">
                  <c:v>40965</c:v>
                </c:pt>
                <c:pt idx="422">
                  <c:v>40966</c:v>
                </c:pt>
                <c:pt idx="423">
                  <c:v>40967</c:v>
                </c:pt>
                <c:pt idx="424">
                  <c:v>40968</c:v>
                </c:pt>
                <c:pt idx="425">
                  <c:v>40969</c:v>
                </c:pt>
                <c:pt idx="426">
                  <c:v>40970</c:v>
                </c:pt>
                <c:pt idx="427">
                  <c:v>40971</c:v>
                </c:pt>
                <c:pt idx="428">
                  <c:v>40972</c:v>
                </c:pt>
                <c:pt idx="429">
                  <c:v>40973</c:v>
                </c:pt>
                <c:pt idx="430">
                  <c:v>40974</c:v>
                </c:pt>
                <c:pt idx="431">
                  <c:v>40975</c:v>
                </c:pt>
                <c:pt idx="432">
                  <c:v>40976</c:v>
                </c:pt>
                <c:pt idx="433">
                  <c:v>40977</c:v>
                </c:pt>
                <c:pt idx="434">
                  <c:v>40978</c:v>
                </c:pt>
                <c:pt idx="435">
                  <c:v>40979</c:v>
                </c:pt>
                <c:pt idx="436">
                  <c:v>40980</c:v>
                </c:pt>
                <c:pt idx="437">
                  <c:v>40981</c:v>
                </c:pt>
                <c:pt idx="438">
                  <c:v>40982</c:v>
                </c:pt>
                <c:pt idx="439">
                  <c:v>40983</c:v>
                </c:pt>
                <c:pt idx="440">
                  <c:v>40984</c:v>
                </c:pt>
                <c:pt idx="441">
                  <c:v>40985</c:v>
                </c:pt>
                <c:pt idx="442">
                  <c:v>40986</c:v>
                </c:pt>
                <c:pt idx="443">
                  <c:v>40987</c:v>
                </c:pt>
                <c:pt idx="444">
                  <c:v>40988</c:v>
                </c:pt>
                <c:pt idx="445">
                  <c:v>40989</c:v>
                </c:pt>
                <c:pt idx="446">
                  <c:v>40990</c:v>
                </c:pt>
                <c:pt idx="447">
                  <c:v>40991</c:v>
                </c:pt>
                <c:pt idx="448">
                  <c:v>40992</c:v>
                </c:pt>
                <c:pt idx="449">
                  <c:v>40993</c:v>
                </c:pt>
                <c:pt idx="450">
                  <c:v>40994</c:v>
                </c:pt>
                <c:pt idx="451">
                  <c:v>40995</c:v>
                </c:pt>
                <c:pt idx="452">
                  <c:v>40996</c:v>
                </c:pt>
                <c:pt idx="453">
                  <c:v>40997</c:v>
                </c:pt>
                <c:pt idx="454">
                  <c:v>40998</c:v>
                </c:pt>
                <c:pt idx="455">
                  <c:v>40999</c:v>
                </c:pt>
                <c:pt idx="456">
                  <c:v>41000</c:v>
                </c:pt>
                <c:pt idx="457">
                  <c:v>41001</c:v>
                </c:pt>
                <c:pt idx="458">
                  <c:v>41002</c:v>
                </c:pt>
                <c:pt idx="459">
                  <c:v>41003</c:v>
                </c:pt>
                <c:pt idx="460">
                  <c:v>41004</c:v>
                </c:pt>
                <c:pt idx="461">
                  <c:v>41005</c:v>
                </c:pt>
                <c:pt idx="462">
                  <c:v>41006</c:v>
                </c:pt>
                <c:pt idx="463">
                  <c:v>41007</c:v>
                </c:pt>
                <c:pt idx="464">
                  <c:v>41008</c:v>
                </c:pt>
                <c:pt idx="465">
                  <c:v>41009</c:v>
                </c:pt>
                <c:pt idx="466">
                  <c:v>41010</c:v>
                </c:pt>
                <c:pt idx="467">
                  <c:v>41011</c:v>
                </c:pt>
                <c:pt idx="468">
                  <c:v>41012</c:v>
                </c:pt>
                <c:pt idx="469">
                  <c:v>41013</c:v>
                </c:pt>
                <c:pt idx="470">
                  <c:v>41014</c:v>
                </c:pt>
                <c:pt idx="471">
                  <c:v>41015</c:v>
                </c:pt>
                <c:pt idx="472">
                  <c:v>41016</c:v>
                </c:pt>
                <c:pt idx="473">
                  <c:v>41017</c:v>
                </c:pt>
                <c:pt idx="474">
                  <c:v>41018</c:v>
                </c:pt>
                <c:pt idx="475">
                  <c:v>41019</c:v>
                </c:pt>
                <c:pt idx="476">
                  <c:v>41020</c:v>
                </c:pt>
                <c:pt idx="477">
                  <c:v>41021</c:v>
                </c:pt>
                <c:pt idx="478">
                  <c:v>41022</c:v>
                </c:pt>
                <c:pt idx="479">
                  <c:v>41023</c:v>
                </c:pt>
                <c:pt idx="480">
                  <c:v>41024</c:v>
                </c:pt>
                <c:pt idx="481">
                  <c:v>41025</c:v>
                </c:pt>
                <c:pt idx="482">
                  <c:v>41026</c:v>
                </c:pt>
                <c:pt idx="483">
                  <c:v>41027</c:v>
                </c:pt>
                <c:pt idx="484">
                  <c:v>41028</c:v>
                </c:pt>
                <c:pt idx="485">
                  <c:v>41029</c:v>
                </c:pt>
                <c:pt idx="486">
                  <c:v>41030</c:v>
                </c:pt>
                <c:pt idx="487">
                  <c:v>41031</c:v>
                </c:pt>
                <c:pt idx="488">
                  <c:v>41032</c:v>
                </c:pt>
                <c:pt idx="489">
                  <c:v>41033</c:v>
                </c:pt>
                <c:pt idx="490">
                  <c:v>41034</c:v>
                </c:pt>
                <c:pt idx="491">
                  <c:v>41035</c:v>
                </c:pt>
                <c:pt idx="492">
                  <c:v>41036</c:v>
                </c:pt>
                <c:pt idx="493">
                  <c:v>41037</c:v>
                </c:pt>
                <c:pt idx="494">
                  <c:v>41038</c:v>
                </c:pt>
                <c:pt idx="495">
                  <c:v>41039</c:v>
                </c:pt>
                <c:pt idx="496">
                  <c:v>41040</c:v>
                </c:pt>
                <c:pt idx="497">
                  <c:v>41041</c:v>
                </c:pt>
                <c:pt idx="498">
                  <c:v>41042</c:v>
                </c:pt>
                <c:pt idx="499">
                  <c:v>41043</c:v>
                </c:pt>
                <c:pt idx="500">
                  <c:v>41044</c:v>
                </c:pt>
                <c:pt idx="501">
                  <c:v>41045</c:v>
                </c:pt>
                <c:pt idx="502">
                  <c:v>41046</c:v>
                </c:pt>
                <c:pt idx="503">
                  <c:v>41047</c:v>
                </c:pt>
                <c:pt idx="504">
                  <c:v>41048</c:v>
                </c:pt>
                <c:pt idx="505">
                  <c:v>41049</c:v>
                </c:pt>
                <c:pt idx="506">
                  <c:v>41050</c:v>
                </c:pt>
                <c:pt idx="507">
                  <c:v>41051</c:v>
                </c:pt>
                <c:pt idx="508">
                  <c:v>41052</c:v>
                </c:pt>
                <c:pt idx="509">
                  <c:v>41053</c:v>
                </c:pt>
                <c:pt idx="510">
                  <c:v>41054</c:v>
                </c:pt>
                <c:pt idx="511">
                  <c:v>41055</c:v>
                </c:pt>
                <c:pt idx="512">
                  <c:v>41056</c:v>
                </c:pt>
                <c:pt idx="513">
                  <c:v>41057</c:v>
                </c:pt>
                <c:pt idx="514">
                  <c:v>41058</c:v>
                </c:pt>
                <c:pt idx="515">
                  <c:v>41059</c:v>
                </c:pt>
                <c:pt idx="516">
                  <c:v>41060</c:v>
                </c:pt>
                <c:pt idx="517">
                  <c:v>41061</c:v>
                </c:pt>
                <c:pt idx="518">
                  <c:v>41062</c:v>
                </c:pt>
                <c:pt idx="519">
                  <c:v>41063</c:v>
                </c:pt>
                <c:pt idx="520">
                  <c:v>41064</c:v>
                </c:pt>
                <c:pt idx="521">
                  <c:v>41065</c:v>
                </c:pt>
                <c:pt idx="522">
                  <c:v>41066</c:v>
                </c:pt>
                <c:pt idx="523">
                  <c:v>41067</c:v>
                </c:pt>
                <c:pt idx="524">
                  <c:v>41068</c:v>
                </c:pt>
                <c:pt idx="525">
                  <c:v>41069</c:v>
                </c:pt>
                <c:pt idx="526">
                  <c:v>41070</c:v>
                </c:pt>
                <c:pt idx="527">
                  <c:v>41071</c:v>
                </c:pt>
                <c:pt idx="528">
                  <c:v>41072</c:v>
                </c:pt>
                <c:pt idx="529">
                  <c:v>41073</c:v>
                </c:pt>
                <c:pt idx="530">
                  <c:v>41074</c:v>
                </c:pt>
                <c:pt idx="531">
                  <c:v>41075</c:v>
                </c:pt>
                <c:pt idx="532">
                  <c:v>41076</c:v>
                </c:pt>
                <c:pt idx="533">
                  <c:v>41077</c:v>
                </c:pt>
                <c:pt idx="534">
                  <c:v>41078</c:v>
                </c:pt>
                <c:pt idx="535">
                  <c:v>41079</c:v>
                </c:pt>
                <c:pt idx="536">
                  <c:v>41080</c:v>
                </c:pt>
                <c:pt idx="537">
                  <c:v>41081</c:v>
                </c:pt>
                <c:pt idx="538">
                  <c:v>41082</c:v>
                </c:pt>
                <c:pt idx="539">
                  <c:v>41083</c:v>
                </c:pt>
                <c:pt idx="540">
                  <c:v>41084</c:v>
                </c:pt>
                <c:pt idx="541">
                  <c:v>41085</c:v>
                </c:pt>
                <c:pt idx="542">
                  <c:v>41086</c:v>
                </c:pt>
                <c:pt idx="543">
                  <c:v>41087</c:v>
                </c:pt>
                <c:pt idx="544">
                  <c:v>41088</c:v>
                </c:pt>
                <c:pt idx="545">
                  <c:v>41089</c:v>
                </c:pt>
                <c:pt idx="546">
                  <c:v>41090</c:v>
                </c:pt>
                <c:pt idx="547">
                  <c:v>41091</c:v>
                </c:pt>
                <c:pt idx="548">
                  <c:v>41092</c:v>
                </c:pt>
                <c:pt idx="549">
                  <c:v>41093</c:v>
                </c:pt>
                <c:pt idx="550">
                  <c:v>41094</c:v>
                </c:pt>
                <c:pt idx="551">
                  <c:v>41095</c:v>
                </c:pt>
                <c:pt idx="552">
                  <c:v>41096</c:v>
                </c:pt>
                <c:pt idx="553">
                  <c:v>41097</c:v>
                </c:pt>
                <c:pt idx="554">
                  <c:v>41098</c:v>
                </c:pt>
                <c:pt idx="555">
                  <c:v>41099</c:v>
                </c:pt>
                <c:pt idx="556">
                  <c:v>41100</c:v>
                </c:pt>
                <c:pt idx="557">
                  <c:v>41101</c:v>
                </c:pt>
                <c:pt idx="558">
                  <c:v>41102</c:v>
                </c:pt>
                <c:pt idx="559">
                  <c:v>41103</c:v>
                </c:pt>
                <c:pt idx="560">
                  <c:v>41104</c:v>
                </c:pt>
                <c:pt idx="561">
                  <c:v>41105</c:v>
                </c:pt>
                <c:pt idx="562">
                  <c:v>41106</c:v>
                </c:pt>
                <c:pt idx="563">
                  <c:v>41107</c:v>
                </c:pt>
                <c:pt idx="564">
                  <c:v>41108</c:v>
                </c:pt>
                <c:pt idx="565">
                  <c:v>41109</c:v>
                </c:pt>
                <c:pt idx="566">
                  <c:v>41110</c:v>
                </c:pt>
                <c:pt idx="567">
                  <c:v>41111</c:v>
                </c:pt>
                <c:pt idx="568">
                  <c:v>41112</c:v>
                </c:pt>
                <c:pt idx="569">
                  <c:v>41113</c:v>
                </c:pt>
                <c:pt idx="570">
                  <c:v>41114</c:v>
                </c:pt>
                <c:pt idx="571">
                  <c:v>41115</c:v>
                </c:pt>
                <c:pt idx="572">
                  <c:v>41116</c:v>
                </c:pt>
                <c:pt idx="573">
                  <c:v>41117</c:v>
                </c:pt>
                <c:pt idx="574">
                  <c:v>41118</c:v>
                </c:pt>
                <c:pt idx="575">
                  <c:v>41119</c:v>
                </c:pt>
                <c:pt idx="576">
                  <c:v>41120</c:v>
                </c:pt>
                <c:pt idx="577">
                  <c:v>41121</c:v>
                </c:pt>
                <c:pt idx="578">
                  <c:v>41122</c:v>
                </c:pt>
                <c:pt idx="579">
                  <c:v>41123</c:v>
                </c:pt>
                <c:pt idx="580">
                  <c:v>41124</c:v>
                </c:pt>
                <c:pt idx="581">
                  <c:v>41125</c:v>
                </c:pt>
                <c:pt idx="582">
                  <c:v>41126</c:v>
                </c:pt>
                <c:pt idx="583">
                  <c:v>41127</c:v>
                </c:pt>
                <c:pt idx="584">
                  <c:v>41128</c:v>
                </c:pt>
                <c:pt idx="585">
                  <c:v>41129</c:v>
                </c:pt>
                <c:pt idx="586">
                  <c:v>41130</c:v>
                </c:pt>
                <c:pt idx="587">
                  <c:v>41131</c:v>
                </c:pt>
                <c:pt idx="588">
                  <c:v>41132</c:v>
                </c:pt>
                <c:pt idx="589">
                  <c:v>41133</c:v>
                </c:pt>
                <c:pt idx="590">
                  <c:v>41134</c:v>
                </c:pt>
                <c:pt idx="591">
                  <c:v>41135</c:v>
                </c:pt>
                <c:pt idx="592">
                  <c:v>41136</c:v>
                </c:pt>
                <c:pt idx="593">
                  <c:v>41137</c:v>
                </c:pt>
                <c:pt idx="594">
                  <c:v>41138</c:v>
                </c:pt>
                <c:pt idx="595">
                  <c:v>41139</c:v>
                </c:pt>
                <c:pt idx="596">
                  <c:v>41140</c:v>
                </c:pt>
                <c:pt idx="597">
                  <c:v>41141</c:v>
                </c:pt>
                <c:pt idx="598">
                  <c:v>41142</c:v>
                </c:pt>
                <c:pt idx="599">
                  <c:v>41143</c:v>
                </c:pt>
                <c:pt idx="600">
                  <c:v>41144</c:v>
                </c:pt>
                <c:pt idx="601">
                  <c:v>41145</c:v>
                </c:pt>
                <c:pt idx="602">
                  <c:v>41146</c:v>
                </c:pt>
                <c:pt idx="603">
                  <c:v>41147</c:v>
                </c:pt>
                <c:pt idx="604">
                  <c:v>41148</c:v>
                </c:pt>
                <c:pt idx="605">
                  <c:v>41149</c:v>
                </c:pt>
                <c:pt idx="606">
                  <c:v>41150</c:v>
                </c:pt>
                <c:pt idx="607">
                  <c:v>41151</c:v>
                </c:pt>
                <c:pt idx="608">
                  <c:v>41152</c:v>
                </c:pt>
                <c:pt idx="609">
                  <c:v>41153</c:v>
                </c:pt>
                <c:pt idx="610">
                  <c:v>41154</c:v>
                </c:pt>
                <c:pt idx="611">
                  <c:v>41155</c:v>
                </c:pt>
                <c:pt idx="612">
                  <c:v>41156</c:v>
                </c:pt>
                <c:pt idx="613">
                  <c:v>41157</c:v>
                </c:pt>
                <c:pt idx="614">
                  <c:v>41158</c:v>
                </c:pt>
                <c:pt idx="615">
                  <c:v>41159</c:v>
                </c:pt>
                <c:pt idx="616">
                  <c:v>41160</c:v>
                </c:pt>
                <c:pt idx="617">
                  <c:v>41161</c:v>
                </c:pt>
                <c:pt idx="618">
                  <c:v>41162</c:v>
                </c:pt>
                <c:pt idx="619">
                  <c:v>41163</c:v>
                </c:pt>
                <c:pt idx="620">
                  <c:v>41164</c:v>
                </c:pt>
                <c:pt idx="621">
                  <c:v>41165</c:v>
                </c:pt>
                <c:pt idx="622">
                  <c:v>41166</c:v>
                </c:pt>
                <c:pt idx="623">
                  <c:v>41167</c:v>
                </c:pt>
                <c:pt idx="624">
                  <c:v>41168</c:v>
                </c:pt>
                <c:pt idx="625">
                  <c:v>41169</c:v>
                </c:pt>
                <c:pt idx="626">
                  <c:v>41170</c:v>
                </c:pt>
                <c:pt idx="627">
                  <c:v>41171</c:v>
                </c:pt>
                <c:pt idx="628">
                  <c:v>41172</c:v>
                </c:pt>
                <c:pt idx="629">
                  <c:v>41173</c:v>
                </c:pt>
                <c:pt idx="630">
                  <c:v>41174</c:v>
                </c:pt>
                <c:pt idx="631">
                  <c:v>41175</c:v>
                </c:pt>
                <c:pt idx="632">
                  <c:v>41176</c:v>
                </c:pt>
                <c:pt idx="633">
                  <c:v>41177</c:v>
                </c:pt>
                <c:pt idx="634">
                  <c:v>41178</c:v>
                </c:pt>
                <c:pt idx="635">
                  <c:v>41179</c:v>
                </c:pt>
                <c:pt idx="636">
                  <c:v>41180</c:v>
                </c:pt>
                <c:pt idx="637">
                  <c:v>41181</c:v>
                </c:pt>
                <c:pt idx="638">
                  <c:v>41182</c:v>
                </c:pt>
                <c:pt idx="639">
                  <c:v>41183</c:v>
                </c:pt>
                <c:pt idx="640">
                  <c:v>41184</c:v>
                </c:pt>
                <c:pt idx="641">
                  <c:v>41185</c:v>
                </c:pt>
                <c:pt idx="642">
                  <c:v>41186</c:v>
                </c:pt>
                <c:pt idx="643">
                  <c:v>41187</c:v>
                </c:pt>
                <c:pt idx="644">
                  <c:v>41188</c:v>
                </c:pt>
                <c:pt idx="645">
                  <c:v>41189</c:v>
                </c:pt>
                <c:pt idx="646">
                  <c:v>41190</c:v>
                </c:pt>
                <c:pt idx="647">
                  <c:v>41191</c:v>
                </c:pt>
                <c:pt idx="648">
                  <c:v>41192</c:v>
                </c:pt>
                <c:pt idx="649">
                  <c:v>41193</c:v>
                </c:pt>
                <c:pt idx="650">
                  <c:v>41194</c:v>
                </c:pt>
                <c:pt idx="651">
                  <c:v>41195</c:v>
                </c:pt>
                <c:pt idx="652">
                  <c:v>41196</c:v>
                </c:pt>
                <c:pt idx="653">
                  <c:v>41197</c:v>
                </c:pt>
                <c:pt idx="654">
                  <c:v>41198</c:v>
                </c:pt>
                <c:pt idx="655">
                  <c:v>41199</c:v>
                </c:pt>
                <c:pt idx="656">
                  <c:v>41200</c:v>
                </c:pt>
                <c:pt idx="657">
                  <c:v>41201</c:v>
                </c:pt>
                <c:pt idx="658">
                  <c:v>41202</c:v>
                </c:pt>
                <c:pt idx="659">
                  <c:v>41203</c:v>
                </c:pt>
                <c:pt idx="660">
                  <c:v>41204</c:v>
                </c:pt>
                <c:pt idx="661">
                  <c:v>41205</c:v>
                </c:pt>
                <c:pt idx="662">
                  <c:v>41206</c:v>
                </c:pt>
                <c:pt idx="663">
                  <c:v>41207</c:v>
                </c:pt>
                <c:pt idx="664">
                  <c:v>41208</c:v>
                </c:pt>
                <c:pt idx="665">
                  <c:v>41209</c:v>
                </c:pt>
                <c:pt idx="666">
                  <c:v>41210</c:v>
                </c:pt>
                <c:pt idx="667">
                  <c:v>41211</c:v>
                </c:pt>
                <c:pt idx="668">
                  <c:v>41212</c:v>
                </c:pt>
                <c:pt idx="669">
                  <c:v>41213</c:v>
                </c:pt>
                <c:pt idx="670">
                  <c:v>41214</c:v>
                </c:pt>
                <c:pt idx="671">
                  <c:v>41215</c:v>
                </c:pt>
                <c:pt idx="672">
                  <c:v>41216</c:v>
                </c:pt>
                <c:pt idx="673">
                  <c:v>41217</c:v>
                </c:pt>
                <c:pt idx="674">
                  <c:v>41218</c:v>
                </c:pt>
                <c:pt idx="675">
                  <c:v>41219</c:v>
                </c:pt>
                <c:pt idx="676">
                  <c:v>41220</c:v>
                </c:pt>
                <c:pt idx="677">
                  <c:v>41221</c:v>
                </c:pt>
                <c:pt idx="678">
                  <c:v>41222</c:v>
                </c:pt>
                <c:pt idx="679">
                  <c:v>41223</c:v>
                </c:pt>
                <c:pt idx="680">
                  <c:v>41224</c:v>
                </c:pt>
                <c:pt idx="681">
                  <c:v>41225</c:v>
                </c:pt>
                <c:pt idx="682">
                  <c:v>41226</c:v>
                </c:pt>
                <c:pt idx="683">
                  <c:v>41227</c:v>
                </c:pt>
                <c:pt idx="684">
                  <c:v>41228</c:v>
                </c:pt>
                <c:pt idx="685">
                  <c:v>41229</c:v>
                </c:pt>
                <c:pt idx="686">
                  <c:v>41230</c:v>
                </c:pt>
                <c:pt idx="687">
                  <c:v>41231</c:v>
                </c:pt>
                <c:pt idx="688">
                  <c:v>41232</c:v>
                </c:pt>
                <c:pt idx="689">
                  <c:v>41233</c:v>
                </c:pt>
                <c:pt idx="690">
                  <c:v>41234</c:v>
                </c:pt>
                <c:pt idx="691">
                  <c:v>41235</c:v>
                </c:pt>
                <c:pt idx="692">
                  <c:v>41236</c:v>
                </c:pt>
                <c:pt idx="693">
                  <c:v>41237</c:v>
                </c:pt>
                <c:pt idx="694">
                  <c:v>41238</c:v>
                </c:pt>
                <c:pt idx="695">
                  <c:v>41239</c:v>
                </c:pt>
                <c:pt idx="696">
                  <c:v>41240</c:v>
                </c:pt>
                <c:pt idx="697">
                  <c:v>41241</c:v>
                </c:pt>
                <c:pt idx="698">
                  <c:v>41242</c:v>
                </c:pt>
                <c:pt idx="699">
                  <c:v>41243</c:v>
                </c:pt>
                <c:pt idx="700">
                  <c:v>41244</c:v>
                </c:pt>
                <c:pt idx="701">
                  <c:v>41245</c:v>
                </c:pt>
                <c:pt idx="702">
                  <c:v>41246</c:v>
                </c:pt>
                <c:pt idx="703">
                  <c:v>41247</c:v>
                </c:pt>
                <c:pt idx="704">
                  <c:v>41248</c:v>
                </c:pt>
                <c:pt idx="705">
                  <c:v>41249</c:v>
                </c:pt>
                <c:pt idx="706">
                  <c:v>41250</c:v>
                </c:pt>
                <c:pt idx="707">
                  <c:v>41251</c:v>
                </c:pt>
                <c:pt idx="708">
                  <c:v>41252</c:v>
                </c:pt>
                <c:pt idx="709">
                  <c:v>41253</c:v>
                </c:pt>
                <c:pt idx="710">
                  <c:v>41254</c:v>
                </c:pt>
                <c:pt idx="711">
                  <c:v>41255</c:v>
                </c:pt>
                <c:pt idx="712">
                  <c:v>41256</c:v>
                </c:pt>
                <c:pt idx="713">
                  <c:v>41257</c:v>
                </c:pt>
                <c:pt idx="714">
                  <c:v>41258</c:v>
                </c:pt>
                <c:pt idx="715">
                  <c:v>41259</c:v>
                </c:pt>
                <c:pt idx="716">
                  <c:v>41260</c:v>
                </c:pt>
                <c:pt idx="717">
                  <c:v>41261</c:v>
                </c:pt>
                <c:pt idx="718">
                  <c:v>41262</c:v>
                </c:pt>
                <c:pt idx="719">
                  <c:v>41263</c:v>
                </c:pt>
                <c:pt idx="720">
                  <c:v>41264</c:v>
                </c:pt>
                <c:pt idx="721">
                  <c:v>41265</c:v>
                </c:pt>
                <c:pt idx="722">
                  <c:v>41266</c:v>
                </c:pt>
                <c:pt idx="723">
                  <c:v>41267</c:v>
                </c:pt>
                <c:pt idx="724">
                  <c:v>41268</c:v>
                </c:pt>
                <c:pt idx="725">
                  <c:v>41269</c:v>
                </c:pt>
                <c:pt idx="726">
                  <c:v>41270</c:v>
                </c:pt>
                <c:pt idx="727">
                  <c:v>41271</c:v>
                </c:pt>
                <c:pt idx="728">
                  <c:v>41272</c:v>
                </c:pt>
                <c:pt idx="729">
                  <c:v>41273</c:v>
                </c:pt>
                <c:pt idx="730">
                  <c:v>41274</c:v>
                </c:pt>
                <c:pt idx="731">
                  <c:v>41275</c:v>
                </c:pt>
                <c:pt idx="732">
                  <c:v>41276</c:v>
                </c:pt>
                <c:pt idx="733">
                  <c:v>41277</c:v>
                </c:pt>
                <c:pt idx="734">
                  <c:v>41278</c:v>
                </c:pt>
                <c:pt idx="735">
                  <c:v>41279</c:v>
                </c:pt>
                <c:pt idx="736">
                  <c:v>41280</c:v>
                </c:pt>
                <c:pt idx="737">
                  <c:v>41281</c:v>
                </c:pt>
                <c:pt idx="738">
                  <c:v>41282</c:v>
                </c:pt>
                <c:pt idx="739">
                  <c:v>41283</c:v>
                </c:pt>
                <c:pt idx="740">
                  <c:v>41284</c:v>
                </c:pt>
                <c:pt idx="741">
                  <c:v>41285</c:v>
                </c:pt>
                <c:pt idx="742">
                  <c:v>41286</c:v>
                </c:pt>
                <c:pt idx="743">
                  <c:v>41287</c:v>
                </c:pt>
                <c:pt idx="744">
                  <c:v>41288</c:v>
                </c:pt>
                <c:pt idx="745">
                  <c:v>41289</c:v>
                </c:pt>
                <c:pt idx="746">
                  <c:v>41290</c:v>
                </c:pt>
                <c:pt idx="747">
                  <c:v>41291</c:v>
                </c:pt>
                <c:pt idx="748">
                  <c:v>41292</c:v>
                </c:pt>
                <c:pt idx="749">
                  <c:v>41293</c:v>
                </c:pt>
                <c:pt idx="750">
                  <c:v>41294</c:v>
                </c:pt>
                <c:pt idx="751">
                  <c:v>41295</c:v>
                </c:pt>
                <c:pt idx="752">
                  <c:v>41296</c:v>
                </c:pt>
                <c:pt idx="753">
                  <c:v>41297</c:v>
                </c:pt>
                <c:pt idx="754">
                  <c:v>41298</c:v>
                </c:pt>
                <c:pt idx="755">
                  <c:v>41299</c:v>
                </c:pt>
                <c:pt idx="756">
                  <c:v>41300</c:v>
                </c:pt>
                <c:pt idx="757">
                  <c:v>41301</c:v>
                </c:pt>
                <c:pt idx="758">
                  <c:v>41302</c:v>
                </c:pt>
                <c:pt idx="759">
                  <c:v>41303</c:v>
                </c:pt>
                <c:pt idx="760">
                  <c:v>41304</c:v>
                </c:pt>
                <c:pt idx="761">
                  <c:v>41305</c:v>
                </c:pt>
                <c:pt idx="762">
                  <c:v>41306</c:v>
                </c:pt>
              </c:numCache>
            </c:numRef>
          </c:cat>
          <c:val>
            <c:numRef>
              <c:f>forecast!$E$2:$E$764</c:f>
              <c:numCache>
                <c:formatCode>General</c:formatCode>
                <c:ptCount val="763"/>
                <c:pt idx="609" formatCode="0.00">
                  <c:v>41</c:v>
                </c:pt>
                <c:pt idx="610" formatCode="0.00">
                  <c:v>177.50601859855709</c:v>
                </c:pt>
                <c:pt idx="611" formatCode="0.00">
                  <c:v>202.56352590344343</c:v>
                </c:pt>
                <c:pt idx="612" formatCode="0.00">
                  <c:v>186.37506490060198</c:v>
                </c:pt>
                <c:pt idx="613" formatCode="0.00">
                  <c:v>161.28269108596999</c:v>
                </c:pt>
                <c:pt idx="614" formatCode="0.00">
                  <c:v>128.77263055830065</c:v>
                </c:pt>
                <c:pt idx="615" formatCode="0.00">
                  <c:v>116.65970475875625</c:v>
                </c:pt>
                <c:pt idx="616" formatCode="0.00">
                  <c:v>105.87771796621186</c:v>
                </c:pt>
                <c:pt idx="617" formatCode="0.00">
                  <c:v>91.050967397908394</c:v>
                </c:pt>
                <c:pt idx="618" formatCode="0.00">
                  <c:v>83.213718280699183</c:v>
                </c:pt>
                <c:pt idx="619" formatCode="0.00">
                  <c:v>81.089088992802175</c:v>
                </c:pt>
                <c:pt idx="620" formatCode="0.00">
                  <c:v>77.726071133343169</c:v>
                </c:pt>
                <c:pt idx="621" formatCode="0.00">
                  <c:v>80.238845214766911</c:v>
                </c:pt>
                <c:pt idx="622" formatCode="0.00">
                  <c:v>91.676105421036198</c:v>
                </c:pt>
                <c:pt idx="623" formatCode="0.00">
                  <c:v>122.29073874033176</c:v>
                </c:pt>
                <c:pt idx="624" formatCode="0.00">
                  <c:v>164.31161270944739</c:v>
                </c:pt>
                <c:pt idx="625" formatCode="0.00">
                  <c:v>188.70312549508151</c:v>
                </c:pt>
                <c:pt idx="626" formatCode="0.00">
                  <c:v>149.27349560066284</c:v>
                </c:pt>
                <c:pt idx="627" formatCode="0.00">
                  <c:v>127.5556646606903</c:v>
                </c:pt>
                <c:pt idx="628" formatCode="0.00">
                  <c:v>125.31760751075291</c:v>
                </c:pt>
                <c:pt idx="629" formatCode="0.00">
                  <c:v>119.54858289733525</c:v>
                </c:pt>
                <c:pt idx="630" formatCode="0.00">
                  <c:v>118.84299521916736</c:v>
                </c:pt>
                <c:pt idx="631" formatCode="0.00">
                  <c:v>123.19302650900062</c:v>
                </c:pt>
                <c:pt idx="632" formatCode="0.00">
                  <c:v>127.11288441823089</c:v>
                </c:pt>
                <c:pt idx="633" formatCode="0.00">
                  <c:v>188.8931633095699</c:v>
                </c:pt>
                <c:pt idx="634" formatCode="0.00">
                  <c:v>213.97591138084351</c:v>
                </c:pt>
                <c:pt idx="635" formatCode="0.00">
                  <c:v>197.81439245425528</c:v>
                </c:pt>
                <c:pt idx="636" formatCode="0.00">
                  <c:v>172.7506502840298</c:v>
                </c:pt>
                <c:pt idx="637" formatCode="0.00">
                  <c:v>140.2708990156595</c:v>
                </c:pt>
                <c:pt idx="638" formatCode="0.00">
                  <c:v>128.18994791408352</c:v>
                </c:pt>
                <c:pt idx="639" formatCode="0.00">
                  <c:v>117.4415888479827</c:v>
                </c:pt>
                <c:pt idx="640" formatCode="0.00">
                  <c:v>102.65010637984341</c:v>
                </c:pt>
                <c:pt idx="641" formatCode="0.00">
                  <c:v>94.849752827047951</c:v>
                </c:pt>
                <c:pt idx="642" formatCode="0.00">
                  <c:v>92.763633393919477</c:v>
                </c:pt>
                <c:pt idx="643" formatCode="0.00">
                  <c:v>89.440726232020381</c:v>
                </c:pt>
                <c:pt idx="644" formatCode="0.00">
                  <c:v>91.995198123797252</c:v>
                </c:pt>
                <c:pt idx="645" formatCode="0.00">
                  <c:v>103.47572923250722</c:v>
                </c:pt>
                <c:pt idx="646" formatCode="0.00">
                  <c:v>134.13519222715411</c:v>
                </c:pt>
                <c:pt idx="647" formatCode="0.00">
                  <c:v>176.20244001964411</c:v>
                </c:pt>
                <c:pt idx="648" formatCode="0.00">
                  <c:v>200.64185583937785</c:v>
                </c:pt>
                <c:pt idx="649" formatCode="0.00">
                  <c:v>161.26164293393109</c:v>
                </c:pt>
                <c:pt idx="650" formatCode="0.00">
                  <c:v>139.59472735781995</c:v>
                </c:pt>
                <c:pt idx="651" formatCode="0.00">
                  <c:v>137.40906803753015</c:v>
                </c:pt>
                <c:pt idx="652" formatCode="0.00">
                  <c:v>131.69390747693086</c:v>
                </c:pt>
                <c:pt idx="653" formatCode="0.00">
                  <c:v>131.04363349484532</c:v>
                </c:pt>
                <c:pt idx="654" formatCode="0.00">
                  <c:v>135.45041120367284</c:v>
                </c:pt>
                <c:pt idx="655" formatCode="0.00">
                  <c:v>139.42843099149641</c:v>
                </c:pt>
                <c:pt idx="656" formatCode="0.00">
                  <c:v>200.80013203622144</c:v>
                </c:pt>
                <c:pt idx="657" formatCode="0.00">
                  <c:v>225.93838293402132</c:v>
                </c:pt>
                <c:pt idx="658" formatCode="0.00">
                  <c:v>209.83364628164469</c:v>
                </c:pt>
                <c:pt idx="659" formatCode="0.00">
                  <c:v>184.82795161309389</c:v>
                </c:pt>
                <c:pt idx="660" formatCode="0.00">
                  <c:v>152.40749857891336</c:v>
                </c:pt>
                <c:pt idx="661" formatCode="0.00">
                  <c:v>140.38708167376814</c:v>
                </c:pt>
                <c:pt idx="662" formatCode="0.00">
                  <c:v>129.70047772058788</c:v>
                </c:pt>
                <c:pt idx="663" formatCode="0.00">
                  <c:v>114.97195596093479</c:v>
                </c:pt>
                <c:pt idx="664" formatCode="0.00">
                  <c:v>107.23575311685849</c:v>
                </c:pt>
                <c:pt idx="665" formatCode="0.00">
                  <c:v>105.21495852416871</c:v>
                </c:pt>
                <c:pt idx="666" formatCode="0.00">
                  <c:v>101.95853419442889</c:v>
                </c:pt>
                <c:pt idx="667" formatCode="0.00">
                  <c:v>104.58063050076598</c:v>
                </c:pt>
                <c:pt idx="668" formatCode="0.00">
                  <c:v>116.12991093043257</c:v>
                </c:pt>
                <c:pt idx="669" formatCode="0.00">
                  <c:v>146.8592312128512</c:v>
                </c:pt>
                <c:pt idx="670" formatCode="0.00">
                  <c:v>188.99742706034985</c:v>
                </c:pt>
                <c:pt idx="671" formatCode="0.00">
                  <c:v>213.50886424680473</c:v>
                </c:pt>
                <c:pt idx="672" formatCode="0.00">
                  <c:v>174.20172831284088</c:v>
                </c:pt>
                <c:pt idx="673" formatCode="0.00">
                  <c:v>152.60892735958282</c:v>
                </c:pt>
                <c:pt idx="674" formatCode="0.00">
                  <c:v>150.49840211913178</c:v>
                </c:pt>
                <c:pt idx="675" formatCode="0.00">
                  <c:v>144.85937666588427</c:v>
                </c:pt>
                <c:pt idx="676" formatCode="0.00">
                  <c:v>144.28622016045864</c:v>
                </c:pt>
                <c:pt idx="677" formatCode="0.00">
                  <c:v>148.77107883511752</c:v>
                </c:pt>
                <c:pt idx="678" formatCode="0.00">
                  <c:v>152.82812398311142</c:v>
                </c:pt>
                <c:pt idx="679" formatCode="0.00">
                  <c:v>213.81246808917578</c:v>
                </c:pt>
                <c:pt idx="680" formatCode="0.00">
                  <c:v>239.02614136302276</c:v>
                </c:pt>
                <c:pt idx="681" formatCode="0.00">
                  <c:v>222.9977157303239</c:v>
                </c:pt>
                <c:pt idx="682" formatCode="0.00">
                  <c:v>198.06920464931522</c:v>
                </c:pt>
                <c:pt idx="683" formatCode="0.00">
                  <c:v>165.72679152229958</c:v>
                </c:pt>
                <c:pt idx="684" formatCode="0.00">
                  <c:v>153.78525442913832</c:v>
                </c:pt>
                <c:pt idx="685" formatCode="0.00">
                  <c:v>143.17835361759808</c:v>
                </c:pt>
                <c:pt idx="686" formatCode="0.00">
                  <c:v>128.53034160020258</c:v>
                </c:pt>
                <c:pt idx="687" formatCode="0.00">
                  <c:v>120.87543822284471</c:v>
                </c:pt>
                <c:pt idx="688" formatCode="0.00">
                  <c:v>118.93671580508035</c:v>
                </c:pt>
                <c:pt idx="689" formatCode="0.00">
                  <c:v>115.76311920939823</c:v>
                </c:pt>
                <c:pt idx="690" formatCode="0.00">
                  <c:v>118.46878153455032</c:v>
                </c:pt>
                <c:pt idx="691" formatCode="0.00">
                  <c:v>130.10234887586901</c:v>
                </c:pt>
                <c:pt idx="692" formatCode="0.00">
                  <c:v>160.91665946128893</c:v>
                </c:pt>
                <c:pt idx="693" formatCode="0.00">
                  <c:v>203.14053140027141</c:v>
                </c:pt>
                <c:pt idx="694" formatCode="0.00">
                  <c:v>227.73831277083508</c:v>
                </c:pt>
                <c:pt idx="695" formatCode="0.00">
                  <c:v>188.51817133333066</c:v>
                </c:pt>
                <c:pt idx="696" formatCode="0.00">
                  <c:v>167.01299733293877</c:v>
                </c:pt>
                <c:pt idx="697" formatCode="0.00">
                  <c:v>164.99071357905387</c:v>
                </c:pt>
                <c:pt idx="698" formatCode="0.00">
                  <c:v>159.44052616565577</c:v>
                </c:pt>
                <c:pt idx="699" formatCode="0.00">
                  <c:v>158.95678622441963</c:v>
                </c:pt>
                <c:pt idx="700" formatCode="0.00">
                  <c:v>163.53162191943926</c:v>
                </c:pt>
                <c:pt idx="701" formatCode="0.00">
                  <c:v>167.6791864459733</c:v>
                </c:pt>
                <c:pt idx="702" formatCode="0.00">
                  <c:v>228.27386017929433</c:v>
                </c:pt>
                <c:pt idx="703" formatCode="0.00">
                  <c:v>253.57471731713028</c:v>
                </c:pt>
                <c:pt idx="704" formatCode="0.00">
                  <c:v>237.63401560563719</c:v>
                </c:pt>
                <c:pt idx="705" formatCode="0.00">
                  <c:v>212.79375287534538</c:v>
                </c:pt>
                <c:pt idx="706" formatCode="0.00">
                  <c:v>180.54009687184811</c:v>
                </c:pt>
                <c:pt idx="707" formatCode="0.00">
                  <c:v>168.68780999661465</c:v>
                </c:pt>
                <c:pt idx="708" formatCode="0.00">
                  <c:v>158.17063680471364</c:v>
                </c:pt>
                <c:pt idx="709" formatCode="0.00">
                  <c:v>143.61281410908703</c:v>
                </c:pt>
                <c:pt idx="710" formatCode="0.00">
                  <c:v>136.04854605661774</c:v>
                </c:pt>
                <c:pt idx="711" formatCode="0.00">
                  <c:v>134.20088927590388</c:v>
                </c:pt>
                <c:pt idx="712" formatCode="0.00">
                  <c:v>131.11877295402053</c:v>
                </c:pt>
                <c:pt idx="713" formatCode="0.00">
                  <c:v>133.91631453734485</c:v>
                </c:pt>
                <c:pt idx="714" formatCode="0.00">
                  <c:v>145.64214449935852</c:v>
                </c:pt>
                <c:pt idx="715" formatCode="0.00">
                  <c:v>176.54908548413593</c:v>
                </c:pt>
                <c:pt idx="716" formatCode="0.00">
                  <c:v>218.86594006270428</c:v>
                </c:pt>
                <c:pt idx="717" formatCode="0.00">
                  <c:v>243.55704082746911</c:v>
                </c:pt>
                <c:pt idx="718" formatCode="0.00">
                  <c:v>204.43054011333314</c:v>
                </c:pt>
                <c:pt idx="719" formatCode="0.00">
                  <c:v>183.01931280747584</c:v>
                </c:pt>
                <c:pt idx="720" formatCode="0.00">
                  <c:v>181.09126643594834</c:v>
                </c:pt>
                <c:pt idx="721" formatCode="0.00">
                  <c:v>175.63559189117316</c:v>
                </c:pt>
                <c:pt idx="722" formatCode="0.00">
                  <c:v>175.24662519209238</c:v>
                </c:pt>
                <c:pt idx="723" formatCode="0.00">
                  <c:v>179.91647948582656</c:v>
                </c:pt>
                <c:pt idx="724" formatCode="0.00">
                  <c:v>184.15929305324795</c:v>
                </c:pt>
                <c:pt idx="725" formatCode="0.00">
                  <c:v>244.36268973324832</c:v>
                </c:pt>
                <c:pt idx="726" formatCode="0.00">
                  <c:v>269.75626314728447</c:v>
                </c:pt>
                <c:pt idx="727" formatCode="0.00">
                  <c:v>253.90853515969303</c:v>
                </c:pt>
                <c:pt idx="728" formatCode="0.00">
                  <c:v>229.16149031796527</c:v>
                </c:pt>
                <c:pt idx="729" formatCode="0.00">
                  <c:v>197.00128316330046</c:v>
                </c:pt>
                <c:pt idx="730" formatCode="0.00">
                  <c:v>185.24266297682746</c:v>
                </c:pt>
                <c:pt idx="731" formatCode="0.00">
                  <c:v>174.81936128264749</c:v>
                </c:pt>
                <c:pt idx="732" formatCode="0.00">
                  <c:v>160.35560195733194</c:v>
                </c:pt>
                <c:pt idx="733" formatCode="0.00">
                  <c:v>152.88557631111308</c:v>
                </c:pt>
                <c:pt idx="734" formatCode="0.00">
                  <c:v>151.13232824067285</c:v>
                </c:pt>
                <c:pt idx="735" formatCode="0.00">
                  <c:v>148.14477431080823</c:v>
                </c:pt>
                <c:pt idx="736" formatCode="0.00">
                  <c:v>151.03701946004114</c:v>
                </c:pt>
                <c:pt idx="737" formatCode="0.00">
                  <c:v>162.85768177308321</c:v>
                </c:pt>
                <c:pt idx="738" formatCode="0.00">
                  <c:v>193.85957162885879</c:v>
                </c:pt>
                <c:pt idx="739" formatCode="0.00">
                  <c:v>236.27147946126763</c:v>
                </c:pt>
                <c:pt idx="740" formatCode="0.00">
                  <c:v>261.05772585787759</c:v>
                </c:pt>
                <c:pt idx="741" formatCode="0.00">
                  <c:v>222.0264512851694</c:v>
                </c:pt>
                <c:pt idx="742" formatCode="0.00">
                  <c:v>200.71051890229973</c:v>
                </c:pt>
                <c:pt idx="743" formatCode="0.00">
                  <c:v>198.87782465153197</c:v>
                </c:pt>
                <c:pt idx="744" formatCode="0.00">
                  <c:v>193.51754798942198</c:v>
                </c:pt>
                <c:pt idx="745" formatCode="0.00">
                  <c:v>193.22401365049924</c:v>
                </c:pt>
                <c:pt idx="746" formatCode="0.00">
                  <c:v>197.98932365230425</c:v>
                </c:pt>
                <c:pt idx="747" formatCode="0.00">
                  <c:v>202.32760530418227</c:v>
                </c:pt>
                <c:pt idx="748" formatCode="0.00">
                  <c:v>262.14665492600739</c:v>
                </c:pt>
                <c:pt idx="749" formatCode="0.00">
                  <c:v>287.63407869187029</c:v>
                </c:pt>
                <c:pt idx="750" formatCode="0.00">
                  <c:v>271.88025137486653</c:v>
                </c:pt>
                <c:pt idx="751" formatCode="0.00">
                  <c:v>247.22714740562213</c:v>
                </c:pt>
                <c:pt idx="752" formatCode="0.00">
                  <c:v>215.16091133720633</c:v>
                </c:pt>
                <c:pt idx="753" formatCode="0.00">
                  <c:v>203.49628259403306</c:v>
                </c:pt>
                <c:pt idx="754" formatCode="0.00">
                  <c:v>193.1669829774618</c:v>
                </c:pt>
                <c:pt idx="755" formatCode="0.00">
                  <c:v>178.79722677773105</c:v>
                </c:pt>
                <c:pt idx="756" formatCode="0.00">
                  <c:v>171.42119585746076</c:v>
                </c:pt>
                <c:pt idx="757" formatCode="0.00">
                  <c:v>169.76192480662903</c:v>
                </c:pt>
                <c:pt idx="758" formatCode="0.00">
                  <c:v>166.8683210262993</c:v>
                </c:pt>
                <c:pt idx="759" formatCode="0.00">
                  <c:v>169.85448043616714</c:v>
                </c:pt>
                <c:pt idx="760" formatCode="0.00">
                  <c:v>181.76901224883562</c:v>
                </c:pt>
                <c:pt idx="761" formatCode="0.00">
                  <c:v>212.86471811952316</c:v>
                </c:pt>
                <c:pt idx="762" formatCode="0.00">
                  <c:v>255.37037990838522</c:v>
                </c:pt>
              </c:numCache>
            </c:numRef>
          </c:val>
          <c:smooth val="0"/>
          <c:extLst>
            <c:ext xmlns:c16="http://schemas.microsoft.com/office/drawing/2014/chart" uri="{C3380CC4-5D6E-409C-BE32-E72D297353CC}">
              <c16:uniqueId val="{00000003-39F5-4570-8DE9-6A407CC7D683}"/>
            </c:ext>
          </c:extLst>
        </c:ser>
        <c:dLbls>
          <c:showLegendKey val="0"/>
          <c:showVal val="0"/>
          <c:showCatName val="0"/>
          <c:showSerName val="0"/>
          <c:showPercent val="0"/>
          <c:showBubbleSize val="0"/>
        </c:dLbls>
        <c:smooth val="0"/>
        <c:axId val="793429375"/>
        <c:axId val="793420255"/>
      </c:lineChart>
      <c:catAx>
        <c:axId val="79342937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20255"/>
        <c:crosses val="autoZero"/>
        <c:auto val="1"/>
        <c:lblAlgn val="ctr"/>
        <c:lblOffset val="100"/>
        <c:noMultiLvlLbl val="0"/>
      </c:catAx>
      <c:valAx>
        <c:axId val="79342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29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18586</xdr:rowOff>
    </xdr:from>
    <xdr:to>
      <xdr:col>8</xdr:col>
      <xdr:colOff>513522</xdr:colOff>
      <xdr:row>26</xdr:row>
      <xdr:rowOff>51676</xdr:rowOff>
    </xdr:to>
    <xdr:graphicFrame macro="">
      <xdr:nvGraphicFramePr>
        <xdr:cNvPr id="2" name="Chart 1">
          <a:extLst>
            <a:ext uri="{FF2B5EF4-FFF2-40B4-BE49-F238E27FC236}">
              <a16:creationId xmlns:a16="http://schemas.microsoft.com/office/drawing/2014/main" id="{F8BD6618-C272-4E62-9945-0F56564F2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43852</xdr:colOff>
      <xdr:row>26</xdr:row>
      <xdr:rowOff>73900</xdr:rowOff>
    </xdr:from>
    <xdr:to>
      <xdr:col>8</xdr:col>
      <xdr:colOff>520390</xdr:colOff>
      <xdr:row>48</xdr:row>
      <xdr:rowOff>22643</xdr:rowOff>
    </xdr:to>
    <xdr:graphicFrame macro="">
      <xdr:nvGraphicFramePr>
        <xdr:cNvPr id="4" name="Chart 3">
          <a:extLst>
            <a:ext uri="{FF2B5EF4-FFF2-40B4-BE49-F238E27FC236}">
              <a16:creationId xmlns:a16="http://schemas.microsoft.com/office/drawing/2014/main" id="{072BD13C-341C-434F-8BEC-AF58C90B4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18586</xdr:colOff>
      <xdr:row>49</xdr:row>
      <xdr:rowOff>74342</xdr:rowOff>
    </xdr:from>
    <xdr:to>
      <xdr:col>27</xdr:col>
      <xdr:colOff>86969</xdr:colOff>
      <xdr:row>61</xdr:row>
      <xdr:rowOff>155397</xdr:rowOff>
    </xdr:to>
    <mc:AlternateContent xmlns:mc="http://schemas.openxmlformats.org/markup-compatibility/2006">
      <mc:Choice xmlns:a14="http://schemas.microsoft.com/office/drawing/2010/main" Requires="a14">
        <xdr:graphicFrame macro="">
          <xdr:nvGraphicFramePr>
            <xdr:cNvPr id="7" name="holiday">
              <a:extLst>
                <a:ext uri="{FF2B5EF4-FFF2-40B4-BE49-F238E27FC236}">
                  <a16:creationId xmlns:a16="http://schemas.microsoft.com/office/drawing/2014/main" id="{6E51F72A-490A-CF09-258B-10E9D6BCD77C}"/>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18962753" y="9408842"/>
              <a:ext cx="2523716" cy="3129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4502</xdr:colOff>
      <xdr:row>50</xdr:row>
      <xdr:rowOff>58128</xdr:rowOff>
    </xdr:from>
    <xdr:to>
      <xdr:col>36</xdr:col>
      <xdr:colOff>55756</xdr:colOff>
      <xdr:row>60</xdr:row>
      <xdr:rowOff>74341</xdr:rowOff>
    </xdr:to>
    <mc:AlternateContent xmlns:mc="http://schemas.openxmlformats.org/markup-compatibility/2006">
      <mc:Choice xmlns:tsle="http://schemas.microsoft.com/office/drawing/2012/timeslicer" Requires="tsle">
        <xdr:graphicFrame macro="">
          <xdr:nvGraphicFramePr>
            <xdr:cNvPr id="9" name="dteday">
              <a:extLst>
                <a:ext uri="{FF2B5EF4-FFF2-40B4-BE49-F238E27FC236}">
                  <a16:creationId xmlns:a16="http://schemas.microsoft.com/office/drawing/2014/main" id="{F43A0FD0-2B05-48FA-E926-1AE501B6DE59}"/>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22017835" y="9583128"/>
              <a:ext cx="4961921" cy="26832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544228</xdr:colOff>
      <xdr:row>2</xdr:row>
      <xdr:rowOff>16971</xdr:rowOff>
    </xdr:from>
    <xdr:to>
      <xdr:col>22</xdr:col>
      <xdr:colOff>295749</xdr:colOff>
      <xdr:row>26</xdr:row>
      <xdr:rowOff>74342</xdr:rowOff>
    </xdr:to>
    <xdr:graphicFrame macro="">
      <xdr:nvGraphicFramePr>
        <xdr:cNvPr id="6" name="Chart 5">
          <a:extLst>
            <a:ext uri="{FF2B5EF4-FFF2-40B4-BE49-F238E27FC236}">
              <a16:creationId xmlns:a16="http://schemas.microsoft.com/office/drawing/2014/main" id="{122EE8A1-4C09-452E-BBF3-ED0A25078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520398</xdr:colOff>
      <xdr:row>26</xdr:row>
      <xdr:rowOff>92931</xdr:rowOff>
    </xdr:from>
    <xdr:to>
      <xdr:col>22</xdr:col>
      <xdr:colOff>297366</xdr:colOff>
      <xdr:row>48</xdr:row>
      <xdr:rowOff>15934</xdr:rowOff>
    </xdr:to>
    <xdr:graphicFrame macro="">
      <xdr:nvGraphicFramePr>
        <xdr:cNvPr id="5" name="Chart 4">
          <a:extLst>
            <a:ext uri="{FF2B5EF4-FFF2-40B4-BE49-F238E27FC236}">
              <a16:creationId xmlns:a16="http://schemas.microsoft.com/office/drawing/2014/main" id="{8CE77F8B-3429-4E6B-B7FC-C8009FE4A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260195</xdr:colOff>
      <xdr:row>2</xdr:row>
      <xdr:rowOff>18587</xdr:rowOff>
    </xdr:from>
    <xdr:to>
      <xdr:col>37</xdr:col>
      <xdr:colOff>86053</xdr:colOff>
      <xdr:row>26</xdr:row>
      <xdr:rowOff>74342</xdr:rowOff>
    </xdr:to>
    <xdr:graphicFrame macro="">
      <xdr:nvGraphicFramePr>
        <xdr:cNvPr id="3" name="Chart 2">
          <a:extLst>
            <a:ext uri="{FF2B5EF4-FFF2-40B4-BE49-F238E27FC236}">
              <a16:creationId xmlns:a16="http://schemas.microsoft.com/office/drawing/2014/main" id="{0C14001E-7B01-405C-93C8-150F48301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315955</xdr:colOff>
      <xdr:row>26</xdr:row>
      <xdr:rowOff>111515</xdr:rowOff>
    </xdr:from>
    <xdr:to>
      <xdr:col>37</xdr:col>
      <xdr:colOff>130098</xdr:colOff>
      <xdr:row>48</xdr:row>
      <xdr:rowOff>37172</xdr:rowOff>
    </xdr:to>
    <xdr:graphicFrame macro="">
      <xdr:nvGraphicFramePr>
        <xdr:cNvPr id="8" name="Chart 7">
          <a:extLst>
            <a:ext uri="{FF2B5EF4-FFF2-40B4-BE49-F238E27FC236}">
              <a16:creationId xmlns:a16="http://schemas.microsoft.com/office/drawing/2014/main" id="{F35289A0-14A9-4B54-8C5C-7D7817F12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501804</xdr:colOff>
      <xdr:row>48</xdr:row>
      <xdr:rowOff>55755</xdr:rowOff>
    </xdr:from>
    <xdr:to>
      <xdr:col>22</xdr:col>
      <xdr:colOff>334537</xdr:colOff>
      <xdr:row>63</xdr:row>
      <xdr:rowOff>130097</xdr:rowOff>
    </xdr:to>
    <xdr:graphicFrame macro="">
      <xdr:nvGraphicFramePr>
        <xdr:cNvPr id="10" name="Chart 9">
          <a:extLst>
            <a:ext uri="{FF2B5EF4-FFF2-40B4-BE49-F238E27FC236}">
              <a16:creationId xmlns:a16="http://schemas.microsoft.com/office/drawing/2014/main" id="{82A4713C-65FF-4496-9AE9-C0EE0BBB8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76199</xdr:colOff>
      <xdr:row>2</xdr:row>
      <xdr:rowOff>91439</xdr:rowOff>
    </xdr:from>
    <xdr:to>
      <xdr:col>23</xdr:col>
      <xdr:colOff>216089</xdr:colOff>
      <xdr:row>35</xdr:row>
      <xdr:rowOff>102357</xdr:rowOff>
    </xdr:to>
    <xdr:graphicFrame macro="">
      <xdr:nvGraphicFramePr>
        <xdr:cNvPr id="2" name="Chart 1">
          <a:extLst>
            <a:ext uri="{FF2B5EF4-FFF2-40B4-BE49-F238E27FC236}">
              <a16:creationId xmlns:a16="http://schemas.microsoft.com/office/drawing/2014/main" id="{B34E69DC-597A-9DB6-6AE9-8125D0DC7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24.988145949072" createdVersion="8" refreshedVersion="8" minRefreshableVersion="3" recordCount="1000" xr:uid="{AF785D97-892D-46D2-8AB2-D77941D892D5}">
  <cacheSource type="worksheet">
    <worksheetSource name="Table1"/>
  </cacheSource>
  <cacheFields count="17">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teday" numFmtId="164">
      <sharedItems containsSemiMixedTypes="0" containsNonDate="0" containsDate="1" containsString="0" minDate="2011-01-01T00:00:00" maxDate="2012-09-02T00:00:00" count="61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21179999999999999"/>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week_name"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2014150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25.005763194444" createdVersion="8" refreshedVersion="8" minRefreshableVersion="3" recordCount="1000" xr:uid="{D3DD1270-FF10-4C7C-AF8F-DF1F0A4812E6}">
  <cacheSource type="worksheet">
    <worksheetSource name="Table1"/>
  </cacheSource>
  <cacheFields count="17">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week_name"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6910460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41.882023379629" createdVersion="8" refreshedVersion="8" minRefreshableVersion="3" recordCount="1000" xr:uid="{2C3A115E-AA7D-4161-A9A1-071767900AB4}">
  <cacheSource type="worksheet">
    <worksheetSource name="Table1[[dteday]:[casual]]"/>
  </cacheSource>
  <cacheFields count="17">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registered" numFmtId="0">
      <sharedItems containsString="0" containsBlank="1" containsNumber="1" containsInteger="1" minValue="0" maxValue="247"/>
    </cacheField>
    <cacheField name="cnt" numFmtId="0">
      <sharedItems containsSemiMixedTypes="0" containsString="0" containsNumber="1" containsInteger="1" minValue="1" maxValue="249"/>
    </cacheField>
    <cacheField name="week_name" numFmtId="0">
      <sharedItems/>
    </cacheField>
    <cacheField name="heat" numFmtId="0">
      <sharedItems count="2">
        <s v="cold"/>
        <s v="colder"/>
      </sharedItems>
    </cacheField>
    <cacheField name="casual" numFmtId="0">
      <sharedItems containsSemiMixedTypes="0" containsString="0" containsNumber="1" containsInteger="1" minValue="0" maxValue="62"/>
    </cacheField>
  </cacheFields>
  <extLst>
    <ext xmlns:x14="http://schemas.microsoft.com/office/spreadsheetml/2009/9/main" uri="{725AE2AE-9491-48be-B2B4-4EB974FC3084}">
      <x14:pivotCacheDefinition pivotCacheId="3632505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BAJAJ" refreshedDate="46041.905668518521" createdVersion="8" refreshedVersion="8" minRefreshableVersion="3" recordCount="1000" xr:uid="{01F2C818-8C54-42B2-9500-437FA157554C}">
  <cacheSource type="worksheet">
    <worksheetSource name="Table1[[dteday]:[weather]]"/>
  </cacheSource>
  <cacheFields count="18">
    <cacheField name="dteday" numFmtId="164">
      <sharedItems containsSemiMixedTypes="0" containsNonDate="0" containsDate="1" containsString="0" minDate="2011-01-01T00:00:00" maxDate="2012-09-02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registered" numFmtId="0">
      <sharedItems containsString="0" containsBlank="1" containsNumber="1" containsInteger="1" minValue="0" maxValue="247"/>
    </cacheField>
    <cacheField name="cnt" numFmtId="0">
      <sharedItems containsSemiMixedTypes="0" containsString="0" containsNumber="1" containsInteger="1" minValue="1" maxValue="249"/>
    </cacheField>
    <cacheField name="week_name" numFmtId="0">
      <sharedItems/>
    </cacheField>
    <cacheField name="heat" numFmtId="0">
      <sharedItems/>
    </cacheField>
    <cacheField name="casual" numFmtId="0">
      <sharedItems containsSemiMixedTypes="0" containsString="0" containsNumber="1" containsInteger="1" minValue="0" maxValue="62"/>
    </cacheField>
    <cacheField name="weather" numFmtId="0">
      <sharedItems count="4">
        <s v="clear sky"/>
        <s v="mist"/>
        <s v="partially dark"/>
        <s v="ra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r>
  <r>
    <x v="1"/>
    <x v="1"/>
    <x v="0"/>
    <x v="0"/>
    <x v="0"/>
    <x v="1"/>
    <x v="0"/>
    <x v="0"/>
    <x v="0"/>
    <x v="1"/>
    <x v="1"/>
    <x v="1"/>
    <x v="0"/>
    <x v="1"/>
    <x v="1"/>
    <x v="1"/>
    <x v="1"/>
  </r>
  <r>
    <x v="2"/>
    <x v="2"/>
    <x v="0"/>
    <x v="0"/>
    <x v="0"/>
    <x v="2"/>
    <x v="0"/>
    <x v="0"/>
    <x v="0"/>
    <x v="1"/>
    <x v="1"/>
    <x v="1"/>
    <x v="0"/>
    <x v="2"/>
    <x v="2"/>
    <x v="2"/>
    <x v="2"/>
  </r>
  <r>
    <x v="3"/>
    <x v="3"/>
    <x v="0"/>
    <x v="0"/>
    <x v="0"/>
    <x v="3"/>
    <x v="0"/>
    <x v="0"/>
    <x v="0"/>
    <x v="0"/>
    <x v="0"/>
    <x v="2"/>
    <x v="0"/>
    <x v="0"/>
    <x v="3"/>
    <x v="3"/>
    <x v="3"/>
  </r>
  <r>
    <x v="4"/>
    <x v="4"/>
    <x v="0"/>
    <x v="0"/>
    <x v="0"/>
    <x v="4"/>
    <x v="0"/>
    <x v="0"/>
    <x v="0"/>
    <x v="0"/>
    <x v="0"/>
    <x v="2"/>
    <x v="0"/>
    <x v="3"/>
    <x v="4"/>
    <x v="4"/>
    <x v="4"/>
  </r>
  <r>
    <x v="5"/>
    <x v="5"/>
    <x v="0"/>
    <x v="0"/>
    <x v="0"/>
    <x v="5"/>
    <x v="0"/>
    <x v="0"/>
    <x v="1"/>
    <x v="0"/>
    <x v="2"/>
    <x v="2"/>
    <x v="1"/>
    <x v="3"/>
    <x v="4"/>
    <x v="4"/>
    <x v="5"/>
  </r>
  <r>
    <x v="6"/>
    <x v="6"/>
    <x v="0"/>
    <x v="0"/>
    <x v="0"/>
    <x v="6"/>
    <x v="0"/>
    <x v="0"/>
    <x v="0"/>
    <x v="1"/>
    <x v="1"/>
    <x v="1"/>
    <x v="0"/>
    <x v="4"/>
    <x v="5"/>
    <x v="5"/>
    <x v="6"/>
  </r>
  <r>
    <x v="7"/>
    <x v="7"/>
    <x v="0"/>
    <x v="0"/>
    <x v="0"/>
    <x v="7"/>
    <x v="0"/>
    <x v="0"/>
    <x v="0"/>
    <x v="2"/>
    <x v="2"/>
    <x v="3"/>
    <x v="0"/>
    <x v="5"/>
    <x v="6"/>
    <x v="6"/>
    <x v="0"/>
  </r>
  <r>
    <x v="8"/>
    <x v="8"/>
    <x v="0"/>
    <x v="0"/>
    <x v="0"/>
    <x v="8"/>
    <x v="0"/>
    <x v="0"/>
    <x v="0"/>
    <x v="0"/>
    <x v="3"/>
    <x v="2"/>
    <x v="0"/>
    <x v="5"/>
    <x v="7"/>
    <x v="7"/>
    <x v="1"/>
  </r>
  <r>
    <x v="9"/>
    <x v="9"/>
    <x v="0"/>
    <x v="0"/>
    <x v="0"/>
    <x v="9"/>
    <x v="0"/>
    <x v="0"/>
    <x v="0"/>
    <x v="3"/>
    <x v="4"/>
    <x v="4"/>
    <x v="0"/>
    <x v="1"/>
    <x v="8"/>
    <x v="8"/>
    <x v="2"/>
  </r>
  <r>
    <x v="10"/>
    <x v="10"/>
    <x v="0"/>
    <x v="0"/>
    <x v="0"/>
    <x v="10"/>
    <x v="0"/>
    <x v="0"/>
    <x v="0"/>
    <x v="4"/>
    <x v="5"/>
    <x v="4"/>
    <x v="2"/>
    <x v="6"/>
    <x v="9"/>
    <x v="9"/>
    <x v="3"/>
  </r>
  <r>
    <x v="11"/>
    <x v="11"/>
    <x v="0"/>
    <x v="0"/>
    <x v="0"/>
    <x v="11"/>
    <x v="0"/>
    <x v="0"/>
    <x v="0"/>
    <x v="5"/>
    <x v="6"/>
    <x v="0"/>
    <x v="3"/>
    <x v="7"/>
    <x v="10"/>
    <x v="10"/>
    <x v="4"/>
  </r>
  <r>
    <x v="12"/>
    <x v="12"/>
    <x v="0"/>
    <x v="0"/>
    <x v="0"/>
    <x v="12"/>
    <x v="0"/>
    <x v="0"/>
    <x v="0"/>
    <x v="6"/>
    <x v="7"/>
    <x v="5"/>
    <x v="3"/>
    <x v="8"/>
    <x v="11"/>
    <x v="11"/>
    <x v="5"/>
  </r>
  <r>
    <x v="13"/>
    <x v="13"/>
    <x v="0"/>
    <x v="0"/>
    <x v="0"/>
    <x v="13"/>
    <x v="0"/>
    <x v="0"/>
    <x v="1"/>
    <x v="7"/>
    <x v="8"/>
    <x v="6"/>
    <x v="4"/>
    <x v="9"/>
    <x v="12"/>
    <x v="12"/>
    <x v="6"/>
  </r>
  <r>
    <x v="14"/>
    <x v="14"/>
    <x v="0"/>
    <x v="0"/>
    <x v="0"/>
    <x v="14"/>
    <x v="0"/>
    <x v="0"/>
    <x v="1"/>
    <x v="7"/>
    <x v="8"/>
    <x v="6"/>
    <x v="3"/>
    <x v="10"/>
    <x v="13"/>
    <x v="13"/>
    <x v="0"/>
  </r>
  <r>
    <x v="15"/>
    <x v="15"/>
    <x v="0"/>
    <x v="0"/>
    <x v="0"/>
    <x v="15"/>
    <x v="0"/>
    <x v="0"/>
    <x v="1"/>
    <x v="8"/>
    <x v="9"/>
    <x v="5"/>
    <x v="4"/>
    <x v="11"/>
    <x v="14"/>
    <x v="14"/>
    <x v="1"/>
  </r>
  <r>
    <x v="16"/>
    <x v="16"/>
    <x v="0"/>
    <x v="0"/>
    <x v="0"/>
    <x v="16"/>
    <x v="0"/>
    <x v="0"/>
    <x v="1"/>
    <x v="6"/>
    <x v="7"/>
    <x v="7"/>
    <x v="4"/>
    <x v="12"/>
    <x v="15"/>
    <x v="15"/>
    <x v="2"/>
  </r>
  <r>
    <x v="17"/>
    <x v="17"/>
    <x v="0"/>
    <x v="0"/>
    <x v="0"/>
    <x v="17"/>
    <x v="0"/>
    <x v="0"/>
    <x v="1"/>
    <x v="8"/>
    <x v="3"/>
    <x v="7"/>
    <x v="3"/>
    <x v="13"/>
    <x v="15"/>
    <x v="16"/>
    <x v="3"/>
  </r>
  <r>
    <x v="18"/>
    <x v="18"/>
    <x v="0"/>
    <x v="0"/>
    <x v="0"/>
    <x v="18"/>
    <x v="0"/>
    <x v="0"/>
    <x v="2"/>
    <x v="6"/>
    <x v="7"/>
    <x v="8"/>
    <x v="2"/>
    <x v="14"/>
    <x v="16"/>
    <x v="17"/>
    <x v="4"/>
  </r>
  <r>
    <x v="19"/>
    <x v="19"/>
    <x v="0"/>
    <x v="0"/>
    <x v="0"/>
    <x v="19"/>
    <x v="0"/>
    <x v="0"/>
    <x v="2"/>
    <x v="6"/>
    <x v="7"/>
    <x v="8"/>
    <x v="2"/>
    <x v="15"/>
    <x v="17"/>
    <x v="18"/>
    <x v="5"/>
  </r>
  <r>
    <x v="20"/>
    <x v="20"/>
    <x v="0"/>
    <x v="0"/>
    <x v="0"/>
    <x v="20"/>
    <x v="0"/>
    <x v="0"/>
    <x v="1"/>
    <x v="9"/>
    <x v="10"/>
    <x v="9"/>
    <x v="2"/>
    <x v="16"/>
    <x v="18"/>
    <x v="9"/>
    <x v="6"/>
  </r>
  <r>
    <x v="21"/>
    <x v="21"/>
    <x v="0"/>
    <x v="0"/>
    <x v="0"/>
    <x v="21"/>
    <x v="0"/>
    <x v="0"/>
    <x v="1"/>
    <x v="9"/>
    <x v="10"/>
    <x v="9"/>
    <x v="5"/>
    <x v="0"/>
    <x v="17"/>
    <x v="19"/>
    <x v="0"/>
  </r>
  <r>
    <x v="22"/>
    <x v="22"/>
    <x v="0"/>
    <x v="0"/>
    <x v="0"/>
    <x v="22"/>
    <x v="0"/>
    <x v="0"/>
    <x v="1"/>
    <x v="9"/>
    <x v="10"/>
    <x v="10"/>
    <x v="6"/>
    <x v="16"/>
    <x v="19"/>
    <x v="20"/>
    <x v="1"/>
  </r>
  <r>
    <x v="23"/>
    <x v="23"/>
    <x v="0"/>
    <x v="0"/>
    <x v="0"/>
    <x v="23"/>
    <x v="0"/>
    <x v="0"/>
    <x v="1"/>
    <x v="7"/>
    <x v="3"/>
    <x v="8"/>
    <x v="4"/>
    <x v="13"/>
    <x v="9"/>
    <x v="21"/>
    <x v="2"/>
  </r>
  <r>
    <x v="24"/>
    <x v="24"/>
    <x v="0"/>
    <x v="0"/>
    <x v="0"/>
    <x v="0"/>
    <x v="0"/>
    <x v="1"/>
    <x v="1"/>
    <x v="7"/>
    <x v="8"/>
    <x v="8"/>
    <x v="4"/>
    <x v="17"/>
    <x v="0"/>
    <x v="22"/>
    <x v="3"/>
  </r>
  <r>
    <x v="25"/>
    <x v="25"/>
    <x v="0"/>
    <x v="0"/>
    <x v="0"/>
    <x v="1"/>
    <x v="0"/>
    <x v="1"/>
    <x v="1"/>
    <x v="8"/>
    <x v="9"/>
    <x v="10"/>
    <x v="2"/>
    <x v="5"/>
    <x v="20"/>
    <x v="22"/>
    <x v="4"/>
  </r>
  <r>
    <x v="26"/>
    <x v="26"/>
    <x v="0"/>
    <x v="0"/>
    <x v="0"/>
    <x v="2"/>
    <x v="0"/>
    <x v="1"/>
    <x v="1"/>
    <x v="6"/>
    <x v="7"/>
    <x v="11"/>
    <x v="3"/>
    <x v="5"/>
    <x v="21"/>
    <x v="23"/>
    <x v="5"/>
  </r>
  <r>
    <x v="27"/>
    <x v="27"/>
    <x v="0"/>
    <x v="0"/>
    <x v="0"/>
    <x v="3"/>
    <x v="0"/>
    <x v="1"/>
    <x v="1"/>
    <x v="7"/>
    <x v="8"/>
    <x v="10"/>
    <x v="5"/>
    <x v="4"/>
    <x v="22"/>
    <x v="24"/>
    <x v="6"/>
  </r>
  <r>
    <x v="28"/>
    <x v="28"/>
    <x v="0"/>
    <x v="0"/>
    <x v="0"/>
    <x v="4"/>
    <x v="0"/>
    <x v="1"/>
    <x v="1"/>
    <x v="7"/>
    <x v="3"/>
    <x v="10"/>
    <x v="5"/>
    <x v="4"/>
    <x v="4"/>
    <x v="6"/>
    <x v="0"/>
  </r>
  <r>
    <x v="29"/>
    <x v="29"/>
    <x v="0"/>
    <x v="0"/>
    <x v="0"/>
    <x v="6"/>
    <x v="0"/>
    <x v="1"/>
    <x v="2"/>
    <x v="6"/>
    <x v="7"/>
    <x v="5"/>
    <x v="4"/>
    <x v="3"/>
    <x v="6"/>
    <x v="5"/>
    <x v="1"/>
  </r>
  <r>
    <x v="30"/>
    <x v="30"/>
    <x v="0"/>
    <x v="0"/>
    <x v="0"/>
    <x v="7"/>
    <x v="0"/>
    <x v="1"/>
    <x v="1"/>
    <x v="9"/>
    <x v="10"/>
    <x v="4"/>
    <x v="5"/>
    <x v="3"/>
    <x v="4"/>
    <x v="4"/>
    <x v="2"/>
  </r>
  <r>
    <x v="31"/>
    <x v="31"/>
    <x v="0"/>
    <x v="0"/>
    <x v="0"/>
    <x v="8"/>
    <x v="0"/>
    <x v="1"/>
    <x v="2"/>
    <x v="9"/>
    <x v="10"/>
    <x v="12"/>
    <x v="6"/>
    <x v="3"/>
    <x v="21"/>
    <x v="7"/>
    <x v="3"/>
  </r>
  <r>
    <x v="32"/>
    <x v="32"/>
    <x v="0"/>
    <x v="0"/>
    <x v="0"/>
    <x v="9"/>
    <x v="0"/>
    <x v="1"/>
    <x v="1"/>
    <x v="4"/>
    <x v="3"/>
    <x v="4"/>
    <x v="6"/>
    <x v="5"/>
    <x v="23"/>
    <x v="25"/>
    <x v="4"/>
  </r>
  <r>
    <x v="33"/>
    <x v="33"/>
    <x v="0"/>
    <x v="0"/>
    <x v="0"/>
    <x v="10"/>
    <x v="0"/>
    <x v="1"/>
    <x v="1"/>
    <x v="5"/>
    <x v="4"/>
    <x v="0"/>
    <x v="6"/>
    <x v="18"/>
    <x v="24"/>
    <x v="26"/>
    <x v="5"/>
  </r>
  <r>
    <x v="34"/>
    <x v="34"/>
    <x v="0"/>
    <x v="0"/>
    <x v="0"/>
    <x v="11"/>
    <x v="0"/>
    <x v="1"/>
    <x v="1"/>
    <x v="5"/>
    <x v="6"/>
    <x v="12"/>
    <x v="2"/>
    <x v="19"/>
    <x v="25"/>
    <x v="27"/>
    <x v="6"/>
  </r>
  <r>
    <x v="35"/>
    <x v="35"/>
    <x v="0"/>
    <x v="0"/>
    <x v="0"/>
    <x v="12"/>
    <x v="0"/>
    <x v="1"/>
    <x v="1"/>
    <x v="5"/>
    <x v="6"/>
    <x v="13"/>
    <x v="4"/>
    <x v="20"/>
    <x v="26"/>
    <x v="15"/>
    <x v="0"/>
  </r>
  <r>
    <x v="36"/>
    <x v="36"/>
    <x v="0"/>
    <x v="0"/>
    <x v="0"/>
    <x v="13"/>
    <x v="0"/>
    <x v="1"/>
    <x v="1"/>
    <x v="5"/>
    <x v="4"/>
    <x v="13"/>
    <x v="7"/>
    <x v="16"/>
    <x v="27"/>
    <x v="28"/>
    <x v="1"/>
  </r>
  <r>
    <x v="37"/>
    <x v="37"/>
    <x v="0"/>
    <x v="0"/>
    <x v="0"/>
    <x v="14"/>
    <x v="0"/>
    <x v="1"/>
    <x v="2"/>
    <x v="5"/>
    <x v="3"/>
    <x v="4"/>
    <x v="5"/>
    <x v="17"/>
    <x v="11"/>
    <x v="29"/>
    <x v="2"/>
  </r>
  <r>
    <x v="38"/>
    <x v="38"/>
    <x v="0"/>
    <x v="0"/>
    <x v="0"/>
    <x v="15"/>
    <x v="0"/>
    <x v="1"/>
    <x v="2"/>
    <x v="10"/>
    <x v="6"/>
    <x v="0"/>
    <x v="8"/>
    <x v="21"/>
    <x v="11"/>
    <x v="30"/>
    <x v="3"/>
  </r>
  <r>
    <x v="39"/>
    <x v="39"/>
    <x v="0"/>
    <x v="0"/>
    <x v="0"/>
    <x v="16"/>
    <x v="0"/>
    <x v="1"/>
    <x v="2"/>
    <x v="10"/>
    <x v="6"/>
    <x v="12"/>
    <x v="8"/>
    <x v="14"/>
    <x v="28"/>
    <x v="31"/>
    <x v="4"/>
  </r>
  <r>
    <x v="40"/>
    <x v="40"/>
    <x v="0"/>
    <x v="0"/>
    <x v="0"/>
    <x v="17"/>
    <x v="0"/>
    <x v="1"/>
    <x v="0"/>
    <x v="10"/>
    <x v="6"/>
    <x v="14"/>
    <x v="5"/>
    <x v="18"/>
    <x v="29"/>
    <x v="32"/>
    <x v="5"/>
  </r>
  <r>
    <x v="41"/>
    <x v="41"/>
    <x v="0"/>
    <x v="0"/>
    <x v="0"/>
    <x v="18"/>
    <x v="0"/>
    <x v="1"/>
    <x v="1"/>
    <x v="5"/>
    <x v="6"/>
    <x v="15"/>
    <x v="9"/>
    <x v="22"/>
    <x v="30"/>
    <x v="26"/>
    <x v="6"/>
  </r>
  <r>
    <x v="42"/>
    <x v="42"/>
    <x v="0"/>
    <x v="0"/>
    <x v="0"/>
    <x v="19"/>
    <x v="0"/>
    <x v="1"/>
    <x v="0"/>
    <x v="3"/>
    <x v="0"/>
    <x v="16"/>
    <x v="10"/>
    <x v="5"/>
    <x v="31"/>
    <x v="33"/>
    <x v="0"/>
  </r>
  <r>
    <x v="43"/>
    <x v="43"/>
    <x v="0"/>
    <x v="0"/>
    <x v="0"/>
    <x v="20"/>
    <x v="0"/>
    <x v="1"/>
    <x v="0"/>
    <x v="11"/>
    <x v="3"/>
    <x v="17"/>
    <x v="11"/>
    <x v="2"/>
    <x v="19"/>
    <x v="34"/>
    <x v="1"/>
  </r>
  <r>
    <x v="44"/>
    <x v="44"/>
    <x v="0"/>
    <x v="0"/>
    <x v="0"/>
    <x v="21"/>
    <x v="0"/>
    <x v="1"/>
    <x v="0"/>
    <x v="12"/>
    <x v="11"/>
    <x v="18"/>
    <x v="9"/>
    <x v="16"/>
    <x v="32"/>
    <x v="35"/>
    <x v="2"/>
  </r>
  <r>
    <x v="45"/>
    <x v="45"/>
    <x v="0"/>
    <x v="0"/>
    <x v="0"/>
    <x v="22"/>
    <x v="0"/>
    <x v="1"/>
    <x v="0"/>
    <x v="0"/>
    <x v="12"/>
    <x v="18"/>
    <x v="4"/>
    <x v="3"/>
    <x v="33"/>
    <x v="23"/>
    <x v="3"/>
  </r>
  <r>
    <x v="46"/>
    <x v="46"/>
    <x v="0"/>
    <x v="0"/>
    <x v="0"/>
    <x v="23"/>
    <x v="0"/>
    <x v="1"/>
    <x v="0"/>
    <x v="1"/>
    <x v="11"/>
    <x v="19"/>
    <x v="8"/>
    <x v="3"/>
    <x v="21"/>
    <x v="7"/>
    <x v="4"/>
  </r>
  <r>
    <x v="47"/>
    <x v="47"/>
    <x v="0"/>
    <x v="0"/>
    <x v="0"/>
    <x v="0"/>
    <x v="0"/>
    <x v="2"/>
    <x v="0"/>
    <x v="1"/>
    <x v="13"/>
    <x v="18"/>
    <x v="11"/>
    <x v="3"/>
    <x v="34"/>
    <x v="36"/>
    <x v="5"/>
  </r>
  <r>
    <x v="48"/>
    <x v="48"/>
    <x v="0"/>
    <x v="0"/>
    <x v="0"/>
    <x v="1"/>
    <x v="0"/>
    <x v="2"/>
    <x v="0"/>
    <x v="2"/>
    <x v="3"/>
    <x v="18"/>
    <x v="12"/>
    <x v="3"/>
    <x v="6"/>
    <x v="5"/>
    <x v="6"/>
  </r>
  <r>
    <x v="49"/>
    <x v="49"/>
    <x v="0"/>
    <x v="0"/>
    <x v="0"/>
    <x v="4"/>
    <x v="0"/>
    <x v="2"/>
    <x v="0"/>
    <x v="13"/>
    <x v="14"/>
    <x v="19"/>
    <x v="13"/>
    <x v="3"/>
    <x v="4"/>
    <x v="4"/>
    <x v="0"/>
  </r>
  <r>
    <x v="50"/>
    <x v="50"/>
    <x v="0"/>
    <x v="0"/>
    <x v="0"/>
    <x v="5"/>
    <x v="0"/>
    <x v="2"/>
    <x v="0"/>
    <x v="13"/>
    <x v="14"/>
    <x v="19"/>
    <x v="3"/>
    <x v="3"/>
    <x v="35"/>
    <x v="6"/>
    <x v="1"/>
  </r>
  <r>
    <x v="51"/>
    <x v="51"/>
    <x v="0"/>
    <x v="0"/>
    <x v="0"/>
    <x v="6"/>
    <x v="0"/>
    <x v="2"/>
    <x v="0"/>
    <x v="14"/>
    <x v="15"/>
    <x v="20"/>
    <x v="13"/>
    <x v="3"/>
    <x v="10"/>
    <x v="33"/>
    <x v="2"/>
  </r>
  <r>
    <x v="52"/>
    <x v="52"/>
    <x v="0"/>
    <x v="0"/>
    <x v="0"/>
    <x v="7"/>
    <x v="0"/>
    <x v="2"/>
    <x v="0"/>
    <x v="14"/>
    <x v="14"/>
    <x v="20"/>
    <x v="5"/>
    <x v="5"/>
    <x v="36"/>
    <x v="37"/>
    <x v="3"/>
  </r>
  <r>
    <x v="53"/>
    <x v="53"/>
    <x v="0"/>
    <x v="0"/>
    <x v="0"/>
    <x v="8"/>
    <x v="0"/>
    <x v="2"/>
    <x v="0"/>
    <x v="14"/>
    <x v="16"/>
    <x v="20"/>
    <x v="3"/>
    <x v="5"/>
    <x v="37"/>
    <x v="38"/>
    <x v="4"/>
  </r>
  <r>
    <x v="54"/>
    <x v="54"/>
    <x v="0"/>
    <x v="0"/>
    <x v="0"/>
    <x v="9"/>
    <x v="0"/>
    <x v="2"/>
    <x v="0"/>
    <x v="13"/>
    <x v="14"/>
    <x v="21"/>
    <x v="13"/>
    <x v="18"/>
    <x v="38"/>
    <x v="39"/>
    <x v="5"/>
  </r>
  <r>
    <x v="55"/>
    <x v="55"/>
    <x v="0"/>
    <x v="0"/>
    <x v="0"/>
    <x v="10"/>
    <x v="0"/>
    <x v="2"/>
    <x v="0"/>
    <x v="15"/>
    <x v="17"/>
    <x v="21"/>
    <x v="2"/>
    <x v="16"/>
    <x v="39"/>
    <x v="40"/>
    <x v="6"/>
  </r>
  <r>
    <x v="56"/>
    <x v="56"/>
    <x v="0"/>
    <x v="0"/>
    <x v="0"/>
    <x v="11"/>
    <x v="0"/>
    <x v="2"/>
    <x v="0"/>
    <x v="2"/>
    <x v="18"/>
    <x v="22"/>
    <x v="9"/>
    <x v="22"/>
    <x v="40"/>
    <x v="41"/>
    <x v="0"/>
  </r>
  <r>
    <x v="57"/>
    <x v="57"/>
    <x v="0"/>
    <x v="0"/>
    <x v="0"/>
    <x v="12"/>
    <x v="0"/>
    <x v="2"/>
    <x v="0"/>
    <x v="1"/>
    <x v="12"/>
    <x v="23"/>
    <x v="4"/>
    <x v="23"/>
    <x v="41"/>
    <x v="42"/>
    <x v="1"/>
  </r>
  <r>
    <x v="58"/>
    <x v="58"/>
    <x v="0"/>
    <x v="0"/>
    <x v="0"/>
    <x v="13"/>
    <x v="0"/>
    <x v="2"/>
    <x v="0"/>
    <x v="0"/>
    <x v="3"/>
    <x v="23"/>
    <x v="3"/>
    <x v="1"/>
    <x v="42"/>
    <x v="42"/>
    <x v="2"/>
  </r>
  <r>
    <x v="59"/>
    <x v="59"/>
    <x v="0"/>
    <x v="0"/>
    <x v="0"/>
    <x v="14"/>
    <x v="0"/>
    <x v="2"/>
    <x v="0"/>
    <x v="12"/>
    <x v="19"/>
    <x v="24"/>
    <x v="3"/>
    <x v="16"/>
    <x v="43"/>
    <x v="43"/>
    <x v="3"/>
  </r>
  <r>
    <x v="60"/>
    <x v="60"/>
    <x v="0"/>
    <x v="0"/>
    <x v="0"/>
    <x v="15"/>
    <x v="0"/>
    <x v="2"/>
    <x v="0"/>
    <x v="12"/>
    <x v="19"/>
    <x v="24"/>
    <x v="2"/>
    <x v="24"/>
    <x v="29"/>
    <x v="44"/>
    <x v="4"/>
  </r>
  <r>
    <x v="61"/>
    <x v="61"/>
    <x v="0"/>
    <x v="0"/>
    <x v="0"/>
    <x v="16"/>
    <x v="0"/>
    <x v="2"/>
    <x v="0"/>
    <x v="12"/>
    <x v="19"/>
    <x v="24"/>
    <x v="2"/>
    <x v="14"/>
    <x v="28"/>
    <x v="31"/>
    <x v="5"/>
  </r>
  <r>
    <x v="62"/>
    <x v="62"/>
    <x v="0"/>
    <x v="0"/>
    <x v="0"/>
    <x v="17"/>
    <x v="0"/>
    <x v="2"/>
    <x v="0"/>
    <x v="0"/>
    <x v="11"/>
    <x v="24"/>
    <x v="6"/>
    <x v="16"/>
    <x v="44"/>
    <x v="45"/>
    <x v="6"/>
  </r>
  <r>
    <x v="63"/>
    <x v="63"/>
    <x v="0"/>
    <x v="0"/>
    <x v="0"/>
    <x v="18"/>
    <x v="0"/>
    <x v="2"/>
    <x v="0"/>
    <x v="0"/>
    <x v="2"/>
    <x v="25"/>
    <x v="14"/>
    <x v="14"/>
    <x v="45"/>
    <x v="45"/>
    <x v="0"/>
  </r>
  <r>
    <x v="64"/>
    <x v="64"/>
    <x v="0"/>
    <x v="0"/>
    <x v="0"/>
    <x v="19"/>
    <x v="0"/>
    <x v="2"/>
    <x v="0"/>
    <x v="2"/>
    <x v="2"/>
    <x v="19"/>
    <x v="0"/>
    <x v="1"/>
    <x v="46"/>
    <x v="14"/>
    <x v="1"/>
  </r>
  <r>
    <x v="65"/>
    <x v="65"/>
    <x v="0"/>
    <x v="0"/>
    <x v="0"/>
    <x v="20"/>
    <x v="0"/>
    <x v="2"/>
    <x v="0"/>
    <x v="2"/>
    <x v="3"/>
    <x v="19"/>
    <x v="14"/>
    <x v="0"/>
    <x v="47"/>
    <x v="46"/>
    <x v="2"/>
  </r>
  <r>
    <x v="66"/>
    <x v="66"/>
    <x v="0"/>
    <x v="0"/>
    <x v="0"/>
    <x v="21"/>
    <x v="0"/>
    <x v="2"/>
    <x v="0"/>
    <x v="15"/>
    <x v="13"/>
    <x v="26"/>
    <x v="7"/>
    <x v="0"/>
    <x v="47"/>
    <x v="46"/>
    <x v="3"/>
  </r>
  <r>
    <x v="67"/>
    <x v="67"/>
    <x v="0"/>
    <x v="0"/>
    <x v="0"/>
    <x v="22"/>
    <x v="0"/>
    <x v="2"/>
    <x v="0"/>
    <x v="14"/>
    <x v="20"/>
    <x v="27"/>
    <x v="7"/>
    <x v="3"/>
    <x v="32"/>
    <x v="25"/>
    <x v="4"/>
  </r>
  <r>
    <x v="68"/>
    <x v="68"/>
    <x v="0"/>
    <x v="0"/>
    <x v="0"/>
    <x v="23"/>
    <x v="0"/>
    <x v="2"/>
    <x v="0"/>
    <x v="15"/>
    <x v="12"/>
    <x v="28"/>
    <x v="14"/>
    <x v="5"/>
    <x v="48"/>
    <x v="47"/>
    <x v="5"/>
  </r>
  <r>
    <x v="69"/>
    <x v="69"/>
    <x v="0"/>
    <x v="0"/>
    <x v="0"/>
    <x v="0"/>
    <x v="0"/>
    <x v="3"/>
    <x v="0"/>
    <x v="13"/>
    <x v="3"/>
    <x v="28"/>
    <x v="14"/>
    <x v="3"/>
    <x v="34"/>
    <x v="36"/>
    <x v="6"/>
  </r>
  <r>
    <x v="70"/>
    <x v="70"/>
    <x v="0"/>
    <x v="0"/>
    <x v="0"/>
    <x v="1"/>
    <x v="0"/>
    <x v="3"/>
    <x v="0"/>
    <x v="13"/>
    <x v="18"/>
    <x v="29"/>
    <x v="14"/>
    <x v="3"/>
    <x v="6"/>
    <x v="5"/>
    <x v="0"/>
  </r>
  <r>
    <x v="71"/>
    <x v="71"/>
    <x v="0"/>
    <x v="0"/>
    <x v="0"/>
    <x v="2"/>
    <x v="0"/>
    <x v="3"/>
    <x v="0"/>
    <x v="14"/>
    <x v="20"/>
    <x v="30"/>
    <x v="7"/>
    <x v="3"/>
    <x v="4"/>
    <x v="4"/>
    <x v="1"/>
  </r>
  <r>
    <x v="72"/>
    <x v="72"/>
    <x v="0"/>
    <x v="0"/>
    <x v="0"/>
    <x v="4"/>
    <x v="0"/>
    <x v="3"/>
    <x v="0"/>
    <x v="14"/>
    <x v="18"/>
    <x v="30"/>
    <x v="1"/>
    <x v="3"/>
    <x v="6"/>
    <x v="5"/>
    <x v="2"/>
  </r>
  <r>
    <x v="73"/>
    <x v="73"/>
    <x v="0"/>
    <x v="0"/>
    <x v="0"/>
    <x v="5"/>
    <x v="0"/>
    <x v="3"/>
    <x v="0"/>
    <x v="16"/>
    <x v="20"/>
    <x v="31"/>
    <x v="14"/>
    <x v="3"/>
    <x v="22"/>
    <x v="48"/>
    <x v="3"/>
  </r>
  <r>
    <x v="74"/>
    <x v="74"/>
    <x v="0"/>
    <x v="0"/>
    <x v="0"/>
    <x v="6"/>
    <x v="0"/>
    <x v="3"/>
    <x v="0"/>
    <x v="16"/>
    <x v="20"/>
    <x v="32"/>
    <x v="14"/>
    <x v="3"/>
    <x v="49"/>
    <x v="9"/>
    <x v="4"/>
  </r>
  <r>
    <x v="75"/>
    <x v="75"/>
    <x v="0"/>
    <x v="0"/>
    <x v="0"/>
    <x v="7"/>
    <x v="0"/>
    <x v="3"/>
    <x v="0"/>
    <x v="16"/>
    <x v="20"/>
    <x v="32"/>
    <x v="7"/>
    <x v="4"/>
    <x v="50"/>
    <x v="12"/>
    <x v="5"/>
  </r>
  <r>
    <x v="76"/>
    <x v="76"/>
    <x v="0"/>
    <x v="0"/>
    <x v="0"/>
    <x v="8"/>
    <x v="0"/>
    <x v="3"/>
    <x v="0"/>
    <x v="14"/>
    <x v="20"/>
    <x v="27"/>
    <x v="8"/>
    <x v="4"/>
    <x v="51"/>
    <x v="49"/>
    <x v="6"/>
  </r>
  <r>
    <x v="77"/>
    <x v="77"/>
    <x v="0"/>
    <x v="0"/>
    <x v="0"/>
    <x v="9"/>
    <x v="0"/>
    <x v="3"/>
    <x v="0"/>
    <x v="13"/>
    <x v="20"/>
    <x v="26"/>
    <x v="6"/>
    <x v="4"/>
    <x v="52"/>
    <x v="50"/>
    <x v="0"/>
  </r>
  <r>
    <x v="78"/>
    <x v="78"/>
    <x v="0"/>
    <x v="0"/>
    <x v="0"/>
    <x v="10"/>
    <x v="0"/>
    <x v="3"/>
    <x v="1"/>
    <x v="13"/>
    <x v="14"/>
    <x v="27"/>
    <x v="9"/>
    <x v="2"/>
    <x v="53"/>
    <x v="51"/>
    <x v="1"/>
  </r>
  <r>
    <x v="79"/>
    <x v="79"/>
    <x v="0"/>
    <x v="0"/>
    <x v="0"/>
    <x v="11"/>
    <x v="0"/>
    <x v="3"/>
    <x v="0"/>
    <x v="1"/>
    <x v="12"/>
    <x v="33"/>
    <x v="4"/>
    <x v="18"/>
    <x v="54"/>
    <x v="52"/>
    <x v="2"/>
  </r>
  <r>
    <x v="80"/>
    <x v="80"/>
    <x v="0"/>
    <x v="0"/>
    <x v="0"/>
    <x v="12"/>
    <x v="0"/>
    <x v="3"/>
    <x v="0"/>
    <x v="1"/>
    <x v="11"/>
    <x v="33"/>
    <x v="8"/>
    <x v="6"/>
    <x v="43"/>
    <x v="53"/>
    <x v="3"/>
  </r>
  <r>
    <x v="81"/>
    <x v="81"/>
    <x v="0"/>
    <x v="0"/>
    <x v="0"/>
    <x v="13"/>
    <x v="0"/>
    <x v="3"/>
    <x v="0"/>
    <x v="0"/>
    <x v="11"/>
    <x v="34"/>
    <x v="5"/>
    <x v="25"/>
    <x v="55"/>
    <x v="54"/>
    <x v="4"/>
  </r>
  <r>
    <x v="82"/>
    <x v="82"/>
    <x v="0"/>
    <x v="0"/>
    <x v="0"/>
    <x v="14"/>
    <x v="0"/>
    <x v="3"/>
    <x v="0"/>
    <x v="12"/>
    <x v="2"/>
    <x v="35"/>
    <x v="6"/>
    <x v="14"/>
    <x v="25"/>
    <x v="55"/>
    <x v="5"/>
  </r>
  <r>
    <x v="83"/>
    <x v="83"/>
    <x v="0"/>
    <x v="0"/>
    <x v="0"/>
    <x v="15"/>
    <x v="0"/>
    <x v="3"/>
    <x v="0"/>
    <x v="17"/>
    <x v="1"/>
    <x v="35"/>
    <x v="2"/>
    <x v="26"/>
    <x v="41"/>
    <x v="32"/>
    <x v="6"/>
  </r>
  <r>
    <x v="84"/>
    <x v="84"/>
    <x v="0"/>
    <x v="0"/>
    <x v="0"/>
    <x v="16"/>
    <x v="0"/>
    <x v="3"/>
    <x v="0"/>
    <x v="11"/>
    <x v="0"/>
    <x v="36"/>
    <x v="2"/>
    <x v="13"/>
    <x v="56"/>
    <x v="56"/>
    <x v="0"/>
  </r>
  <r>
    <x v="85"/>
    <x v="85"/>
    <x v="0"/>
    <x v="0"/>
    <x v="0"/>
    <x v="17"/>
    <x v="0"/>
    <x v="3"/>
    <x v="0"/>
    <x v="17"/>
    <x v="1"/>
    <x v="37"/>
    <x v="6"/>
    <x v="22"/>
    <x v="57"/>
    <x v="57"/>
    <x v="1"/>
  </r>
  <r>
    <x v="86"/>
    <x v="86"/>
    <x v="0"/>
    <x v="0"/>
    <x v="0"/>
    <x v="18"/>
    <x v="0"/>
    <x v="3"/>
    <x v="0"/>
    <x v="12"/>
    <x v="2"/>
    <x v="37"/>
    <x v="5"/>
    <x v="0"/>
    <x v="58"/>
    <x v="58"/>
    <x v="2"/>
  </r>
  <r>
    <x v="87"/>
    <x v="87"/>
    <x v="0"/>
    <x v="0"/>
    <x v="0"/>
    <x v="19"/>
    <x v="0"/>
    <x v="3"/>
    <x v="0"/>
    <x v="0"/>
    <x v="2"/>
    <x v="37"/>
    <x v="14"/>
    <x v="4"/>
    <x v="59"/>
    <x v="59"/>
    <x v="3"/>
  </r>
  <r>
    <x v="88"/>
    <x v="88"/>
    <x v="0"/>
    <x v="0"/>
    <x v="0"/>
    <x v="20"/>
    <x v="0"/>
    <x v="3"/>
    <x v="0"/>
    <x v="0"/>
    <x v="2"/>
    <x v="37"/>
    <x v="14"/>
    <x v="5"/>
    <x v="42"/>
    <x v="60"/>
    <x v="4"/>
  </r>
  <r>
    <x v="89"/>
    <x v="89"/>
    <x v="0"/>
    <x v="0"/>
    <x v="0"/>
    <x v="21"/>
    <x v="0"/>
    <x v="3"/>
    <x v="0"/>
    <x v="1"/>
    <x v="1"/>
    <x v="26"/>
    <x v="0"/>
    <x v="3"/>
    <x v="41"/>
    <x v="61"/>
    <x v="5"/>
  </r>
  <r>
    <x v="90"/>
    <x v="90"/>
    <x v="0"/>
    <x v="0"/>
    <x v="0"/>
    <x v="22"/>
    <x v="0"/>
    <x v="3"/>
    <x v="0"/>
    <x v="1"/>
    <x v="2"/>
    <x v="26"/>
    <x v="1"/>
    <x v="5"/>
    <x v="60"/>
    <x v="17"/>
    <x v="6"/>
  </r>
  <r>
    <x v="91"/>
    <x v="91"/>
    <x v="0"/>
    <x v="0"/>
    <x v="0"/>
    <x v="23"/>
    <x v="0"/>
    <x v="3"/>
    <x v="0"/>
    <x v="2"/>
    <x v="11"/>
    <x v="27"/>
    <x v="1"/>
    <x v="4"/>
    <x v="33"/>
    <x v="62"/>
    <x v="0"/>
  </r>
  <r>
    <x v="92"/>
    <x v="92"/>
    <x v="0"/>
    <x v="0"/>
    <x v="0"/>
    <x v="0"/>
    <x v="0"/>
    <x v="4"/>
    <x v="0"/>
    <x v="2"/>
    <x v="2"/>
    <x v="26"/>
    <x v="0"/>
    <x v="3"/>
    <x v="8"/>
    <x v="24"/>
    <x v="1"/>
  </r>
  <r>
    <x v="93"/>
    <x v="93"/>
    <x v="0"/>
    <x v="0"/>
    <x v="0"/>
    <x v="1"/>
    <x v="0"/>
    <x v="4"/>
    <x v="0"/>
    <x v="13"/>
    <x v="13"/>
    <x v="32"/>
    <x v="1"/>
    <x v="3"/>
    <x v="8"/>
    <x v="24"/>
    <x v="2"/>
  </r>
  <r>
    <x v="94"/>
    <x v="94"/>
    <x v="0"/>
    <x v="0"/>
    <x v="0"/>
    <x v="2"/>
    <x v="0"/>
    <x v="4"/>
    <x v="0"/>
    <x v="13"/>
    <x v="13"/>
    <x v="32"/>
    <x v="1"/>
    <x v="3"/>
    <x v="6"/>
    <x v="5"/>
    <x v="3"/>
  </r>
  <r>
    <x v="95"/>
    <x v="95"/>
    <x v="0"/>
    <x v="0"/>
    <x v="0"/>
    <x v="4"/>
    <x v="0"/>
    <x v="4"/>
    <x v="0"/>
    <x v="0"/>
    <x v="11"/>
    <x v="37"/>
    <x v="6"/>
    <x v="3"/>
    <x v="6"/>
    <x v="5"/>
    <x v="4"/>
  </r>
  <r>
    <x v="96"/>
    <x v="96"/>
    <x v="0"/>
    <x v="0"/>
    <x v="0"/>
    <x v="5"/>
    <x v="0"/>
    <x v="4"/>
    <x v="0"/>
    <x v="1"/>
    <x v="11"/>
    <x v="19"/>
    <x v="8"/>
    <x v="3"/>
    <x v="35"/>
    <x v="6"/>
    <x v="5"/>
  </r>
  <r>
    <x v="97"/>
    <x v="97"/>
    <x v="0"/>
    <x v="0"/>
    <x v="0"/>
    <x v="6"/>
    <x v="0"/>
    <x v="4"/>
    <x v="0"/>
    <x v="2"/>
    <x v="13"/>
    <x v="19"/>
    <x v="6"/>
    <x v="3"/>
    <x v="39"/>
    <x v="63"/>
    <x v="6"/>
  </r>
  <r>
    <x v="98"/>
    <x v="98"/>
    <x v="0"/>
    <x v="0"/>
    <x v="0"/>
    <x v="7"/>
    <x v="0"/>
    <x v="4"/>
    <x v="0"/>
    <x v="15"/>
    <x v="18"/>
    <x v="21"/>
    <x v="5"/>
    <x v="5"/>
    <x v="61"/>
    <x v="39"/>
    <x v="0"/>
  </r>
  <r>
    <x v="99"/>
    <x v="99"/>
    <x v="0"/>
    <x v="0"/>
    <x v="0"/>
    <x v="8"/>
    <x v="0"/>
    <x v="4"/>
    <x v="0"/>
    <x v="2"/>
    <x v="18"/>
    <x v="22"/>
    <x v="4"/>
    <x v="0"/>
    <x v="62"/>
    <x v="64"/>
    <x v="1"/>
  </r>
  <r>
    <x v="100"/>
    <x v="100"/>
    <x v="0"/>
    <x v="0"/>
    <x v="0"/>
    <x v="9"/>
    <x v="0"/>
    <x v="4"/>
    <x v="0"/>
    <x v="1"/>
    <x v="13"/>
    <x v="38"/>
    <x v="9"/>
    <x v="15"/>
    <x v="63"/>
    <x v="65"/>
    <x v="2"/>
  </r>
  <r>
    <x v="101"/>
    <x v="101"/>
    <x v="0"/>
    <x v="0"/>
    <x v="0"/>
    <x v="10"/>
    <x v="0"/>
    <x v="4"/>
    <x v="0"/>
    <x v="1"/>
    <x v="13"/>
    <x v="38"/>
    <x v="9"/>
    <x v="17"/>
    <x v="42"/>
    <x v="52"/>
    <x v="3"/>
  </r>
  <r>
    <x v="102"/>
    <x v="102"/>
    <x v="0"/>
    <x v="0"/>
    <x v="0"/>
    <x v="11"/>
    <x v="0"/>
    <x v="4"/>
    <x v="0"/>
    <x v="12"/>
    <x v="11"/>
    <x v="39"/>
    <x v="9"/>
    <x v="6"/>
    <x v="60"/>
    <x v="66"/>
    <x v="4"/>
  </r>
  <r>
    <x v="103"/>
    <x v="103"/>
    <x v="0"/>
    <x v="0"/>
    <x v="0"/>
    <x v="12"/>
    <x v="0"/>
    <x v="4"/>
    <x v="0"/>
    <x v="12"/>
    <x v="11"/>
    <x v="39"/>
    <x v="9"/>
    <x v="2"/>
    <x v="64"/>
    <x v="67"/>
    <x v="5"/>
  </r>
  <r>
    <x v="104"/>
    <x v="104"/>
    <x v="0"/>
    <x v="0"/>
    <x v="0"/>
    <x v="13"/>
    <x v="0"/>
    <x v="4"/>
    <x v="0"/>
    <x v="17"/>
    <x v="2"/>
    <x v="24"/>
    <x v="4"/>
    <x v="15"/>
    <x v="65"/>
    <x v="68"/>
    <x v="6"/>
  </r>
  <r>
    <x v="105"/>
    <x v="105"/>
    <x v="0"/>
    <x v="0"/>
    <x v="0"/>
    <x v="14"/>
    <x v="0"/>
    <x v="4"/>
    <x v="0"/>
    <x v="11"/>
    <x v="0"/>
    <x v="40"/>
    <x v="5"/>
    <x v="22"/>
    <x v="15"/>
    <x v="69"/>
    <x v="0"/>
  </r>
  <r>
    <x v="106"/>
    <x v="106"/>
    <x v="0"/>
    <x v="0"/>
    <x v="0"/>
    <x v="15"/>
    <x v="0"/>
    <x v="4"/>
    <x v="0"/>
    <x v="11"/>
    <x v="0"/>
    <x v="40"/>
    <x v="5"/>
    <x v="18"/>
    <x v="11"/>
    <x v="69"/>
    <x v="1"/>
  </r>
  <r>
    <x v="107"/>
    <x v="107"/>
    <x v="0"/>
    <x v="0"/>
    <x v="0"/>
    <x v="16"/>
    <x v="0"/>
    <x v="4"/>
    <x v="0"/>
    <x v="11"/>
    <x v="21"/>
    <x v="40"/>
    <x v="1"/>
    <x v="17"/>
    <x v="66"/>
    <x v="70"/>
    <x v="2"/>
  </r>
  <r>
    <x v="108"/>
    <x v="108"/>
    <x v="0"/>
    <x v="0"/>
    <x v="0"/>
    <x v="17"/>
    <x v="0"/>
    <x v="4"/>
    <x v="0"/>
    <x v="0"/>
    <x v="11"/>
    <x v="41"/>
    <x v="5"/>
    <x v="17"/>
    <x v="67"/>
    <x v="71"/>
    <x v="3"/>
  </r>
  <r>
    <x v="109"/>
    <x v="109"/>
    <x v="0"/>
    <x v="0"/>
    <x v="0"/>
    <x v="18"/>
    <x v="0"/>
    <x v="4"/>
    <x v="0"/>
    <x v="0"/>
    <x v="19"/>
    <x v="41"/>
    <x v="7"/>
    <x v="0"/>
    <x v="68"/>
    <x v="72"/>
    <x v="4"/>
  </r>
  <r>
    <x v="110"/>
    <x v="110"/>
    <x v="0"/>
    <x v="0"/>
    <x v="0"/>
    <x v="19"/>
    <x v="0"/>
    <x v="4"/>
    <x v="0"/>
    <x v="0"/>
    <x v="2"/>
    <x v="41"/>
    <x v="14"/>
    <x v="2"/>
    <x v="69"/>
    <x v="73"/>
    <x v="5"/>
  </r>
  <r>
    <x v="111"/>
    <x v="111"/>
    <x v="0"/>
    <x v="0"/>
    <x v="0"/>
    <x v="20"/>
    <x v="0"/>
    <x v="4"/>
    <x v="0"/>
    <x v="1"/>
    <x v="11"/>
    <x v="19"/>
    <x v="8"/>
    <x v="18"/>
    <x v="70"/>
    <x v="70"/>
    <x v="6"/>
  </r>
  <r>
    <x v="112"/>
    <x v="112"/>
    <x v="0"/>
    <x v="0"/>
    <x v="0"/>
    <x v="21"/>
    <x v="0"/>
    <x v="4"/>
    <x v="0"/>
    <x v="2"/>
    <x v="13"/>
    <x v="33"/>
    <x v="5"/>
    <x v="0"/>
    <x v="71"/>
    <x v="74"/>
    <x v="0"/>
  </r>
  <r>
    <x v="113"/>
    <x v="113"/>
    <x v="0"/>
    <x v="0"/>
    <x v="0"/>
    <x v="22"/>
    <x v="0"/>
    <x v="4"/>
    <x v="0"/>
    <x v="15"/>
    <x v="13"/>
    <x v="28"/>
    <x v="7"/>
    <x v="5"/>
    <x v="40"/>
    <x v="51"/>
    <x v="1"/>
  </r>
  <r>
    <x v="114"/>
    <x v="114"/>
    <x v="0"/>
    <x v="0"/>
    <x v="0"/>
    <x v="23"/>
    <x v="0"/>
    <x v="4"/>
    <x v="0"/>
    <x v="2"/>
    <x v="2"/>
    <x v="19"/>
    <x v="0"/>
    <x v="5"/>
    <x v="72"/>
    <x v="75"/>
    <x v="2"/>
  </r>
  <r>
    <x v="115"/>
    <x v="115"/>
    <x v="0"/>
    <x v="0"/>
    <x v="0"/>
    <x v="0"/>
    <x v="0"/>
    <x v="5"/>
    <x v="0"/>
    <x v="15"/>
    <x v="19"/>
    <x v="28"/>
    <x v="0"/>
    <x v="3"/>
    <x v="48"/>
    <x v="62"/>
    <x v="3"/>
  </r>
  <r>
    <x v="116"/>
    <x v="116"/>
    <x v="0"/>
    <x v="0"/>
    <x v="0"/>
    <x v="1"/>
    <x v="0"/>
    <x v="5"/>
    <x v="0"/>
    <x v="13"/>
    <x v="11"/>
    <x v="26"/>
    <x v="0"/>
    <x v="3"/>
    <x v="22"/>
    <x v="48"/>
    <x v="4"/>
  </r>
  <r>
    <x v="117"/>
    <x v="117"/>
    <x v="0"/>
    <x v="0"/>
    <x v="0"/>
    <x v="2"/>
    <x v="0"/>
    <x v="5"/>
    <x v="0"/>
    <x v="13"/>
    <x v="11"/>
    <x v="26"/>
    <x v="0"/>
    <x v="3"/>
    <x v="6"/>
    <x v="5"/>
    <x v="5"/>
  </r>
  <r>
    <x v="118"/>
    <x v="118"/>
    <x v="0"/>
    <x v="0"/>
    <x v="0"/>
    <x v="4"/>
    <x v="0"/>
    <x v="5"/>
    <x v="1"/>
    <x v="13"/>
    <x v="13"/>
    <x v="26"/>
    <x v="1"/>
    <x v="3"/>
    <x v="4"/>
    <x v="4"/>
    <x v="6"/>
  </r>
  <r>
    <x v="119"/>
    <x v="119"/>
    <x v="0"/>
    <x v="0"/>
    <x v="0"/>
    <x v="5"/>
    <x v="0"/>
    <x v="5"/>
    <x v="1"/>
    <x v="14"/>
    <x v="18"/>
    <x v="27"/>
    <x v="1"/>
    <x v="3"/>
    <x v="22"/>
    <x v="48"/>
    <x v="0"/>
  </r>
  <r>
    <x v="120"/>
    <x v="120"/>
    <x v="0"/>
    <x v="0"/>
    <x v="0"/>
    <x v="6"/>
    <x v="0"/>
    <x v="5"/>
    <x v="1"/>
    <x v="14"/>
    <x v="17"/>
    <x v="30"/>
    <x v="14"/>
    <x v="3"/>
    <x v="49"/>
    <x v="9"/>
    <x v="1"/>
  </r>
  <r>
    <x v="121"/>
    <x v="121"/>
    <x v="0"/>
    <x v="0"/>
    <x v="0"/>
    <x v="7"/>
    <x v="0"/>
    <x v="5"/>
    <x v="1"/>
    <x v="13"/>
    <x v="11"/>
    <x v="29"/>
    <x v="0"/>
    <x v="3"/>
    <x v="73"/>
    <x v="76"/>
    <x v="2"/>
  </r>
  <r>
    <x v="122"/>
    <x v="122"/>
    <x v="0"/>
    <x v="0"/>
    <x v="0"/>
    <x v="8"/>
    <x v="0"/>
    <x v="5"/>
    <x v="0"/>
    <x v="13"/>
    <x v="11"/>
    <x v="29"/>
    <x v="0"/>
    <x v="0"/>
    <x v="74"/>
    <x v="77"/>
    <x v="3"/>
  </r>
  <r>
    <x v="123"/>
    <x v="123"/>
    <x v="0"/>
    <x v="0"/>
    <x v="0"/>
    <x v="9"/>
    <x v="0"/>
    <x v="5"/>
    <x v="1"/>
    <x v="15"/>
    <x v="19"/>
    <x v="33"/>
    <x v="0"/>
    <x v="15"/>
    <x v="75"/>
    <x v="78"/>
    <x v="4"/>
  </r>
  <r>
    <x v="124"/>
    <x v="124"/>
    <x v="0"/>
    <x v="0"/>
    <x v="0"/>
    <x v="10"/>
    <x v="0"/>
    <x v="5"/>
    <x v="0"/>
    <x v="2"/>
    <x v="2"/>
    <x v="19"/>
    <x v="0"/>
    <x v="0"/>
    <x v="76"/>
    <x v="79"/>
    <x v="5"/>
  </r>
  <r>
    <x v="125"/>
    <x v="125"/>
    <x v="0"/>
    <x v="0"/>
    <x v="0"/>
    <x v="11"/>
    <x v="0"/>
    <x v="5"/>
    <x v="0"/>
    <x v="1"/>
    <x v="2"/>
    <x v="18"/>
    <x v="1"/>
    <x v="4"/>
    <x v="77"/>
    <x v="29"/>
    <x v="6"/>
  </r>
  <r>
    <x v="126"/>
    <x v="126"/>
    <x v="0"/>
    <x v="0"/>
    <x v="0"/>
    <x v="12"/>
    <x v="0"/>
    <x v="5"/>
    <x v="0"/>
    <x v="12"/>
    <x v="0"/>
    <x v="23"/>
    <x v="0"/>
    <x v="15"/>
    <x v="78"/>
    <x v="11"/>
    <x v="0"/>
  </r>
  <r>
    <x v="127"/>
    <x v="127"/>
    <x v="0"/>
    <x v="0"/>
    <x v="0"/>
    <x v="13"/>
    <x v="0"/>
    <x v="5"/>
    <x v="0"/>
    <x v="12"/>
    <x v="1"/>
    <x v="23"/>
    <x v="14"/>
    <x v="6"/>
    <x v="11"/>
    <x v="16"/>
    <x v="1"/>
  </r>
  <r>
    <x v="128"/>
    <x v="128"/>
    <x v="0"/>
    <x v="0"/>
    <x v="0"/>
    <x v="14"/>
    <x v="0"/>
    <x v="5"/>
    <x v="0"/>
    <x v="17"/>
    <x v="1"/>
    <x v="42"/>
    <x v="8"/>
    <x v="16"/>
    <x v="79"/>
    <x v="27"/>
    <x v="2"/>
  </r>
  <r>
    <x v="129"/>
    <x v="129"/>
    <x v="0"/>
    <x v="0"/>
    <x v="0"/>
    <x v="15"/>
    <x v="0"/>
    <x v="5"/>
    <x v="0"/>
    <x v="17"/>
    <x v="1"/>
    <x v="42"/>
    <x v="0"/>
    <x v="1"/>
    <x v="25"/>
    <x v="69"/>
    <x v="3"/>
  </r>
  <r>
    <x v="130"/>
    <x v="130"/>
    <x v="0"/>
    <x v="0"/>
    <x v="0"/>
    <x v="16"/>
    <x v="0"/>
    <x v="5"/>
    <x v="0"/>
    <x v="12"/>
    <x v="2"/>
    <x v="41"/>
    <x v="8"/>
    <x v="6"/>
    <x v="64"/>
    <x v="80"/>
    <x v="4"/>
  </r>
  <r>
    <x v="131"/>
    <x v="131"/>
    <x v="0"/>
    <x v="0"/>
    <x v="0"/>
    <x v="17"/>
    <x v="0"/>
    <x v="5"/>
    <x v="0"/>
    <x v="1"/>
    <x v="11"/>
    <x v="33"/>
    <x v="8"/>
    <x v="14"/>
    <x v="80"/>
    <x v="81"/>
    <x v="5"/>
  </r>
  <r>
    <x v="132"/>
    <x v="132"/>
    <x v="0"/>
    <x v="0"/>
    <x v="0"/>
    <x v="18"/>
    <x v="0"/>
    <x v="5"/>
    <x v="0"/>
    <x v="1"/>
    <x v="11"/>
    <x v="33"/>
    <x v="7"/>
    <x v="2"/>
    <x v="81"/>
    <x v="82"/>
    <x v="6"/>
  </r>
  <r>
    <x v="133"/>
    <x v="133"/>
    <x v="0"/>
    <x v="0"/>
    <x v="0"/>
    <x v="19"/>
    <x v="0"/>
    <x v="5"/>
    <x v="0"/>
    <x v="1"/>
    <x v="2"/>
    <x v="28"/>
    <x v="1"/>
    <x v="0"/>
    <x v="63"/>
    <x v="59"/>
    <x v="0"/>
  </r>
  <r>
    <x v="134"/>
    <x v="134"/>
    <x v="0"/>
    <x v="0"/>
    <x v="0"/>
    <x v="20"/>
    <x v="0"/>
    <x v="5"/>
    <x v="0"/>
    <x v="2"/>
    <x v="12"/>
    <x v="33"/>
    <x v="8"/>
    <x v="0"/>
    <x v="43"/>
    <x v="83"/>
    <x v="1"/>
  </r>
  <r>
    <x v="135"/>
    <x v="135"/>
    <x v="0"/>
    <x v="0"/>
    <x v="0"/>
    <x v="21"/>
    <x v="0"/>
    <x v="5"/>
    <x v="1"/>
    <x v="1"/>
    <x v="12"/>
    <x v="28"/>
    <x v="6"/>
    <x v="3"/>
    <x v="41"/>
    <x v="61"/>
    <x v="2"/>
  </r>
  <r>
    <x v="136"/>
    <x v="136"/>
    <x v="0"/>
    <x v="0"/>
    <x v="0"/>
    <x v="22"/>
    <x v="0"/>
    <x v="5"/>
    <x v="1"/>
    <x v="1"/>
    <x v="12"/>
    <x v="33"/>
    <x v="3"/>
    <x v="5"/>
    <x v="82"/>
    <x v="46"/>
    <x v="3"/>
  </r>
  <r>
    <x v="137"/>
    <x v="137"/>
    <x v="0"/>
    <x v="0"/>
    <x v="0"/>
    <x v="23"/>
    <x v="0"/>
    <x v="5"/>
    <x v="1"/>
    <x v="2"/>
    <x v="13"/>
    <x v="29"/>
    <x v="5"/>
    <x v="17"/>
    <x v="23"/>
    <x v="84"/>
    <x v="4"/>
  </r>
  <r>
    <x v="138"/>
    <x v="138"/>
    <x v="0"/>
    <x v="0"/>
    <x v="0"/>
    <x v="0"/>
    <x v="0"/>
    <x v="6"/>
    <x v="1"/>
    <x v="2"/>
    <x v="13"/>
    <x v="26"/>
    <x v="5"/>
    <x v="17"/>
    <x v="0"/>
    <x v="22"/>
    <x v="5"/>
  </r>
  <r>
    <x v="139"/>
    <x v="139"/>
    <x v="0"/>
    <x v="0"/>
    <x v="0"/>
    <x v="1"/>
    <x v="0"/>
    <x v="6"/>
    <x v="1"/>
    <x v="2"/>
    <x v="13"/>
    <x v="27"/>
    <x v="6"/>
    <x v="4"/>
    <x v="34"/>
    <x v="85"/>
    <x v="6"/>
  </r>
  <r>
    <x v="140"/>
    <x v="140"/>
    <x v="0"/>
    <x v="0"/>
    <x v="0"/>
    <x v="2"/>
    <x v="0"/>
    <x v="6"/>
    <x v="1"/>
    <x v="2"/>
    <x v="13"/>
    <x v="27"/>
    <x v="6"/>
    <x v="3"/>
    <x v="4"/>
    <x v="4"/>
    <x v="0"/>
  </r>
  <r>
    <x v="141"/>
    <x v="141"/>
    <x v="0"/>
    <x v="0"/>
    <x v="0"/>
    <x v="4"/>
    <x v="0"/>
    <x v="6"/>
    <x v="1"/>
    <x v="2"/>
    <x v="12"/>
    <x v="27"/>
    <x v="7"/>
    <x v="3"/>
    <x v="4"/>
    <x v="4"/>
    <x v="1"/>
  </r>
  <r>
    <x v="142"/>
    <x v="142"/>
    <x v="0"/>
    <x v="0"/>
    <x v="0"/>
    <x v="5"/>
    <x v="0"/>
    <x v="6"/>
    <x v="2"/>
    <x v="1"/>
    <x v="1"/>
    <x v="28"/>
    <x v="0"/>
    <x v="3"/>
    <x v="34"/>
    <x v="36"/>
    <x v="2"/>
  </r>
  <r>
    <x v="143"/>
    <x v="143"/>
    <x v="0"/>
    <x v="0"/>
    <x v="0"/>
    <x v="6"/>
    <x v="0"/>
    <x v="6"/>
    <x v="1"/>
    <x v="2"/>
    <x v="2"/>
    <x v="27"/>
    <x v="0"/>
    <x v="1"/>
    <x v="16"/>
    <x v="19"/>
    <x v="3"/>
  </r>
  <r>
    <x v="144"/>
    <x v="144"/>
    <x v="0"/>
    <x v="0"/>
    <x v="0"/>
    <x v="7"/>
    <x v="0"/>
    <x v="6"/>
    <x v="0"/>
    <x v="2"/>
    <x v="12"/>
    <x v="27"/>
    <x v="7"/>
    <x v="1"/>
    <x v="83"/>
    <x v="11"/>
    <x v="4"/>
  </r>
  <r>
    <x v="145"/>
    <x v="145"/>
    <x v="0"/>
    <x v="0"/>
    <x v="0"/>
    <x v="8"/>
    <x v="0"/>
    <x v="6"/>
    <x v="0"/>
    <x v="2"/>
    <x v="13"/>
    <x v="33"/>
    <x v="2"/>
    <x v="20"/>
    <x v="84"/>
    <x v="86"/>
    <x v="5"/>
  </r>
  <r>
    <x v="146"/>
    <x v="146"/>
    <x v="0"/>
    <x v="0"/>
    <x v="0"/>
    <x v="9"/>
    <x v="0"/>
    <x v="6"/>
    <x v="0"/>
    <x v="2"/>
    <x v="18"/>
    <x v="19"/>
    <x v="4"/>
    <x v="14"/>
    <x v="85"/>
    <x v="87"/>
    <x v="6"/>
  </r>
  <r>
    <x v="147"/>
    <x v="147"/>
    <x v="0"/>
    <x v="0"/>
    <x v="0"/>
    <x v="10"/>
    <x v="0"/>
    <x v="6"/>
    <x v="0"/>
    <x v="1"/>
    <x v="13"/>
    <x v="38"/>
    <x v="9"/>
    <x v="19"/>
    <x v="12"/>
    <x v="55"/>
    <x v="0"/>
  </r>
  <r>
    <x v="148"/>
    <x v="148"/>
    <x v="0"/>
    <x v="0"/>
    <x v="0"/>
    <x v="11"/>
    <x v="0"/>
    <x v="6"/>
    <x v="1"/>
    <x v="2"/>
    <x v="13"/>
    <x v="22"/>
    <x v="6"/>
    <x v="21"/>
    <x v="41"/>
    <x v="16"/>
    <x v="1"/>
  </r>
  <r>
    <x v="149"/>
    <x v="149"/>
    <x v="0"/>
    <x v="0"/>
    <x v="0"/>
    <x v="12"/>
    <x v="0"/>
    <x v="6"/>
    <x v="1"/>
    <x v="2"/>
    <x v="13"/>
    <x v="38"/>
    <x v="2"/>
    <x v="14"/>
    <x v="54"/>
    <x v="29"/>
    <x v="2"/>
  </r>
  <r>
    <x v="150"/>
    <x v="150"/>
    <x v="0"/>
    <x v="0"/>
    <x v="0"/>
    <x v="13"/>
    <x v="0"/>
    <x v="6"/>
    <x v="1"/>
    <x v="2"/>
    <x v="18"/>
    <x v="38"/>
    <x v="3"/>
    <x v="14"/>
    <x v="27"/>
    <x v="88"/>
    <x v="3"/>
  </r>
  <r>
    <x v="151"/>
    <x v="151"/>
    <x v="0"/>
    <x v="0"/>
    <x v="0"/>
    <x v="14"/>
    <x v="0"/>
    <x v="6"/>
    <x v="1"/>
    <x v="2"/>
    <x v="13"/>
    <x v="22"/>
    <x v="2"/>
    <x v="18"/>
    <x v="30"/>
    <x v="89"/>
    <x v="4"/>
  </r>
  <r>
    <x v="152"/>
    <x v="152"/>
    <x v="0"/>
    <x v="0"/>
    <x v="0"/>
    <x v="15"/>
    <x v="0"/>
    <x v="6"/>
    <x v="1"/>
    <x v="2"/>
    <x v="12"/>
    <x v="38"/>
    <x v="8"/>
    <x v="14"/>
    <x v="36"/>
    <x v="44"/>
    <x v="5"/>
  </r>
  <r>
    <x v="153"/>
    <x v="153"/>
    <x v="0"/>
    <x v="0"/>
    <x v="0"/>
    <x v="16"/>
    <x v="0"/>
    <x v="6"/>
    <x v="1"/>
    <x v="2"/>
    <x v="12"/>
    <x v="38"/>
    <x v="8"/>
    <x v="2"/>
    <x v="70"/>
    <x v="90"/>
    <x v="6"/>
  </r>
  <r>
    <x v="154"/>
    <x v="154"/>
    <x v="0"/>
    <x v="0"/>
    <x v="0"/>
    <x v="17"/>
    <x v="0"/>
    <x v="6"/>
    <x v="1"/>
    <x v="2"/>
    <x v="2"/>
    <x v="38"/>
    <x v="0"/>
    <x v="14"/>
    <x v="86"/>
    <x v="91"/>
    <x v="0"/>
  </r>
  <r>
    <x v="155"/>
    <x v="155"/>
    <x v="0"/>
    <x v="0"/>
    <x v="0"/>
    <x v="18"/>
    <x v="0"/>
    <x v="6"/>
    <x v="0"/>
    <x v="2"/>
    <x v="11"/>
    <x v="22"/>
    <x v="1"/>
    <x v="18"/>
    <x v="75"/>
    <x v="92"/>
    <x v="1"/>
  </r>
  <r>
    <x v="156"/>
    <x v="156"/>
    <x v="0"/>
    <x v="0"/>
    <x v="0"/>
    <x v="19"/>
    <x v="0"/>
    <x v="6"/>
    <x v="0"/>
    <x v="13"/>
    <x v="13"/>
    <x v="28"/>
    <x v="1"/>
    <x v="0"/>
    <x v="50"/>
    <x v="76"/>
    <x v="2"/>
  </r>
  <r>
    <x v="157"/>
    <x v="157"/>
    <x v="0"/>
    <x v="0"/>
    <x v="0"/>
    <x v="20"/>
    <x v="0"/>
    <x v="6"/>
    <x v="0"/>
    <x v="15"/>
    <x v="12"/>
    <x v="19"/>
    <x v="14"/>
    <x v="5"/>
    <x v="54"/>
    <x v="41"/>
    <x v="3"/>
  </r>
  <r>
    <x v="158"/>
    <x v="158"/>
    <x v="0"/>
    <x v="0"/>
    <x v="0"/>
    <x v="21"/>
    <x v="0"/>
    <x v="6"/>
    <x v="0"/>
    <x v="15"/>
    <x v="13"/>
    <x v="19"/>
    <x v="7"/>
    <x v="3"/>
    <x v="87"/>
    <x v="21"/>
    <x v="4"/>
  </r>
  <r>
    <x v="159"/>
    <x v="159"/>
    <x v="0"/>
    <x v="0"/>
    <x v="0"/>
    <x v="22"/>
    <x v="0"/>
    <x v="6"/>
    <x v="1"/>
    <x v="15"/>
    <x v="13"/>
    <x v="21"/>
    <x v="8"/>
    <x v="4"/>
    <x v="60"/>
    <x v="9"/>
    <x v="5"/>
  </r>
  <r>
    <x v="160"/>
    <x v="160"/>
    <x v="0"/>
    <x v="0"/>
    <x v="0"/>
    <x v="23"/>
    <x v="0"/>
    <x v="6"/>
    <x v="1"/>
    <x v="15"/>
    <x v="13"/>
    <x v="33"/>
    <x v="8"/>
    <x v="5"/>
    <x v="88"/>
    <x v="93"/>
    <x v="6"/>
  </r>
  <r>
    <x v="161"/>
    <x v="161"/>
    <x v="0"/>
    <x v="0"/>
    <x v="0"/>
    <x v="0"/>
    <x v="0"/>
    <x v="0"/>
    <x v="1"/>
    <x v="15"/>
    <x v="13"/>
    <x v="33"/>
    <x v="8"/>
    <x v="5"/>
    <x v="9"/>
    <x v="94"/>
    <x v="0"/>
  </r>
  <r>
    <x v="162"/>
    <x v="162"/>
    <x v="0"/>
    <x v="0"/>
    <x v="0"/>
    <x v="1"/>
    <x v="0"/>
    <x v="0"/>
    <x v="1"/>
    <x v="15"/>
    <x v="12"/>
    <x v="28"/>
    <x v="1"/>
    <x v="5"/>
    <x v="89"/>
    <x v="0"/>
    <x v="1"/>
  </r>
  <r>
    <x v="163"/>
    <x v="163"/>
    <x v="0"/>
    <x v="0"/>
    <x v="0"/>
    <x v="2"/>
    <x v="0"/>
    <x v="0"/>
    <x v="1"/>
    <x v="15"/>
    <x v="19"/>
    <x v="28"/>
    <x v="0"/>
    <x v="0"/>
    <x v="0"/>
    <x v="0"/>
    <x v="2"/>
  </r>
  <r>
    <x v="164"/>
    <x v="164"/>
    <x v="0"/>
    <x v="0"/>
    <x v="0"/>
    <x v="3"/>
    <x v="0"/>
    <x v="0"/>
    <x v="2"/>
    <x v="15"/>
    <x v="13"/>
    <x v="28"/>
    <x v="8"/>
    <x v="3"/>
    <x v="7"/>
    <x v="85"/>
    <x v="3"/>
  </r>
  <r>
    <x v="165"/>
    <x v="165"/>
    <x v="0"/>
    <x v="0"/>
    <x v="0"/>
    <x v="4"/>
    <x v="0"/>
    <x v="0"/>
    <x v="2"/>
    <x v="15"/>
    <x v="13"/>
    <x v="28"/>
    <x v="8"/>
    <x v="3"/>
    <x v="4"/>
    <x v="4"/>
    <x v="4"/>
  </r>
  <r>
    <x v="166"/>
    <x v="166"/>
    <x v="0"/>
    <x v="0"/>
    <x v="0"/>
    <x v="5"/>
    <x v="0"/>
    <x v="0"/>
    <x v="1"/>
    <x v="13"/>
    <x v="17"/>
    <x v="32"/>
    <x v="8"/>
    <x v="3"/>
    <x v="34"/>
    <x v="36"/>
    <x v="5"/>
  </r>
  <r>
    <x v="167"/>
    <x v="167"/>
    <x v="0"/>
    <x v="0"/>
    <x v="0"/>
    <x v="6"/>
    <x v="0"/>
    <x v="0"/>
    <x v="1"/>
    <x v="13"/>
    <x v="17"/>
    <x v="32"/>
    <x v="8"/>
    <x v="3"/>
    <x v="6"/>
    <x v="5"/>
    <x v="6"/>
  </r>
  <r>
    <x v="168"/>
    <x v="168"/>
    <x v="0"/>
    <x v="0"/>
    <x v="0"/>
    <x v="7"/>
    <x v="0"/>
    <x v="0"/>
    <x v="1"/>
    <x v="13"/>
    <x v="18"/>
    <x v="32"/>
    <x v="14"/>
    <x v="5"/>
    <x v="21"/>
    <x v="23"/>
    <x v="0"/>
  </r>
  <r>
    <x v="169"/>
    <x v="169"/>
    <x v="0"/>
    <x v="0"/>
    <x v="0"/>
    <x v="8"/>
    <x v="0"/>
    <x v="0"/>
    <x v="2"/>
    <x v="13"/>
    <x v="18"/>
    <x v="43"/>
    <x v="14"/>
    <x v="3"/>
    <x v="89"/>
    <x v="93"/>
    <x v="1"/>
  </r>
  <r>
    <x v="170"/>
    <x v="170"/>
    <x v="0"/>
    <x v="0"/>
    <x v="0"/>
    <x v="9"/>
    <x v="0"/>
    <x v="0"/>
    <x v="2"/>
    <x v="13"/>
    <x v="18"/>
    <x v="43"/>
    <x v="14"/>
    <x v="3"/>
    <x v="32"/>
    <x v="25"/>
    <x v="2"/>
  </r>
  <r>
    <x v="171"/>
    <x v="171"/>
    <x v="0"/>
    <x v="0"/>
    <x v="0"/>
    <x v="10"/>
    <x v="0"/>
    <x v="0"/>
    <x v="1"/>
    <x v="15"/>
    <x v="13"/>
    <x v="1"/>
    <x v="8"/>
    <x v="2"/>
    <x v="90"/>
    <x v="42"/>
    <x v="3"/>
  </r>
  <r>
    <x v="172"/>
    <x v="172"/>
    <x v="0"/>
    <x v="0"/>
    <x v="0"/>
    <x v="11"/>
    <x v="0"/>
    <x v="0"/>
    <x v="1"/>
    <x v="2"/>
    <x v="18"/>
    <x v="27"/>
    <x v="13"/>
    <x v="4"/>
    <x v="91"/>
    <x v="69"/>
    <x v="4"/>
  </r>
  <r>
    <x v="173"/>
    <x v="173"/>
    <x v="0"/>
    <x v="0"/>
    <x v="0"/>
    <x v="12"/>
    <x v="0"/>
    <x v="0"/>
    <x v="1"/>
    <x v="2"/>
    <x v="18"/>
    <x v="29"/>
    <x v="11"/>
    <x v="1"/>
    <x v="92"/>
    <x v="95"/>
    <x v="5"/>
  </r>
  <r>
    <x v="174"/>
    <x v="174"/>
    <x v="0"/>
    <x v="0"/>
    <x v="0"/>
    <x v="13"/>
    <x v="0"/>
    <x v="0"/>
    <x v="0"/>
    <x v="2"/>
    <x v="18"/>
    <x v="18"/>
    <x v="9"/>
    <x v="18"/>
    <x v="73"/>
    <x v="96"/>
    <x v="6"/>
  </r>
  <r>
    <x v="175"/>
    <x v="175"/>
    <x v="0"/>
    <x v="0"/>
    <x v="0"/>
    <x v="14"/>
    <x v="0"/>
    <x v="0"/>
    <x v="0"/>
    <x v="2"/>
    <x v="17"/>
    <x v="25"/>
    <x v="15"/>
    <x v="6"/>
    <x v="93"/>
    <x v="76"/>
    <x v="0"/>
  </r>
  <r>
    <x v="176"/>
    <x v="176"/>
    <x v="0"/>
    <x v="0"/>
    <x v="0"/>
    <x v="15"/>
    <x v="0"/>
    <x v="0"/>
    <x v="0"/>
    <x v="2"/>
    <x v="17"/>
    <x v="25"/>
    <x v="10"/>
    <x v="2"/>
    <x v="94"/>
    <x v="30"/>
    <x v="1"/>
  </r>
  <r>
    <x v="177"/>
    <x v="177"/>
    <x v="0"/>
    <x v="0"/>
    <x v="0"/>
    <x v="16"/>
    <x v="0"/>
    <x v="0"/>
    <x v="0"/>
    <x v="15"/>
    <x v="14"/>
    <x v="44"/>
    <x v="10"/>
    <x v="1"/>
    <x v="56"/>
    <x v="31"/>
    <x v="2"/>
  </r>
  <r>
    <x v="178"/>
    <x v="178"/>
    <x v="0"/>
    <x v="0"/>
    <x v="0"/>
    <x v="17"/>
    <x v="0"/>
    <x v="0"/>
    <x v="0"/>
    <x v="13"/>
    <x v="16"/>
    <x v="38"/>
    <x v="16"/>
    <x v="2"/>
    <x v="27"/>
    <x v="83"/>
    <x v="3"/>
  </r>
  <r>
    <x v="179"/>
    <x v="179"/>
    <x v="0"/>
    <x v="0"/>
    <x v="0"/>
    <x v="18"/>
    <x v="0"/>
    <x v="0"/>
    <x v="0"/>
    <x v="14"/>
    <x v="16"/>
    <x v="17"/>
    <x v="4"/>
    <x v="0"/>
    <x v="15"/>
    <x v="97"/>
    <x v="4"/>
  </r>
  <r>
    <x v="180"/>
    <x v="180"/>
    <x v="0"/>
    <x v="0"/>
    <x v="0"/>
    <x v="19"/>
    <x v="0"/>
    <x v="0"/>
    <x v="0"/>
    <x v="14"/>
    <x v="16"/>
    <x v="42"/>
    <x v="2"/>
    <x v="17"/>
    <x v="16"/>
    <x v="33"/>
    <x v="5"/>
  </r>
  <r>
    <x v="181"/>
    <x v="181"/>
    <x v="0"/>
    <x v="0"/>
    <x v="0"/>
    <x v="20"/>
    <x v="0"/>
    <x v="0"/>
    <x v="0"/>
    <x v="16"/>
    <x v="16"/>
    <x v="42"/>
    <x v="2"/>
    <x v="3"/>
    <x v="95"/>
    <x v="20"/>
    <x v="6"/>
  </r>
  <r>
    <x v="182"/>
    <x v="182"/>
    <x v="0"/>
    <x v="0"/>
    <x v="0"/>
    <x v="21"/>
    <x v="0"/>
    <x v="0"/>
    <x v="0"/>
    <x v="16"/>
    <x v="15"/>
    <x v="17"/>
    <x v="11"/>
    <x v="4"/>
    <x v="96"/>
    <x v="18"/>
    <x v="0"/>
  </r>
  <r>
    <x v="183"/>
    <x v="183"/>
    <x v="0"/>
    <x v="0"/>
    <x v="0"/>
    <x v="22"/>
    <x v="0"/>
    <x v="0"/>
    <x v="0"/>
    <x v="16"/>
    <x v="15"/>
    <x v="42"/>
    <x v="13"/>
    <x v="5"/>
    <x v="39"/>
    <x v="19"/>
    <x v="1"/>
  </r>
  <r>
    <x v="184"/>
    <x v="184"/>
    <x v="0"/>
    <x v="0"/>
    <x v="0"/>
    <x v="23"/>
    <x v="0"/>
    <x v="0"/>
    <x v="0"/>
    <x v="18"/>
    <x v="22"/>
    <x v="17"/>
    <x v="10"/>
    <x v="3"/>
    <x v="97"/>
    <x v="34"/>
    <x v="2"/>
  </r>
  <r>
    <x v="185"/>
    <x v="185"/>
    <x v="0"/>
    <x v="0"/>
    <x v="0"/>
    <x v="0"/>
    <x v="0"/>
    <x v="1"/>
    <x v="0"/>
    <x v="18"/>
    <x v="23"/>
    <x v="16"/>
    <x v="13"/>
    <x v="5"/>
    <x v="9"/>
    <x v="94"/>
    <x v="3"/>
  </r>
  <r>
    <x v="186"/>
    <x v="186"/>
    <x v="0"/>
    <x v="0"/>
    <x v="0"/>
    <x v="1"/>
    <x v="0"/>
    <x v="1"/>
    <x v="0"/>
    <x v="18"/>
    <x v="22"/>
    <x v="16"/>
    <x v="17"/>
    <x v="3"/>
    <x v="98"/>
    <x v="47"/>
    <x v="4"/>
  </r>
  <r>
    <x v="187"/>
    <x v="187"/>
    <x v="0"/>
    <x v="0"/>
    <x v="0"/>
    <x v="2"/>
    <x v="0"/>
    <x v="1"/>
    <x v="0"/>
    <x v="18"/>
    <x v="22"/>
    <x v="15"/>
    <x v="17"/>
    <x v="3"/>
    <x v="48"/>
    <x v="62"/>
    <x v="5"/>
  </r>
  <r>
    <x v="188"/>
    <x v="188"/>
    <x v="0"/>
    <x v="0"/>
    <x v="0"/>
    <x v="3"/>
    <x v="0"/>
    <x v="1"/>
    <x v="0"/>
    <x v="18"/>
    <x v="23"/>
    <x v="15"/>
    <x v="12"/>
    <x v="3"/>
    <x v="22"/>
    <x v="48"/>
    <x v="6"/>
  </r>
  <r>
    <x v="189"/>
    <x v="189"/>
    <x v="0"/>
    <x v="0"/>
    <x v="0"/>
    <x v="4"/>
    <x v="0"/>
    <x v="1"/>
    <x v="0"/>
    <x v="19"/>
    <x v="24"/>
    <x v="45"/>
    <x v="5"/>
    <x v="3"/>
    <x v="4"/>
    <x v="4"/>
    <x v="0"/>
  </r>
  <r>
    <x v="190"/>
    <x v="190"/>
    <x v="0"/>
    <x v="0"/>
    <x v="0"/>
    <x v="5"/>
    <x v="0"/>
    <x v="1"/>
    <x v="0"/>
    <x v="19"/>
    <x v="24"/>
    <x v="45"/>
    <x v="5"/>
    <x v="3"/>
    <x v="4"/>
    <x v="4"/>
    <x v="1"/>
  </r>
  <r>
    <x v="191"/>
    <x v="191"/>
    <x v="0"/>
    <x v="0"/>
    <x v="0"/>
    <x v="6"/>
    <x v="0"/>
    <x v="1"/>
    <x v="0"/>
    <x v="18"/>
    <x v="24"/>
    <x v="36"/>
    <x v="3"/>
    <x v="3"/>
    <x v="4"/>
    <x v="4"/>
    <x v="2"/>
  </r>
  <r>
    <x v="192"/>
    <x v="192"/>
    <x v="0"/>
    <x v="0"/>
    <x v="0"/>
    <x v="7"/>
    <x v="0"/>
    <x v="1"/>
    <x v="0"/>
    <x v="19"/>
    <x v="24"/>
    <x v="45"/>
    <x v="5"/>
    <x v="5"/>
    <x v="34"/>
    <x v="24"/>
    <x v="3"/>
  </r>
  <r>
    <x v="193"/>
    <x v="193"/>
    <x v="0"/>
    <x v="0"/>
    <x v="0"/>
    <x v="8"/>
    <x v="0"/>
    <x v="1"/>
    <x v="0"/>
    <x v="18"/>
    <x v="24"/>
    <x v="36"/>
    <x v="3"/>
    <x v="3"/>
    <x v="3"/>
    <x v="98"/>
    <x v="4"/>
  </r>
  <r>
    <x v="194"/>
    <x v="194"/>
    <x v="0"/>
    <x v="0"/>
    <x v="0"/>
    <x v="9"/>
    <x v="0"/>
    <x v="1"/>
    <x v="0"/>
    <x v="16"/>
    <x v="23"/>
    <x v="15"/>
    <x v="18"/>
    <x v="3"/>
    <x v="23"/>
    <x v="75"/>
    <x v="5"/>
  </r>
  <r>
    <x v="195"/>
    <x v="195"/>
    <x v="0"/>
    <x v="0"/>
    <x v="0"/>
    <x v="10"/>
    <x v="0"/>
    <x v="1"/>
    <x v="0"/>
    <x v="14"/>
    <x v="15"/>
    <x v="21"/>
    <x v="13"/>
    <x v="3"/>
    <x v="47"/>
    <x v="99"/>
    <x v="6"/>
  </r>
  <r>
    <x v="196"/>
    <x v="196"/>
    <x v="0"/>
    <x v="0"/>
    <x v="0"/>
    <x v="11"/>
    <x v="0"/>
    <x v="1"/>
    <x v="0"/>
    <x v="13"/>
    <x v="16"/>
    <x v="22"/>
    <x v="18"/>
    <x v="4"/>
    <x v="12"/>
    <x v="99"/>
    <x v="0"/>
  </r>
  <r>
    <x v="197"/>
    <x v="197"/>
    <x v="0"/>
    <x v="0"/>
    <x v="0"/>
    <x v="12"/>
    <x v="0"/>
    <x v="1"/>
    <x v="0"/>
    <x v="15"/>
    <x v="14"/>
    <x v="38"/>
    <x v="10"/>
    <x v="17"/>
    <x v="55"/>
    <x v="56"/>
    <x v="1"/>
  </r>
  <r>
    <x v="198"/>
    <x v="198"/>
    <x v="0"/>
    <x v="0"/>
    <x v="0"/>
    <x v="13"/>
    <x v="0"/>
    <x v="1"/>
    <x v="0"/>
    <x v="2"/>
    <x v="17"/>
    <x v="46"/>
    <x v="10"/>
    <x v="15"/>
    <x v="94"/>
    <x v="28"/>
    <x v="2"/>
  </r>
  <r>
    <x v="199"/>
    <x v="199"/>
    <x v="0"/>
    <x v="0"/>
    <x v="0"/>
    <x v="14"/>
    <x v="0"/>
    <x v="1"/>
    <x v="0"/>
    <x v="1"/>
    <x v="18"/>
    <x v="25"/>
    <x v="17"/>
    <x v="1"/>
    <x v="27"/>
    <x v="44"/>
    <x v="3"/>
  </r>
  <r>
    <x v="200"/>
    <x v="200"/>
    <x v="0"/>
    <x v="0"/>
    <x v="0"/>
    <x v="15"/>
    <x v="0"/>
    <x v="1"/>
    <x v="0"/>
    <x v="1"/>
    <x v="13"/>
    <x v="23"/>
    <x v="11"/>
    <x v="2"/>
    <x v="99"/>
    <x v="100"/>
    <x v="4"/>
  </r>
  <r>
    <x v="201"/>
    <x v="201"/>
    <x v="0"/>
    <x v="0"/>
    <x v="0"/>
    <x v="16"/>
    <x v="0"/>
    <x v="1"/>
    <x v="0"/>
    <x v="2"/>
    <x v="17"/>
    <x v="46"/>
    <x v="10"/>
    <x v="23"/>
    <x v="55"/>
    <x v="101"/>
    <x v="5"/>
  </r>
  <r>
    <x v="202"/>
    <x v="202"/>
    <x v="0"/>
    <x v="0"/>
    <x v="0"/>
    <x v="17"/>
    <x v="0"/>
    <x v="1"/>
    <x v="0"/>
    <x v="15"/>
    <x v="20"/>
    <x v="38"/>
    <x v="13"/>
    <x v="0"/>
    <x v="79"/>
    <x v="69"/>
    <x v="6"/>
  </r>
  <r>
    <x v="203"/>
    <x v="203"/>
    <x v="0"/>
    <x v="0"/>
    <x v="0"/>
    <x v="18"/>
    <x v="0"/>
    <x v="1"/>
    <x v="0"/>
    <x v="13"/>
    <x v="14"/>
    <x v="22"/>
    <x v="9"/>
    <x v="17"/>
    <x v="100"/>
    <x v="61"/>
    <x v="0"/>
  </r>
  <r>
    <x v="204"/>
    <x v="204"/>
    <x v="0"/>
    <x v="0"/>
    <x v="0"/>
    <x v="19"/>
    <x v="0"/>
    <x v="1"/>
    <x v="0"/>
    <x v="13"/>
    <x v="14"/>
    <x v="21"/>
    <x v="9"/>
    <x v="5"/>
    <x v="71"/>
    <x v="102"/>
    <x v="1"/>
  </r>
  <r>
    <x v="205"/>
    <x v="205"/>
    <x v="0"/>
    <x v="0"/>
    <x v="0"/>
    <x v="20"/>
    <x v="0"/>
    <x v="1"/>
    <x v="0"/>
    <x v="14"/>
    <x v="16"/>
    <x v="15"/>
    <x v="2"/>
    <x v="3"/>
    <x v="101"/>
    <x v="103"/>
    <x v="2"/>
  </r>
  <r>
    <x v="206"/>
    <x v="206"/>
    <x v="0"/>
    <x v="0"/>
    <x v="0"/>
    <x v="21"/>
    <x v="0"/>
    <x v="1"/>
    <x v="0"/>
    <x v="14"/>
    <x v="15"/>
    <x v="15"/>
    <x v="12"/>
    <x v="5"/>
    <x v="23"/>
    <x v="25"/>
    <x v="3"/>
  </r>
  <r>
    <x v="207"/>
    <x v="207"/>
    <x v="0"/>
    <x v="0"/>
    <x v="0"/>
    <x v="22"/>
    <x v="0"/>
    <x v="1"/>
    <x v="0"/>
    <x v="14"/>
    <x v="16"/>
    <x v="15"/>
    <x v="4"/>
    <x v="2"/>
    <x v="3"/>
    <x v="93"/>
    <x v="4"/>
  </r>
  <r>
    <x v="208"/>
    <x v="208"/>
    <x v="0"/>
    <x v="0"/>
    <x v="0"/>
    <x v="23"/>
    <x v="0"/>
    <x v="1"/>
    <x v="0"/>
    <x v="16"/>
    <x v="14"/>
    <x v="20"/>
    <x v="5"/>
    <x v="3"/>
    <x v="8"/>
    <x v="24"/>
    <x v="5"/>
  </r>
  <r>
    <x v="209"/>
    <x v="209"/>
    <x v="0"/>
    <x v="0"/>
    <x v="0"/>
    <x v="0"/>
    <x v="0"/>
    <x v="2"/>
    <x v="0"/>
    <x v="16"/>
    <x v="16"/>
    <x v="20"/>
    <x v="3"/>
    <x v="4"/>
    <x v="35"/>
    <x v="36"/>
    <x v="6"/>
  </r>
  <r>
    <x v="210"/>
    <x v="210"/>
    <x v="0"/>
    <x v="0"/>
    <x v="0"/>
    <x v="1"/>
    <x v="0"/>
    <x v="2"/>
    <x v="0"/>
    <x v="16"/>
    <x v="16"/>
    <x v="20"/>
    <x v="3"/>
    <x v="5"/>
    <x v="5"/>
    <x v="4"/>
    <x v="0"/>
  </r>
  <r>
    <x v="211"/>
    <x v="211"/>
    <x v="0"/>
    <x v="0"/>
    <x v="0"/>
    <x v="2"/>
    <x v="0"/>
    <x v="2"/>
    <x v="0"/>
    <x v="16"/>
    <x v="16"/>
    <x v="20"/>
    <x v="6"/>
    <x v="3"/>
    <x v="35"/>
    <x v="6"/>
    <x v="1"/>
  </r>
  <r>
    <x v="212"/>
    <x v="212"/>
    <x v="0"/>
    <x v="0"/>
    <x v="0"/>
    <x v="3"/>
    <x v="0"/>
    <x v="2"/>
    <x v="0"/>
    <x v="16"/>
    <x v="16"/>
    <x v="20"/>
    <x v="6"/>
    <x v="3"/>
    <x v="4"/>
    <x v="4"/>
    <x v="2"/>
  </r>
  <r>
    <x v="213"/>
    <x v="213"/>
    <x v="0"/>
    <x v="0"/>
    <x v="0"/>
    <x v="4"/>
    <x v="0"/>
    <x v="2"/>
    <x v="0"/>
    <x v="18"/>
    <x v="16"/>
    <x v="47"/>
    <x v="7"/>
    <x v="5"/>
    <x v="6"/>
    <x v="6"/>
    <x v="3"/>
  </r>
  <r>
    <x v="214"/>
    <x v="214"/>
    <x v="0"/>
    <x v="0"/>
    <x v="0"/>
    <x v="5"/>
    <x v="0"/>
    <x v="2"/>
    <x v="0"/>
    <x v="18"/>
    <x v="15"/>
    <x v="47"/>
    <x v="2"/>
    <x v="3"/>
    <x v="35"/>
    <x v="6"/>
    <x v="4"/>
  </r>
  <r>
    <x v="215"/>
    <x v="215"/>
    <x v="0"/>
    <x v="0"/>
    <x v="0"/>
    <x v="6"/>
    <x v="0"/>
    <x v="2"/>
    <x v="0"/>
    <x v="16"/>
    <x v="16"/>
    <x v="20"/>
    <x v="3"/>
    <x v="3"/>
    <x v="17"/>
    <x v="35"/>
    <x v="5"/>
  </r>
  <r>
    <x v="216"/>
    <x v="216"/>
    <x v="0"/>
    <x v="0"/>
    <x v="0"/>
    <x v="7"/>
    <x v="0"/>
    <x v="2"/>
    <x v="0"/>
    <x v="16"/>
    <x v="16"/>
    <x v="20"/>
    <x v="6"/>
    <x v="4"/>
    <x v="102"/>
    <x v="43"/>
    <x v="6"/>
  </r>
  <r>
    <x v="217"/>
    <x v="217"/>
    <x v="0"/>
    <x v="0"/>
    <x v="0"/>
    <x v="8"/>
    <x v="0"/>
    <x v="2"/>
    <x v="1"/>
    <x v="16"/>
    <x v="16"/>
    <x v="20"/>
    <x v="3"/>
    <x v="17"/>
    <x v="103"/>
    <x v="104"/>
    <x v="0"/>
  </r>
  <r>
    <x v="218"/>
    <x v="218"/>
    <x v="0"/>
    <x v="0"/>
    <x v="0"/>
    <x v="9"/>
    <x v="0"/>
    <x v="2"/>
    <x v="1"/>
    <x v="14"/>
    <x v="16"/>
    <x v="20"/>
    <x v="2"/>
    <x v="4"/>
    <x v="50"/>
    <x v="12"/>
    <x v="1"/>
  </r>
  <r>
    <x v="219"/>
    <x v="219"/>
    <x v="0"/>
    <x v="0"/>
    <x v="0"/>
    <x v="10"/>
    <x v="0"/>
    <x v="2"/>
    <x v="1"/>
    <x v="14"/>
    <x v="16"/>
    <x v="20"/>
    <x v="4"/>
    <x v="3"/>
    <x v="17"/>
    <x v="35"/>
    <x v="2"/>
  </r>
  <r>
    <x v="220"/>
    <x v="220"/>
    <x v="0"/>
    <x v="0"/>
    <x v="0"/>
    <x v="11"/>
    <x v="0"/>
    <x v="2"/>
    <x v="1"/>
    <x v="13"/>
    <x v="14"/>
    <x v="19"/>
    <x v="3"/>
    <x v="4"/>
    <x v="95"/>
    <x v="33"/>
    <x v="3"/>
  </r>
  <r>
    <x v="221"/>
    <x v="221"/>
    <x v="0"/>
    <x v="0"/>
    <x v="0"/>
    <x v="12"/>
    <x v="0"/>
    <x v="2"/>
    <x v="1"/>
    <x v="2"/>
    <x v="18"/>
    <x v="22"/>
    <x v="3"/>
    <x v="2"/>
    <x v="12"/>
    <x v="46"/>
    <x v="4"/>
  </r>
  <r>
    <x v="222"/>
    <x v="222"/>
    <x v="0"/>
    <x v="0"/>
    <x v="0"/>
    <x v="13"/>
    <x v="0"/>
    <x v="2"/>
    <x v="1"/>
    <x v="2"/>
    <x v="18"/>
    <x v="22"/>
    <x v="3"/>
    <x v="17"/>
    <x v="54"/>
    <x v="60"/>
    <x v="5"/>
  </r>
  <r>
    <x v="223"/>
    <x v="223"/>
    <x v="0"/>
    <x v="0"/>
    <x v="0"/>
    <x v="14"/>
    <x v="0"/>
    <x v="2"/>
    <x v="1"/>
    <x v="2"/>
    <x v="13"/>
    <x v="22"/>
    <x v="6"/>
    <x v="3"/>
    <x v="12"/>
    <x v="105"/>
    <x v="6"/>
  </r>
  <r>
    <x v="224"/>
    <x v="224"/>
    <x v="0"/>
    <x v="0"/>
    <x v="0"/>
    <x v="15"/>
    <x v="0"/>
    <x v="2"/>
    <x v="1"/>
    <x v="2"/>
    <x v="13"/>
    <x v="22"/>
    <x v="6"/>
    <x v="4"/>
    <x v="30"/>
    <x v="79"/>
    <x v="0"/>
  </r>
  <r>
    <x v="225"/>
    <x v="225"/>
    <x v="0"/>
    <x v="0"/>
    <x v="0"/>
    <x v="16"/>
    <x v="0"/>
    <x v="2"/>
    <x v="0"/>
    <x v="2"/>
    <x v="12"/>
    <x v="22"/>
    <x v="7"/>
    <x v="17"/>
    <x v="14"/>
    <x v="30"/>
    <x v="1"/>
  </r>
  <r>
    <x v="226"/>
    <x v="226"/>
    <x v="0"/>
    <x v="0"/>
    <x v="0"/>
    <x v="17"/>
    <x v="0"/>
    <x v="2"/>
    <x v="0"/>
    <x v="2"/>
    <x v="11"/>
    <x v="22"/>
    <x v="14"/>
    <x v="17"/>
    <x v="104"/>
    <x v="106"/>
    <x v="2"/>
  </r>
  <r>
    <x v="227"/>
    <x v="227"/>
    <x v="0"/>
    <x v="0"/>
    <x v="0"/>
    <x v="18"/>
    <x v="0"/>
    <x v="2"/>
    <x v="0"/>
    <x v="2"/>
    <x v="13"/>
    <x v="22"/>
    <x v="6"/>
    <x v="5"/>
    <x v="105"/>
    <x v="107"/>
    <x v="3"/>
  </r>
  <r>
    <x v="228"/>
    <x v="228"/>
    <x v="0"/>
    <x v="0"/>
    <x v="0"/>
    <x v="19"/>
    <x v="0"/>
    <x v="2"/>
    <x v="0"/>
    <x v="13"/>
    <x v="17"/>
    <x v="19"/>
    <x v="8"/>
    <x v="0"/>
    <x v="50"/>
    <x v="76"/>
    <x v="4"/>
  </r>
  <r>
    <x v="229"/>
    <x v="229"/>
    <x v="0"/>
    <x v="0"/>
    <x v="0"/>
    <x v="20"/>
    <x v="0"/>
    <x v="2"/>
    <x v="0"/>
    <x v="13"/>
    <x v="17"/>
    <x v="20"/>
    <x v="8"/>
    <x v="5"/>
    <x v="26"/>
    <x v="30"/>
    <x v="5"/>
  </r>
  <r>
    <x v="230"/>
    <x v="230"/>
    <x v="0"/>
    <x v="0"/>
    <x v="0"/>
    <x v="21"/>
    <x v="0"/>
    <x v="2"/>
    <x v="0"/>
    <x v="14"/>
    <x v="14"/>
    <x v="29"/>
    <x v="5"/>
    <x v="5"/>
    <x v="53"/>
    <x v="103"/>
    <x v="6"/>
  </r>
  <r>
    <x v="231"/>
    <x v="231"/>
    <x v="0"/>
    <x v="0"/>
    <x v="0"/>
    <x v="22"/>
    <x v="0"/>
    <x v="2"/>
    <x v="0"/>
    <x v="14"/>
    <x v="20"/>
    <x v="29"/>
    <x v="8"/>
    <x v="4"/>
    <x v="97"/>
    <x v="108"/>
    <x v="0"/>
  </r>
  <r>
    <x v="232"/>
    <x v="232"/>
    <x v="0"/>
    <x v="0"/>
    <x v="0"/>
    <x v="23"/>
    <x v="0"/>
    <x v="2"/>
    <x v="0"/>
    <x v="14"/>
    <x v="20"/>
    <x v="29"/>
    <x v="8"/>
    <x v="3"/>
    <x v="72"/>
    <x v="109"/>
    <x v="1"/>
  </r>
  <r>
    <x v="233"/>
    <x v="233"/>
    <x v="0"/>
    <x v="0"/>
    <x v="0"/>
    <x v="0"/>
    <x v="0"/>
    <x v="3"/>
    <x v="0"/>
    <x v="14"/>
    <x v="17"/>
    <x v="29"/>
    <x v="14"/>
    <x v="4"/>
    <x v="3"/>
    <x v="47"/>
    <x v="2"/>
  </r>
  <r>
    <x v="234"/>
    <x v="234"/>
    <x v="0"/>
    <x v="0"/>
    <x v="0"/>
    <x v="1"/>
    <x v="0"/>
    <x v="3"/>
    <x v="0"/>
    <x v="14"/>
    <x v="20"/>
    <x v="29"/>
    <x v="8"/>
    <x v="3"/>
    <x v="35"/>
    <x v="6"/>
    <x v="3"/>
  </r>
  <r>
    <x v="235"/>
    <x v="235"/>
    <x v="0"/>
    <x v="0"/>
    <x v="0"/>
    <x v="2"/>
    <x v="0"/>
    <x v="3"/>
    <x v="1"/>
    <x v="13"/>
    <x v="20"/>
    <x v="28"/>
    <x v="5"/>
    <x v="3"/>
    <x v="35"/>
    <x v="6"/>
    <x v="4"/>
  </r>
  <r>
    <x v="236"/>
    <x v="236"/>
    <x v="0"/>
    <x v="0"/>
    <x v="0"/>
    <x v="5"/>
    <x v="0"/>
    <x v="3"/>
    <x v="1"/>
    <x v="13"/>
    <x v="18"/>
    <x v="28"/>
    <x v="7"/>
    <x v="3"/>
    <x v="8"/>
    <x v="24"/>
    <x v="5"/>
  </r>
  <r>
    <x v="237"/>
    <x v="237"/>
    <x v="0"/>
    <x v="0"/>
    <x v="0"/>
    <x v="6"/>
    <x v="0"/>
    <x v="3"/>
    <x v="1"/>
    <x v="13"/>
    <x v="18"/>
    <x v="28"/>
    <x v="7"/>
    <x v="3"/>
    <x v="2"/>
    <x v="110"/>
    <x v="6"/>
  </r>
  <r>
    <x v="238"/>
    <x v="238"/>
    <x v="0"/>
    <x v="0"/>
    <x v="0"/>
    <x v="7"/>
    <x v="0"/>
    <x v="3"/>
    <x v="1"/>
    <x v="13"/>
    <x v="11"/>
    <x v="28"/>
    <x v="0"/>
    <x v="4"/>
    <x v="106"/>
    <x v="111"/>
    <x v="0"/>
  </r>
  <r>
    <x v="239"/>
    <x v="239"/>
    <x v="0"/>
    <x v="0"/>
    <x v="0"/>
    <x v="8"/>
    <x v="0"/>
    <x v="3"/>
    <x v="1"/>
    <x v="15"/>
    <x v="12"/>
    <x v="33"/>
    <x v="1"/>
    <x v="0"/>
    <x v="107"/>
    <x v="112"/>
    <x v="1"/>
  </r>
  <r>
    <x v="240"/>
    <x v="240"/>
    <x v="0"/>
    <x v="0"/>
    <x v="0"/>
    <x v="9"/>
    <x v="0"/>
    <x v="3"/>
    <x v="1"/>
    <x v="15"/>
    <x v="13"/>
    <x v="33"/>
    <x v="8"/>
    <x v="0"/>
    <x v="69"/>
    <x v="113"/>
    <x v="2"/>
  </r>
  <r>
    <x v="241"/>
    <x v="241"/>
    <x v="0"/>
    <x v="0"/>
    <x v="0"/>
    <x v="10"/>
    <x v="0"/>
    <x v="3"/>
    <x v="1"/>
    <x v="2"/>
    <x v="12"/>
    <x v="33"/>
    <x v="8"/>
    <x v="0"/>
    <x v="82"/>
    <x v="60"/>
    <x v="3"/>
  </r>
  <r>
    <x v="242"/>
    <x v="242"/>
    <x v="0"/>
    <x v="0"/>
    <x v="0"/>
    <x v="11"/>
    <x v="0"/>
    <x v="3"/>
    <x v="1"/>
    <x v="2"/>
    <x v="12"/>
    <x v="19"/>
    <x v="7"/>
    <x v="17"/>
    <x v="17"/>
    <x v="17"/>
    <x v="4"/>
  </r>
  <r>
    <x v="243"/>
    <x v="243"/>
    <x v="0"/>
    <x v="0"/>
    <x v="0"/>
    <x v="12"/>
    <x v="0"/>
    <x v="3"/>
    <x v="1"/>
    <x v="2"/>
    <x v="11"/>
    <x v="33"/>
    <x v="14"/>
    <x v="4"/>
    <x v="11"/>
    <x v="52"/>
    <x v="5"/>
  </r>
  <r>
    <x v="244"/>
    <x v="244"/>
    <x v="0"/>
    <x v="0"/>
    <x v="0"/>
    <x v="13"/>
    <x v="0"/>
    <x v="3"/>
    <x v="1"/>
    <x v="2"/>
    <x v="11"/>
    <x v="29"/>
    <x v="1"/>
    <x v="15"/>
    <x v="24"/>
    <x v="46"/>
    <x v="6"/>
  </r>
  <r>
    <x v="245"/>
    <x v="245"/>
    <x v="0"/>
    <x v="0"/>
    <x v="0"/>
    <x v="14"/>
    <x v="0"/>
    <x v="3"/>
    <x v="1"/>
    <x v="2"/>
    <x v="11"/>
    <x v="29"/>
    <x v="1"/>
    <x v="0"/>
    <x v="91"/>
    <x v="55"/>
    <x v="0"/>
  </r>
  <r>
    <x v="246"/>
    <x v="246"/>
    <x v="0"/>
    <x v="0"/>
    <x v="0"/>
    <x v="15"/>
    <x v="0"/>
    <x v="3"/>
    <x v="1"/>
    <x v="13"/>
    <x v="13"/>
    <x v="1"/>
    <x v="1"/>
    <x v="4"/>
    <x v="108"/>
    <x v="105"/>
    <x v="1"/>
  </r>
  <r>
    <x v="247"/>
    <x v="247"/>
    <x v="0"/>
    <x v="0"/>
    <x v="0"/>
    <x v="16"/>
    <x v="0"/>
    <x v="3"/>
    <x v="1"/>
    <x v="13"/>
    <x v="20"/>
    <x v="3"/>
    <x v="6"/>
    <x v="17"/>
    <x v="109"/>
    <x v="31"/>
    <x v="2"/>
  </r>
  <r>
    <x v="248"/>
    <x v="248"/>
    <x v="0"/>
    <x v="0"/>
    <x v="0"/>
    <x v="17"/>
    <x v="0"/>
    <x v="3"/>
    <x v="1"/>
    <x v="13"/>
    <x v="20"/>
    <x v="3"/>
    <x v="6"/>
    <x v="15"/>
    <x v="110"/>
    <x v="114"/>
    <x v="3"/>
  </r>
  <r>
    <x v="249"/>
    <x v="249"/>
    <x v="0"/>
    <x v="0"/>
    <x v="0"/>
    <x v="18"/>
    <x v="0"/>
    <x v="3"/>
    <x v="2"/>
    <x v="13"/>
    <x v="18"/>
    <x v="43"/>
    <x v="14"/>
    <x v="5"/>
    <x v="111"/>
    <x v="76"/>
    <x v="4"/>
  </r>
  <r>
    <x v="250"/>
    <x v="250"/>
    <x v="0"/>
    <x v="0"/>
    <x v="0"/>
    <x v="19"/>
    <x v="0"/>
    <x v="3"/>
    <x v="2"/>
    <x v="13"/>
    <x v="11"/>
    <x v="43"/>
    <x v="0"/>
    <x v="3"/>
    <x v="82"/>
    <x v="41"/>
    <x v="5"/>
  </r>
  <r>
    <x v="251"/>
    <x v="251"/>
    <x v="0"/>
    <x v="0"/>
    <x v="0"/>
    <x v="20"/>
    <x v="0"/>
    <x v="3"/>
    <x v="2"/>
    <x v="13"/>
    <x v="20"/>
    <x v="43"/>
    <x v="5"/>
    <x v="3"/>
    <x v="1"/>
    <x v="2"/>
    <x v="6"/>
  </r>
  <r>
    <x v="252"/>
    <x v="252"/>
    <x v="0"/>
    <x v="0"/>
    <x v="0"/>
    <x v="21"/>
    <x v="0"/>
    <x v="3"/>
    <x v="2"/>
    <x v="13"/>
    <x v="13"/>
    <x v="3"/>
    <x v="1"/>
    <x v="3"/>
    <x v="32"/>
    <x v="25"/>
    <x v="0"/>
  </r>
  <r>
    <x v="253"/>
    <x v="253"/>
    <x v="0"/>
    <x v="0"/>
    <x v="0"/>
    <x v="22"/>
    <x v="0"/>
    <x v="3"/>
    <x v="2"/>
    <x v="13"/>
    <x v="18"/>
    <x v="43"/>
    <x v="14"/>
    <x v="5"/>
    <x v="95"/>
    <x v="115"/>
    <x v="1"/>
  </r>
  <r>
    <x v="254"/>
    <x v="254"/>
    <x v="0"/>
    <x v="0"/>
    <x v="0"/>
    <x v="23"/>
    <x v="0"/>
    <x v="3"/>
    <x v="2"/>
    <x v="13"/>
    <x v="13"/>
    <x v="43"/>
    <x v="1"/>
    <x v="5"/>
    <x v="72"/>
    <x v="75"/>
    <x v="2"/>
  </r>
  <r>
    <x v="255"/>
    <x v="255"/>
    <x v="0"/>
    <x v="0"/>
    <x v="0"/>
    <x v="0"/>
    <x v="0"/>
    <x v="4"/>
    <x v="1"/>
    <x v="13"/>
    <x v="13"/>
    <x v="3"/>
    <x v="1"/>
    <x v="3"/>
    <x v="7"/>
    <x v="85"/>
    <x v="3"/>
  </r>
  <r>
    <x v="256"/>
    <x v="256"/>
    <x v="0"/>
    <x v="0"/>
    <x v="0"/>
    <x v="1"/>
    <x v="0"/>
    <x v="4"/>
    <x v="1"/>
    <x v="13"/>
    <x v="18"/>
    <x v="3"/>
    <x v="14"/>
    <x v="3"/>
    <x v="8"/>
    <x v="24"/>
    <x v="4"/>
  </r>
  <r>
    <x v="257"/>
    <x v="257"/>
    <x v="0"/>
    <x v="0"/>
    <x v="0"/>
    <x v="2"/>
    <x v="0"/>
    <x v="4"/>
    <x v="0"/>
    <x v="14"/>
    <x v="20"/>
    <x v="3"/>
    <x v="7"/>
    <x v="3"/>
    <x v="4"/>
    <x v="4"/>
    <x v="5"/>
  </r>
  <r>
    <x v="258"/>
    <x v="258"/>
    <x v="0"/>
    <x v="0"/>
    <x v="0"/>
    <x v="5"/>
    <x v="0"/>
    <x v="4"/>
    <x v="0"/>
    <x v="14"/>
    <x v="20"/>
    <x v="3"/>
    <x v="8"/>
    <x v="3"/>
    <x v="34"/>
    <x v="36"/>
    <x v="6"/>
  </r>
  <r>
    <x v="259"/>
    <x v="259"/>
    <x v="0"/>
    <x v="0"/>
    <x v="0"/>
    <x v="6"/>
    <x v="0"/>
    <x v="4"/>
    <x v="0"/>
    <x v="16"/>
    <x v="20"/>
    <x v="43"/>
    <x v="7"/>
    <x v="3"/>
    <x v="20"/>
    <x v="0"/>
    <x v="0"/>
  </r>
  <r>
    <x v="260"/>
    <x v="260"/>
    <x v="0"/>
    <x v="0"/>
    <x v="0"/>
    <x v="7"/>
    <x v="0"/>
    <x v="4"/>
    <x v="0"/>
    <x v="14"/>
    <x v="20"/>
    <x v="27"/>
    <x v="7"/>
    <x v="3"/>
    <x v="25"/>
    <x v="60"/>
    <x v="1"/>
  </r>
  <r>
    <x v="261"/>
    <x v="261"/>
    <x v="0"/>
    <x v="0"/>
    <x v="0"/>
    <x v="8"/>
    <x v="0"/>
    <x v="4"/>
    <x v="0"/>
    <x v="13"/>
    <x v="17"/>
    <x v="29"/>
    <x v="8"/>
    <x v="0"/>
    <x v="85"/>
    <x v="116"/>
    <x v="2"/>
  </r>
  <r>
    <x v="262"/>
    <x v="262"/>
    <x v="0"/>
    <x v="0"/>
    <x v="0"/>
    <x v="9"/>
    <x v="0"/>
    <x v="4"/>
    <x v="0"/>
    <x v="13"/>
    <x v="14"/>
    <x v="29"/>
    <x v="9"/>
    <x v="0"/>
    <x v="78"/>
    <x v="117"/>
    <x v="3"/>
  </r>
  <r>
    <x v="263"/>
    <x v="263"/>
    <x v="0"/>
    <x v="0"/>
    <x v="0"/>
    <x v="10"/>
    <x v="0"/>
    <x v="4"/>
    <x v="0"/>
    <x v="15"/>
    <x v="18"/>
    <x v="28"/>
    <x v="6"/>
    <x v="3"/>
    <x v="87"/>
    <x v="21"/>
    <x v="4"/>
  </r>
  <r>
    <x v="264"/>
    <x v="264"/>
    <x v="0"/>
    <x v="0"/>
    <x v="0"/>
    <x v="11"/>
    <x v="0"/>
    <x v="4"/>
    <x v="0"/>
    <x v="2"/>
    <x v="18"/>
    <x v="33"/>
    <x v="13"/>
    <x v="0"/>
    <x v="1"/>
    <x v="17"/>
    <x v="5"/>
  </r>
  <r>
    <x v="265"/>
    <x v="265"/>
    <x v="0"/>
    <x v="0"/>
    <x v="0"/>
    <x v="12"/>
    <x v="0"/>
    <x v="4"/>
    <x v="0"/>
    <x v="2"/>
    <x v="20"/>
    <x v="19"/>
    <x v="19"/>
    <x v="0"/>
    <x v="15"/>
    <x v="97"/>
    <x v="6"/>
  </r>
  <r>
    <x v="266"/>
    <x v="266"/>
    <x v="0"/>
    <x v="0"/>
    <x v="0"/>
    <x v="13"/>
    <x v="0"/>
    <x v="4"/>
    <x v="0"/>
    <x v="1"/>
    <x v="13"/>
    <x v="18"/>
    <x v="11"/>
    <x v="3"/>
    <x v="47"/>
    <x v="99"/>
    <x v="0"/>
  </r>
  <r>
    <x v="267"/>
    <x v="267"/>
    <x v="0"/>
    <x v="0"/>
    <x v="0"/>
    <x v="14"/>
    <x v="0"/>
    <x v="4"/>
    <x v="0"/>
    <x v="2"/>
    <x v="18"/>
    <x v="19"/>
    <x v="9"/>
    <x v="3"/>
    <x v="100"/>
    <x v="40"/>
    <x v="1"/>
  </r>
  <r>
    <x v="268"/>
    <x v="268"/>
    <x v="0"/>
    <x v="0"/>
    <x v="0"/>
    <x v="15"/>
    <x v="0"/>
    <x v="4"/>
    <x v="0"/>
    <x v="2"/>
    <x v="17"/>
    <x v="19"/>
    <x v="12"/>
    <x v="5"/>
    <x v="41"/>
    <x v="99"/>
    <x v="2"/>
  </r>
  <r>
    <x v="269"/>
    <x v="269"/>
    <x v="0"/>
    <x v="0"/>
    <x v="0"/>
    <x v="16"/>
    <x v="0"/>
    <x v="4"/>
    <x v="0"/>
    <x v="1"/>
    <x v="13"/>
    <x v="18"/>
    <x v="9"/>
    <x v="2"/>
    <x v="36"/>
    <x v="118"/>
    <x v="3"/>
  </r>
  <r>
    <x v="270"/>
    <x v="270"/>
    <x v="0"/>
    <x v="0"/>
    <x v="0"/>
    <x v="17"/>
    <x v="0"/>
    <x v="4"/>
    <x v="0"/>
    <x v="2"/>
    <x v="18"/>
    <x v="19"/>
    <x v="11"/>
    <x v="3"/>
    <x v="112"/>
    <x v="119"/>
    <x v="4"/>
  </r>
  <r>
    <x v="271"/>
    <x v="271"/>
    <x v="0"/>
    <x v="0"/>
    <x v="0"/>
    <x v="18"/>
    <x v="0"/>
    <x v="4"/>
    <x v="0"/>
    <x v="2"/>
    <x v="20"/>
    <x v="19"/>
    <x v="18"/>
    <x v="4"/>
    <x v="113"/>
    <x v="120"/>
    <x v="5"/>
  </r>
  <r>
    <x v="272"/>
    <x v="272"/>
    <x v="0"/>
    <x v="0"/>
    <x v="0"/>
    <x v="19"/>
    <x v="0"/>
    <x v="4"/>
    <x v="0"/>
    <x v="15"/>
    <x v="20"/>
    <x v="19"/>
    <x v="12"/>
    <x v="5"/>
    <x v="70"/>
    <x v="56"/>
    <x v="6"/>
  </r>
  <r>
    <x v="273"/>
    <x v="273"/>
    <x v="0"/>
    <x v="0"/>
    <x v="0"/>
    <x v="20"/>
    <x v="0"/>
    <x v="4"/>
    <x v="0"/>
    <x v="13"/>
    <x v="14"/>
    <x v="20"/>
    <x v="9"/>
    <x v="4"/>
    <x v="25"/>
    <x v="10"/>
    <x v="0"/>
  </r>
  <r>
    <x v="274"/>
    <x v="274"/>
    <x v="0"/>
    <x v="0"/>
    <x v="0"/>
    <x v="21"/>
    <x v="0"/>
    <x v="4"/>
    <x v="0"/>
    <x v="13"/>
    <x v="14"/>
    <x v="28"/>
    <x v="9"/>
    <x v="3"/>
    <x v="77"/>
    <x v="52"/>
    <x v="1"/>
  </r>
  <r>
    <x v="275"/>
    <x v="275"/>
    <x v="0"/>
    <x v="0"/>
    <x v="0"/>
    <x v="22"/>
    <x v="0"/>
    <x v="4"/>
    <x v="0"/>
    <x v="13"/>
    <x v="16"/>
    <x v="28"/>
    <x v="10"/>
    <x v="5"/>
    <x v="1"/>
    <x v="63"/>
    <x v="2"/>
  </r>
  <r>
    <x v="276"/>
    <x v="276"/>
    <x v="0"/>
    <x v="0"/>
    <x v="0"/>
    <x v="23"/>
    <x v="0"/>
    <x v="4"/>
    <x v="0"/>
    <x v="14"/>
    <x v="15"/>
    <x v="29"/>
    <x v="12"/>
    <x v="5"/>
    <x v="23"/>
    <x v="25"/>
    <x v="3"/>
  </r>
  <r>
    <x v="277"/>
    <x v="277"/>
    <x v="0"/>
    <x v="0"/>
    <x v="0"/>
    <x v="0"/>
    <x v="0"/>
    <x v="5"/>
    <x v="0"/>
    <x v="14"/>
    <x v="16"/>
    <x v="29"/>
    <x v="3"/>
    <x v="5"/>
    <x v="8"/>
    <x v="85"/>
    <x v="4"/>
  </r>
  <r>
    <x v="278"/>
    <x v="278"/>
    <x v="0"/>
    <x v="0"/>
    <x v="0"/>
    <x v="1"/>
    <x v="0"/>
    <x v="5"/>
    <x v="0"/>
    <x v="14"/>
    <x v="16"/>
    <x v="20"/>
    <x v="3"/>
    <x v="3"/>
    <x v="6"/>
    <x v="5"/>
    <x v="5"/>
  </r>
  <r>
    <x v="279"/>
    <x v="279"/>
    <x v="0"/>
    <x v="0"/>
    <x v="0"/>
    <x v="2"/>
    <x v="0"/>
    <x v="5"/>
    <x v="0"/>
    <x v="14"/>
    <x v="16"/>
    <x v="20"/>
    <x v="11"/>
    <x v="3"/>
    <x v="6"/>
    <x v="5"/>
    <x v="6"/>
  </r>
  <r>
    <x v="280"/>
    <x v="280"/>
    <x v="0"/>
    <x v="0"/>
    <x v="0"/>
    <x v="3"/>
    <x v="0"/>
    <x v="5"/>
    <x v="0"/>
    <x v="14"/>
    <x v="16"/>
    <x v="20"/>
    <x v="9"/>
    <x v="3"/>
    <x v="35"/>
    <x v="6"/>
    <x v="0"/>
  </r>
  <r>
    <x v="281"/>
    <x v="281"/>
    <x v="0"/>
    <x v="0"/>
    <x v="0"/>
    <x v="4"/>
    <x v="0"/>
    <x v="5"/>
    <x v="0"/>
    <x v="14"/>
    <x v="16"/>
    <x v="20"/>
    <x v="2"/>
    <x v="3"/>
    <x v="22"/>
    <x v="48"/>
    <x v="1"/>
  </r>
  <r>
    <x v="282"/>
    <x v="282"/>
    <x v="0"/>
    <x v="0"/>
    <x v="0"/>
    <x v="5"/>
    <x v="0"/>
    <x v="5"/>
    <x v="0"/>
    <x v="14"/>
    <x v="16"/>
    <x v="20"/>
    <x v="4"/>
    <x v="3"/>
    <x v="35"/>
    <x v="6"/>
    <x v="2"/>
  </r>
  <r>
    <x v="283"/>
    <x v="283"/>
    <x v="0"/>
    <x v="0"/>
    <x v="0"/>
    <x v="6"/>
    <x v="0"/>
    <x v="5"/>
    <x v="0"/>
    <x v="16"/>
    <x v="20"/>
    <x v="47"/>
    <x v="7"/>
    <x v="3"/>
    <x v="95"/>
    <x v="20"/>
    <x v="3"/>
  </r>
  <r>
    <x v="284"/>
    <x v="284"/>
    <x v="0"/>
    <x v="0"/>
    <x v="0"/>
    <x v="7"/>
    <x v="0"/>
    <x v="5"/>
    <x v="0"/>
    <x v="16"/>
    <x v="20"/>
    <x v="47"/>
    <x v="7"/>
    <x v="3"/>
    <x v="109"/>
    <x v="44"/>
    <x v="4"/>
  </r>
  <r>
    <x v="285"/>
    <x v="285"/>
    <x v="0"/>
    <x v="0"/>
    <x v="0"/>
    <x v="8"/>
    <x v="0"/>
    <x v="5"/>
    <x v="0"/>
    <x v="14"/>
    <x v="14"/>
    <x v="20"/>
    <x v="5"/>
    <x v="2"/>
    <x v="114"/>
    <x v="121"/>
    <x v="5"/>
  </r>
  <r>
    <x v="286"/>
    <x v="286"/>
    <x v="0"/>
    <x v="0"/>
    <x v="0"/>
    <x v="9"/>
    <x v="0"/>
    <x v="5"/>
    <x v="0"/>
    <x v="14"/>
    <x v="16"/>
    <x v="20"/>
    <x v="9"/>
    <x v="4"/>
    <x v="115"/>
    <x v="119"/>
    <x v="6"/>
  </r>
  <r>
    <x v="287"/>
    <x v="287"/>
    <x v="0"/>
    <x v="0"/>
    <x v="0"/>
    <x v="10"/>
    <x v="0"/>
    <x v="5"/>
    <x v="1"/>
    <x v="13"/>
    <x v="14"/>
    <x v="20"/>
    <x v="11"/>
    <x v="4"/>
    <x v="49"/>
    <x v="103"/>
    <x v="0"/>
  </r>
  <r>
    <x v="288"/>
    <x v="288"/>
    <x v="0"/>
    <x v="0"/>
    <x v="0"/>
    <x v="11"/>
    <x v="0"/>
    <x v="5"/>
    <x v="1"/>
    <x v="2"/>
    <x v="17"/>
    <x v="18"/>
    <x v="10"/>
    <x v="17"/>
    <x v="39"/>
    <x v="18"/>
    <x v="1"/>
  </r>
  <r>
    <x v="289"/>
    <x v="289"/>
    <x v="0"/>
    <x v="0"/>
    <x v="0"/>
    <x v="12"/>
    <x v="0"/>
    <x v="5"/>
    <x v="0"/>
    <x v="2"/>
    <x v="17"/>
    <x v="18"/>
    <x v="12"/>
    <x v="0"/>
    <x v="47"/>
    <x v="46"/>
    <x v="2"/>
  </r>
  <r>
    <x v="290"/>
    <x v="290"/>
    <x v="0"/>
    <x v="0"/>
    <x v="0"/>
    <x v="13"/>
    <x v="0"/>
    <x v="5"/>
    <x v="0"/>
    <x v="1"/>
    <x v="13"/>
    <x v="48"/>
    <x v="10"/>
    <x v="4"/>
    <x v="38"/>
    <x v="56"/>
    <x v="3"/>
  </r>
  <r>
    <x v="291"/>
    <x v="291"/>
    <x v="0"/>
    <x v="0"/>
    <x v="0"/>
    <x v="14"/>
    <x v="0"/>
    <x v="5"/>
    <x v="0"/>
    <x v="1"/>
    <x v="13"/>
    <x v="48"/>
    <x v="13"/>
    <x v="0"/>
    <x v="87"/>
    <x v="51"/>
    <x v="4"/>
  </r>
  <r>
    <x v="292"/>
    <x v="292"/>
    <x v="0"/>
    <x v="0"/>
    <x v="0"/>
    <x v="15"/>
    <x v="0"/>
    <x v="5"/>
    <x v="0"/>
    <x v="0"/>
    <x v="12"/>
    <x v="41"/>
    <x v="4"/>
    <x v="2"/>
    <x v="11"/>
    <x v="122"/>
    <x v="5"/>
  </r>
  <r>
    <x v="293"/>
    <x v="293"/>
    <x v="0"/>
    <x v="0"/>
    <x v="0"/>
    <x v="16"/>
    <x v="0"/>
    <x v="5"/>
    <x v="0"/>
    <x v="0"/>
    <x v="12"/>
    <x v="41"/>
    <x v="11"/>
    <x v="4"/>
    <x v="83"/>
    <x v="53"/>
    <x v="6"/>
  </r>
  <r>
    <x v="294"/>
    <x v="294"/>
    <x v="0"/>
    <x v="0"/>
    <x v="0"/>
    <x v="17"/>
    <x v="0"/>
    <x v="5"/>
    <x v="0"/>
    <x v="2"/>
    <x v="18"/>
    <x v="22"/>
    <x v="3"/>
    <x v="17"/>
    <x v="81"/>
    <x v="123"/>
    <x v="0"/>
  </r>
  <r>
    <x v="295"/>
    <x v="295"/>
    <x v="0"/>
    <x v="0"/>
    <x v="0"/>
    <x v="18"/>
    <x v="0"/>
    <x v="5"/>
    <x v="0"/>
    <x v="2"/>
    <x v="18"/>
    <x v="22"/>
    <x v="9"/>
    <x v="0"/>
    <x v="116"/>
    <x v="124"/>
    <x v="1"/>
  </r>
  <r>
    <x v="296"/>
    <x v="296"/>
    <x v="0"/>
    <x v="0"/>
    <x v="0"/>
    <x v="19"/>
    <x v="0"/>
    <x v="5"/>
    <x v="0"/>
    <x v="13"/>
    <x v="20"/>
    <x v="19"/>
    <x v="2"/>
    <x v="5"/>
    <x v="52"/>
    <x v="111"/>
    <x v="2"/>
  </r>
  <r>
    <x v="297"/>
    <x v="297"/>
    <x v="0"/>
    <x v="0"/>
    <x v="0"/>
    <x v="20"/>
    <x v="0"/>
    <x v="5"/>
    <x v="0"/>
    <x v="13"/>
    <x v="20"/>
    <x v="19"/>
    <x v="6"/>
    <x v="3"/>
    <x v="27"/>
    <x v="37"/>
    <x v="3"/>
  </r>
  <r>
    <x v="298"/>
    <x v="298"/>
    <x v="0"/>
    <x v="0"/>
    <x v="0"/>
    <x v="21"/>
    <x v="0"/>
    <x v="5"/>
    <x v="0"/>
    <x v="14"/>
    <x v="16"/>
    <x v="15"/>
    <x v="4"/>
    <x v="3"/>
    <x v="71"/>
    <x v="1"/>
    <x v="4"/>
  </r>
  <r>
    <x v="299"/>
    <x v="299"/>
    <x v="0"/>
    <x v="0"/>
    <x v="0"/>
    <x v="22"/>
    <x v="0"/>
    <x v="5"/>
    <x v="0"/>
    <x v="14"/>
    <x v="16"/>
    <x v="15"/>
    <x v="9"/>
    <x v="3"/>
    <x v="10"/>
    <x v="33"/>
    <x v="5"/>
  </r>
  <r>
    <x v="300"/>
    <x v="300"/>
    <x v="0"/>
    <x v="0"/>
    <x v="0"/>
    <x v="23"/>
    <x v="0"/>
    <x v="5"/>
    <x v="0"/>
    <x v="16"/>
    <x v="14"/>
    <x v="20"/>
    <x v="5"/>
    <x v="5"/>
    <x v="88"/>
    <x v="93"/>
    <x v="6"/>
  </r>
  <r>
    <x v="301"/>
    <x v="301"/>
    <x v="0"/>
    <x v="0"/>
    <x v="0"/>
    <x v="0"/>
    <x v="0"/>
    <x v="6"/>
    <x v="0"/>
    <x v="16"/>
    <x v="14"/>
    <x v="20"/>
    <x v="5"/>
    <x v="3"/>
    <x v="88"/>
    <x v="8"/>
    <x v="0"/>
  </r>
  <r>
    <x v="302"/>
    <x v="302"/>
    <x v="0"/>
    <x v="0"/>
    <x v="0"/>
    <x v="1"/>
    <x v="0"/>
    <x v="6"/>
    <x v="0"/>
    <x v="18"/>
    <x v="16"/>
    <x v="47"/>
    <x v="8"/>
    <x v="3"/>
    <x v="34"/>
    <x v="36"/>
    <x v="1"/>
  </r>
  <r>
    <x v="303"/>
    <x v="303"/>
    <x v="0"/>
    <x v="0"/>
    <x v="0"/>
    <x v="2"/>
    <x v="0"/>
    <x v="6"/>
    <x v="0"/>
    <x v="18"/>
    <x v="16"/>
    <x v="47"/>
    <x v="7"/>
    <x v="3"/>
    <x v="4"/>
    <x v="4"/>
    <x v="2"/>
  </r>
  <r>
    <x v="304"/>
    <x v="304"/>
    <x v="0"/>
    <x v="0"/>
    <x v="0"/>
    <x v="3"/>
    <x v="0"/>
    <x v="6"/>
    <x v="0"/>
    <x v="18"/>
    <x v="14"/>
    <x v="47"/>
    <x v="14"/>
    <x v="3"/>
    <x v="4"/>
    <x v="4"/>
    <x v="3"/>
  </r>
  <r>
    <x v="305"/>
    <x v="305"/>
    <x v="0"/>
    <x v="0"/>
    <x v="0"/>
    <x v="5"/>
    <x v="0"/>
    <x v="6"/>
    <x v="0"/>
    <x v="18"/>
    <x v="14"/>
    <x v="47"/>
    <x v="1"/>
    <x v="3"/>
    <x v="21"/>
    <x v="7"/>
    <x v="4"/>
  </r>
  <r>
    <x v="306"/>
    <x v="306"/>
    <x v="0"/>
    <x v="0"/>
    <x v="0"/>
    <x v="6"/>
    <x v="0"/>
    <x v="6"/>
    <x v="0"/>
    <x v="18"/>
    <x v="18"/>
    <x v="47"/>
    <x v="0"/>
    <x v="3"/>
    <x v="19"/>
    <x v="22"/>
    <x v="5"/>
  </r>
  <r>
    <x v="307"/>
    <x v="307"/>
    <x v="0"/>
    <x v="0"/>
    <x v="0"/>
    <x v="7"/>
    <x v="0"/>
    <x v="6"/>
    <x v="0"/>
    <x v="18"/>
    <x v="16"/>
    <x v="32"/>
    <x v="8"/>
    <x v="3"/>
    <x v="14"/>
    <x v="27"/>
    <x v="6"/>
  </r>
  <r>
    <x v="308"/>
    <x v="308"/>
    <x v="0"/>
    <x v="0"/>
    <x v="0"/>
    <x v="8"/>
    <x v="0"/>
    <x v="6"/>
    <x v="0"/>
    <x v="16"/>
    <x v="17"/>
    <x v="31"/>
    <x v="0"/>
    <x v="4"/>
    <x v="117"/>
    <x v="125"/>
    <x v="0"/>
  </r>
  <r>
    <x v="309"/>
    <x v="309"/>
    <x v="0"/>
    <x v="0"/>
    <x v="0"/>
    <x v="9"/>
    <x v="0"/>
    <x v="6"/>
    <x v="0"/>
    <x v="14"/>
    <x v="20"/>
    <x v="27"/>
    <x v="7"/>
    <x v="3"/>
    <x v="118"/>
    <x v="126"/>
    <x v="1"/>
  </r>
  <r>
    <x v="310"/>
    <x v="310"/>
    <x v="0"/>
    <x v="0"/>
    <x v="0"/>
    <x v="10"/>
    <x v="0"/>
    <x v="6"/>
    <x v="0"/>
    <x v="15"/>
    <x v="18"/>
    <x v="28"/>
    <x v="5"/>
    <x v="17"/>
    <x v="71"/>
    <x v="40"/>
    <x v="2"/>
  </r>
  <r>
    <x v="311"/>
    <x v="311"/>
    <x v="0"/>
    <x v="0"/>
    <x v="0"/>
    <x v="11"/>
    <x v="0"/>
    <x v="6"/>
    <x v="0"/>
    <x v="15"/>
    <x v="17"/>
    <x v="33"/>
    <x v="3"/>
    <x v="15"/>
    <x v="12"/>
    <x v="26"/>
    <x v="3"/>
  </r>
  <r>
    <x v="312"/>
    <x v="312"/>
    <x v="0"/>
    <x v="0"/>
    <x v="0"/>
    <x v="12"/>
    <x v="0"/>
    <x v="6"/>
    <x v="0"/>
    <x v="2"/>
    <x v="13"/>
    <x v="18"/>
    <x v="2"/>
    <x v="4"/>
    <x v="79"/>
    <x v="42"/>
    <x v="4"/>
  </r>
  <r>
    <x v="313"/>
    <x v="313"/>
    <x v="0"/>
    <x v="0"/>
    <x v="0"/>
    <x v="13"/>
    <x v="0"/>
    <x v="6"/>
    <x v="0"/>
    <x v="1"/>
    <x v="13"/>
    <x v="38"/>
    <x v="13"/>
    <x v="17"/>
    <x v="26"/>
    <x v="43"/>
    <x v="5"/>
  </r>
  <r>
    <x v="314"/>
    <x v="314"/>
    <x v="0"/>
    <x v="0"/>
    <x v="0"/>
    <x v="14"/>
    <x v="0"/>
    <x v="6"/>
    <x v="0"/>
    <x v="1"/>
    <x v="12"/>
    <x v="48"/>
    <x v="3"/>
    <x v="2"/>
    <x v="79"/>
    <x v="37"/>
    <x v="6"/>
  </r>
  <r>
    <x v="315"/>
    <x v="315"/>
    <x v="0"/>
    <x v="0"/>
    <x v="0"/>
    <x v="15"/>
    <x v="0"/>
    <x v="6"/>
    <x v="0"/>
    <x v="0"/>
    <x v="19"/>
    <x v="41"/>
    <x v="8"/>
    <x v="14"/>
    <x v="79"/>
    <x v="118"/>
    <x v="0"/>
  </r>
  <r>
    <x v="316"/>
    <x v="316"/>
    <x v="0"/>
    <x v="0"/>
    <x v="0"/>
    <x v="16"/>
    <x v="0"/>
    <x v="6"/>
    <x v="0"/>
    <x v="1"/>
    <x v="19"/>
    <x v="48"/>
    <x v="14"/>
    <x v="0"/>
    <x v="61"/>
    <x v="127"/>
    <x v="1"/>
  </r>
  <r>
    <x v="317"/>
    <x v="317"/>
    <x v="0"/>
    <x v="0"/>
    <x v="0"/>
    <x v="17"/>
    <x v="0"/>
    <x v="6"/>
    <x v="0"/>
    <x v="1"/>
    <x v="11"/>
    <x v="48"/>
    <x v="8"/>
    <x v="17"/>
    <x v="119"/>
    <x v="128"/>
    <x v="2"/>
  </r>
  <r>
    <x v="318"/>
    <x v="318"/>
    <x v="0"/>
    <x v="0"/>
    <x v="0"/>
    <x v="18"/>
    <x v="0"/>
    <x v="6"/>
    <x v="0"/>
    <x v="2"/>
    <x v="2"/>
    <x v="19"/>
    <x v="0"/>
    <x v="2"/>
    <x v="120"/>
    <x v="119"/>
    <x v="3"/>
  </r>
  <r>
    <x v="319"/>
    <x v="319"/>
    <x v="0"/>
    <x v="0"/>
    <x v="0"/>
    <x v="19"/>
    <x v="0"/>
    <x v="6"/>
    <x v="0"/>
    <x v="13"/>
    <x v="13"/>
    <x v="29"/>
    <x v="1"/>
    <x v="0"/>
    <x v="121"/>
    <x v="101"/>
    <x v="4"/>
  </r>
  <r>
    <x v="320"/>
    <x v="320"/>
    <x v="0"/>
    <x v="0"/>
    <x v="0"/>
    <x v="20"/>
    <x v="0"/>
    <x v="6"/>
    <x v="0"/>
    <x v="15"/>
    <x v="19"/>
    <x v="29"/>
    <x v="0"/>
    <x v="3"/>
    <x v="56"/>
    <x v="118"/>
    <x v="5"/>
  </r>
  <r>
    <x v="321"/>
    <x v="321"/>
    <x v="0"/>
    <x v="0"/>
    <x v="0"/>
    <x v="21"/>
    <x v="0"/>
    <x v="6"/>
    <x v="0"/>
    <x v="13"/>
    <x v="11"/>
    <x v="27"/>
    <x v="0"/>
    <x v="17"/>
    <x v="41"/>
    <x v="46"/>
    <x v="6"/>
  </r>
  <r>
    <x v="322"/>
    <x v="322"/>
    <x v="0"/>
    <x v="0"/>
    <x v="0"/>
    <x v="22"/>
    <x v="0"/>
    <x v="6"/>
    <x v="1"/>
    <x v="13"/>
    <x v="11"/>
    <x v="27"/>
    <x v="0"/>
    <x v="4"/>
    <x v="60"/>
    <x v="9"/>
    <x v="0"/>
  </r>
  <r>
    <x v="323"/>
    <x v="323"/>
    <x v="0"/>
    <x v="0"/>
    <x v="0"/>
    <x v="23"/>
    <x v="0"/>
    <x v="6"/>
    <x v="1"/>
    <x v="15"/>
    <x v="19"/>
    <x v="28"/>
    <x v="0"/>
    <x v="5"/>
    <x v="16"/>
    <x v="110"/>
    <x v="1"/>
  </r>
  <r>
    <x v="324"/>
    <x v="324"/>
    <x v="0"/>
    <x v="0"/>
    <x v="0"/>
    <x v="0"/>
    <x v="0"/>
    <x v="0"/>
    <x v="0"/>
    <x v="15"/>
    <x v="19"/>
    <x v="28"/>
    <x v="0"/>
    <x v="0"/>
    <x v="18"/>
    <x v="20"/>
    <x v="2"/>
  </r>
  <r>
    <x v="325"/>
    <x v="325"/>
    <x v="0"/>
    <x v="0"/>
    <x v="0"/>
    <x v="1"/>
    <x v="0"/>
    <x v="0"/>
    <x v="1"/>
    <x v="13"/>
    <x v="13"/>
    <x v="29"/>
    <x v="1"/>
    <x v="4"/>
    <x v="72"/>
    <x v="25"/>
    <x v="3"/>
  </r>
  <r>
    <x v="326"/>
    <x v="326"/>
    <x v="0"/>
    <x v="0"/>
    <x v="0"/>
    <x v="2"/>
    <x v="0"/>
    <x v="0"/>
    <x v="1"/>
    <x v="13"/>
    <x v="13"/>
    <x v="29"/>
    <x v="1"/>
    <x v="3"/>
    <x v="98"/>
    <x v="47"/>
    <x v="4"/>
  </r>
  <r>
    <x v="327"/>
    <x v="327"/>
    <x v="0"/>
    <x v="0"/>
    <x v="0"/>
    <x v="3"/>
    <x v="0"/>
    <x v="0"/>
    <x v="1"/>
    <x v="13"/>
    <x v="11"/>
    <x v="29"/>
    <x v="0"/>
    <x v="5"/>
    <x v="7"/>
    <x v="7"/>
    <x v="5"/>
  </r>
  <r>
    <x v="328"/>
    <x v="328"/>
    <x v="0"/>
    <x v="0"/>
    <x v="0"/>
    <x v="4"/>
    <x v="0"/>
    <x v="0"/>
    <x v="1"/>
    <x v="13"/>
    <x v="11"/>
    <x v="29"/>
    <x v="0"/>
    <x v="3"/>
    <x v="34"/>
    <x v="36"/>
    <x v="6"/>
  </r>
  <r>
    <x v="329"/>
    <x v="329"/>
    <x v="0"/>
    <x v="0"/>
    <x v="0"/>
    <x v="5"/>
    <x v="0"/>
    <x v="0"/>
    <x v="0"/>
    <x v="13"/>
    <x v="11"/>
    <x v="29"/>
    <x v="0"/>
    <x v="3"/>
    <x v="4"/>
    <x v="4"/>
    <x v="0"/>
  </r>
  <r>
    <x v="330"/>
    <x v="330"/>
    <x v="0"/>
    <x v="0"/>
    <x v="0"/>
    <x v="6"/>
    <x v="0"/>
    <x v="0"/>
    <x v="0"/>
    <x v="14"/>
    <x v="17"/>
    <x v="30"/>
    <x v="14"/>
    <x v="5"/>
    <x v="6"/>
    <x v="6"/>
    <x v="1"/>
  </r>
  <r>
    <x v="331"/>
    <x v="331"/>
    <x v="0"/>
    <x v="0"/>
    <x v="0"/>
    <x v="7"/>
    <x v="0"/>
    <x v="0"/>
    <x v="0"/>
    <x v="14"/>
    <x v="12"/>
    <x v="30"/>
    <x v="0"/>
    <x v="5"/>
    <x v="33"/>
    <x v="98"/>
    <x v="2"/>
  </r>
  <r>
    <x v="332"/>
    <x v="332"/>
    <x v="0"/>
    <x v="0"/>
    <x v="0"/>
    <x v="8"/>
    <x v="0"/>
    <x v="0"/>
    <x v="0"/>
    <x v="14"/>
    <x v="20"/>
    <x v="30"/>
    <x v="7"/>
    <x v="5"/>
    <x v="97"/>
    <x v="84"/>
    <x v="3"/>
  </r>
  <r>
    <x v="333"/>
    <x v="333"/>
    <x v="0"/>
    <x v="0"/>
    <x v="0"/>
    <x v="9"/>
    <x v="0"/>
    <x v="0"/>
    <x v="0"/>
    <x v="13"/>
    <x v="18"/>
    <x v="26"/>
    <x v="7"/>
    <x v="4"/>
    <x v="17"/>
    <x v="63"/>
    <x v="4"/>
  </r>
  <r>
    <x v="334"/>
    <x v="334"/>
    <x v="0"/>
    <x v="0"/>
    <x v="0"/>
    <x v="10"/>
    <x v="0"/>
    <x v="0"/>
    <x v="0"/>
    <x v="15"/>
    <x v="13"/>
    <x v="29"/>
    <x v="8"/>
    <x v="4"/>
    <x v="77"/>
    <x v="29"/>
    <x v="5"/>
  </r>
  <r>
    <x v="335"/>
    <x v="335"/>
    <x v="0"/>
    <x v="0"/>
    <x v="0"/>
    <x v="11"/>
    <x v="0"/>
    <x v="0"/>
    <x v="0"/>
    <x v="2"/>
    <x v="13"/>
    <x v="28"/>
    <x v="6"/>
    <x v="25"/>
    <x v="25"/>
    <x v="44"/>
    <x v="6"/>
  </r>
  <r>
    <x v="336"/>
    <x v="336"/>
    <x v="0"/>
    <x v="0"/>
    <x v="0"/>
    <x v="12"/>
    <x v="0"/>
    <x v="0"/>
    <x v="0"/>
    <x v="0"/>
    <x v="11"/>
    <x v="37"/>
    <x v="6"/>
    <x v="13"/>
    <x v="64"/>
    <x v="70"/>
    <x v="0"/>
  </r>
  <r>
    <x v="337"/>
    <x v="337"/>
    <x v="0"/>
    <x v="0"/>
    <x v="0"/>
    <x v="13"/>
    <x v="0"/>
    <x v="0"/>
    <x v="0"/>
    <x v="17"/>
    <x v="2"/>
    <x v="41"/>
    <x v="4"/>
    <x v="27"/>
    <x v="122"/>
    <x v="129"/>
    <x v="1"/>
  </r>
  <r>
    <x v="338"/>
    <x v="338"/>
    <x v="0"/>
    <x v="0"/>
    <x v="0"/>
    <x v="14"/>
    <x v="0"/>
    <x v="0"/>
    <x v="0"/>
    <x v="11"/>
    <x v="0"/>
    <x v="17"/>
    <x v="3"/>
    <x v="7"/>
    <x v="50"/>
    <x v="130"/>
    <x v="2"/>
  </r>
  <r>
    <x v="339"/>
    <x v="339"/>
    <x v="0"/>
    <x v="0"/>
    <x v="0"/>
    <x v="15"/>
    <x v="0"/>
    <x v="0"/>
    <x v="1"/>
    <x v="3"/>
    <x v="21"/>
    <x v="42"/>
    <x v="5"/>
    <x v="27"/>
    <x v="123"/>
    <x v="131"/>
    <x v="3"/>
  </r>
  <r>
    <x v="340"/>
    <x v="340"/>
    <x v="0"/>
    <x v="0"/>
    <x v="0"/>
    <x v="16"/>
    <x v="0"/>
    <x v="0"/>
    <x v="1"/>
    <x v="10"/>
    <x v="6"/>
    <x v="46"/>
    <x v="5"/>
    <x v="28"/>
    <x v="73"/>
    <x v="116"/>
    <x v="4"/>
  </r>
  <r>
    <x v="341"/>
    <x v="341"/>
    <x v="0"/>
    <x v="0"/>
    <x v="0"/>
    <x v="17"/>
    <x v="0"/>
    <x v="0"/>
    <x v="1"/>
    <x v="3"/>
    <x v="25"/>
    <x v="42"/>
    <x v="3"/>
    <x v="8"/>
    <x v="25"/>
    <x v="56"/>
    <x v="5"/>
  </r>
  <r>
    <x v="342"/>
    <x v="342"/>
    <x v="0"/>
    <x v="0"/>
    <x v="0"/>
    <x v="18"/>
    <x v="0"/>
    <x v="0"/>
    <x v="1"/>
    <x v="11"/>
    <x v="0"/>
    <x v="49"/>
    <x v="2"/>
    <x v="13"/>
    <x v="94"/>
    <x v="11"/>
    <x v="6"/>
  </r>
  <r>
    <x v="343"/>
    <x v="343"/>
    <x v="0"/>
    <x v="0"/>
    <x v="0"/>
    <x v="19"/>
    <x v="0"/>
    <x v="0"/>
    <x v="1"/>
    <x v="3"/>
    <x v="25"/>
    <x v="17"/>
    <x v="2"/>
    <x v="24"/>
    <x v="91"/>
    <x v="30"/>
    <x v="0"/>
  </r>
  <r>
    <x v="344"/>
    <x v="344"/>
    <x v="0"/>
    <x v="0"/>
    <x v="0"/>
    <x v="20"/>
    <x v="0"/>
    <x v="0"/>
    <x v="1"/>
    <x v="3"/>
    <x v="25"/>
    <x v="17"/>
    <x v="2"/>
    <x v="15"/>
    <x v="96"/>
    <x v="102"/>
    <x v="1"/>
  </r>
  <r>
    <x v="345"/>
    <x v="345"/>
    <x v="0"/>
    <x v="0"/>
    <x v="0"/>
    <x v="21"/>
    <x v="0"/>
    <x v="0"/>
    <x v="1"/>
    <x v="3"/>
    <x v="25"/>
    <x v="17"/>
    <x v="6"/>
    <x v="15"/>
    <x v="82"/>
    <x v="52"/>
    <x v="2"/>
  </r>
  <r>
    <x v="346"/>
    <x v="346"/>
    <x v="0"/>
    <x v="0"/>
    <x v="0"/>
    <x v="22"/>
    <x v="0"/>
    <x v="0"/>
    <x v="1"/>
    <x v="11"/>
    <x v="21"/>
    <x v="16"/>
    <x v="14"/>
    <x v="3"/>
    <x v="16"/>
    <x v="132"/>
    <x v="3"/>
  </r>
  <r>
    <x v="347"/>
    <x v="347"/>
    <x v="0"/>
    <x v="0"/>
    <x v="0"/>
    <x v="23"/>
    <x v="0"/>
    <x v="0"/>
    <x v="0"/>
    <x v="11"/>
    <x v="0"/>
    <x v="49"/>
    <x v="3"/>
    <x v="2"/>
    <x v="87"/>
    <x v="40"/>
    <x v="4"/>
  </r>
  <r>
    <x v="348"/>
    <x v="348"/>
    <x v="0"/>
    <x v="0"/>
    <x v="0"/>
    <x v="0"/>
    <x v="0"/>
    <x v="1"/>
    <x v="0"/>
    <x v="12"/>
    <x v="25"/>
    <x v="34"/>
    <x v="0"/>
    <x v="15"/>
    <x v="39"/>
    <x v="21"/>
    <x v="5"/>
  </r>
  <r>
    <x v="349"/>
    <x v="349"/>
    <x v="0"/>
    <x v="0"/>
    <x v="0"/>
    <x v="1"/>
    <x v="0"/>
    <x v="1"/>
    <x v="0"/>
    <x v="12"/>
    <x v="1"/>
    <x v="34"/>
    <x v="7"/>
    <x v="17"/>
    <x v="23"/>
    <x v="84"/>
    <x v="6"/>
  </r>
  <r>
    <x v="350"/>
    <x v="350"/>
    <x v="0"/>
    <x v="0"/>
    <x v="0"/>
    <x v="2"/>
    <x v="0"/>
    <x v="1"/>
    <x v="0"/>
    <x v="12"/>
    <x v="0"/>
    <x v="34"/>
    <x v="1"/>
    <x v="0"/>
    <x v="0"/>
    <x v="0"/>
    <x v="0"/>
  </r>
  <r>
    <x v="351"/>
    <x v="351"/>
    <x v="0"/>
    <x v="0"/>
    <x v="0"/>
    <x v="3"/>
    <x v="0"/>
    <x v="1"/>
    <x v="0"/>
    <x v="1"/>
    <x v="1"/>
    <x v="27"/>
    <x v="0"/>
    <x v="14"/>
    <x v="8"/>
    <x v="93"/>
    <x v="1"/>
  </r>
  <r>
    <x v="352"/>
    <x v="352"/>
    <x v="0"/>
    <x v="0"/>
    <x v="0"/>
    <x v="4"/>
    <x v="0"/>
    <x v="1"/>
    <x v="0"/>
    <x v="12"/>
    <x v="2"/>
    <x v="34"/>
    <x v="8"/>
    <x v="3"/>
    <x v="4"/>
    <x v="4"/>
    <x v="2"/>
  </r>
  <r>
    <x v="353"/>
    <x v="353"/>
    <x v="0"/>
    <x v="0"/>
    <x v="0"/>
    <x v="5"/>
    <x v="0"/>
    <x v="1"/>
    <x v="1"/>
    <x v="12"/>
    <x v="2"/>
    <x v="34"/>
    <x v="8"/>
    <x v="5"/>
    <x v="4"/>
    <x v="5"/>
    <x v="3"/>
  </r>
  <r>
    <x v="354"/>
    <x v="354"/>
    <x v="0"/>
    <x v="0"/>
    <x v="0"/>
    <x v="6"/>
    <x v="0"/>
    <x v="1"/>
    <x v="1"/>
    <x v="12"/>
    <x v="2"/>
    <x v="34"/>
    <x v="8"/>
    <x v="3"/>
    <x v="4"/>
    <x v="4"/>
    <x v="4"/>
  </r>
  <r>
    <x v="355"/>
    <x v="355"/>
    <x v="0"/>
    <x v="0"/>
    <x v="0"/>
    <x v="7"/>
    <x v="0"/>
    <x v="1"/>
    <x v="1"/>
    <x v="0"/>
    <x v="12"/>
    <x v="34"/>
    <x v="4"/>
    <x v="3"/>
    <x v="35"/>
    <x v="6"/>
    <x v="5"/>
  </r>
  <r>
    <x v="356"/>
    <x v="356"/>
    <x v="0"/>
    <x v="0"/>
    <x v="0"/>
    <x v="8"/>
    <x v="0"/>
    <x v="1"/>
    <x v="0"/>
    <x v="1"/>
    <x v="12"/>
    <x v="28"/>
    <x v="3"/>
    <x v="3"/>
    <x v="72"/>
    <x v="109"/>
    <x v="6"/>
  </r>
  <r>
    <x v="357"/>
    <x v="357"/>
    <x v="0"/>
    <x v="0"/>
    <x v="0"/>
    <x v="9"/>
    <x v="0"/>
    <x v="1"/>
    <x v="0"/>
    <x v="1"/>
    <x v="12"/>
    <x v="33"/>
    <x v="2"/>
    <x v="0"/>
    <x v="31"/>
    <x v="2"/>
    <x v="0"/>
  </r>
  <r>
    <x v="358"/>
    <x v="358"/>
    <x v="0"/>
    <x v="0"/>
    <x v="0"/>
    <x v="10"/>
    <x v="0"/>
    <x v="1"/>
    <x v="0"/>
    <x v="1"/>
    <x v="12"/>
    <x v="33"/>
    <x v="3"/>
    <x v="1"/>
    <x v="13"/>
    <x v="67"/>
    <x v="1"/>
  </r>
  <r>
    <x v="359"/>
    <x v="359"/>
    <x v="0"/>
    <x v="0"/>
    <x v="0"/>
    <x v="11"/>
    <x v="0"/>
    <x v="1"/>
    <x v="0"/>
    <x v="0"/>
    <x v="11"/>
    <x v="18"/>
    <x v="2"/>
    <x v="29"/>
    <x v="14"/>
    <x v="15"/>
    <x v="2"/>
  </r>
  <r>
    <x v="360"/>
    <x v="360"/>
    <x v="0"/>
    <x v="0"/>
    <x v="0"/>
    <x v="12"/>
    <x v="0"/>
    <x v="1"/>
    <x v="0"/>
    <x v="0"/>
    <x v="12"/>
    <x v="48"/>
    <x v="3"/>
    <x v="8"/>
    <x v="102"/>
    <x v="133"/>
    <x v="3"/>
  </r>
  <r>
    <x v="361"/>
    <x v="361"/>
    <x v="0"/>
    <x v="0"/>
    <x v="0"/>
    <x v="13"/>
    <x v="0"/>
    <x v="1"/>
    <x v="0"/>
    <x v="12"/>
    <x v="11"/>
    <x v="23"/>
    <x v="4"/>
    <x v="29"/>
    <x v="73"/>
    <x v="130"/>
    <x v="4"/>
  </r>
  <r>
    <x v="362"/>
    <x v="362"/>
    <x v="0"/>
    <x v="0"/>
    <x v="0"/>
    <x v="14"/>
    <x v="0"/>
    <x v="1"/>
    <x v="0"/>
    <x v="17"/>
    <x v="1"/>
    <x v="42"/>
    <x v="2"/>
    <x v="30"/>
    <x v="94"/>
    <x v="134"/>
    <x v="5"/>
  </r>
  <r>
    <x v="363"/>
    <x v="363"/>
    <x v="0"/>
    <x v="0"/>
    <x v="0"/>
    <x v="15"/>
    <x v="0"/>
    <x v="1"/>
    <x v="0"/>
    <x v="12"/>
    <x v="19"/>
    <x v="41"/>
    <x v="2"/>
    <x v="10"/>
    <x v="78"/>
    <x v="135"/>
    <x v="6"/>
  </r>
  <r>
    <x v="364"/>
    <x v="364"/>
    <x v="0"/>
    <x v="0"/>
    <x v="0"/>
    <x v="16"/>
    <x v="0"/>
    <x v="1"/>
    <x v="0"/>
    <x v="0"/>
    <x v="11"/>
    <x v="41"/>
    <x v="6"/>
    <x v="30"/>
    <x v="99"/>
    <x v="111"/>
    <x v="0"/>
  </r>
  <r>
    <x v="365"/>
    <x v="365"/>
    <x v="0"/>
    <x v="0"/>
    <x v="0"/>
    <x v="17"/>
    <x v="0"/>
    <x v="1"/>
    <x v="0"/>
    <x v="1"/>
    <x v="12"/>
    <x v="38"/>
    <x v="2"/>
    <x v="29"/>
    <x v="70"/>
    <x v="136"/>
    <x v="1"/>
  </r>
  <r>
    <x v="366"/>
    <x v="366"/>
    <x v="0"/>
    <x v="0"/>
    <x v="0"/>
    <x v="18"/>
    <x v="0"/>
    <x v="1"/>
    <x v="0"/>
    <x v="2"/>
    <x v="12"/>
    <x v="22"/>
    <x v="8"/>
    <x v="16"/>
    <x v="90"/>
    <x v="16"/>
    <x v="2"/>
  </r>
  <r>
    <x v="367"/>
    <x v="367"/>
    <x v="0"/>
    <x v="0"/>
    <x v="0"/>
    <x v="19"/>
    <x v="0"/>
    <x v="1"/>
    <x v="0"/>
    <x v="15"/>
    <x v="13"/>
    <x v="19"/>
    <x v="7"/>
    <x v="24"/>
    <x v="12"/>
    <x v="42"/>
    <x v="3"/>
  </r>
  <r>
    <x v="368"/>
    <x v="368"/>
    <x v="0"/>
    <x v="0"/>
    <x v="0"/>
    <x v="20"/>
    <x v="0"/>
    <x v="1"/>
    <x v="0"/>
    <x v="15"/>
    <x v="13"/>
    <x v="19"/>
    <x v="8"/>
    <x v="18"/>
    <x v="54"/>
    <x v="52"/>
    <x v="4"/>
  </r>
  <r>
    <x v="369"/>
    <x v="369"/>
    <x v="0"/>
    <x v="0"/>
    <x v="0"/>
    <x v="21"/>
    <x v="0"/>
    <x v="1"/>
    <x v="0"/>
    <x v="15"/>
    <x v="13"/>
    <x v="33"/>
    <x v="8"/>
    <x v="15"/>
    <x v="97"/>
    <x v="20"/>
    <x v="5"/>
  </r>
  <r>
    <x v="370"/>
    <x v="370"/>
    <x v="0"/>
    <x v="0"/>
    <x v="0"/>
    <x v="22"/>
    <x v="0"/>
    <x v="1"/>
    <x v="1"/>
    <x v="2"/>
    <x v="12"/>
    <x v="36"/>
    <x v="7"/>
    <x v="4"/>
    <x v="23"/>
    <x v="137"/>
    <x v="6"/>
  </r>
  <r>
    <x v="371"/>
    <x v="371"/>
    <x v="0"/>
    <x v="0"/>
    <x v="0"/>
    <x v="23"/>
    <x v="0"/>
    <x v="1"/>
    <x v="1"/>
    <x v="2"/>
    <x v="11"/>
    <x v="22"/>
    <x v="14"/>
    <x v="3"/>
    <x v="72"/>
    <x v="109"/>
    <x v="0"/>
  </r>
  <r>
    <x v="372"/>
    <x v="372"/>
    <x v="0"/>
    <x v="0"/>
    <x v="0"/>
    <x v="0"/>
    <x v="1"/>
    <x v="2"/>
    <x v="1"/>
    <x v="2"/>
    <x v="13"/>
    <x v="19"/>
    <x v="6"/>
    <x v="5"/>
    <x v="20"/>
    <x v="22"/>
    <x v="1"/>
  </r>
  <r>
    <x v="373"/>
    <x v="373"/>
    <x v="0"/>
    <x v="0"/>
    <x v="0"/>
    <x v="1"/>
    <x v="1"/>
    <x v="2"/>
    <x v="1"/>
    <x v="2"/>
    <x v="13"/>
    <x v="18"/>
    <x v="5"/>
    <x v="5"/>
    <x v="89"/>
    <x v="0"/>
    <x v="2"/>
  </r>
  <r>
    <x v="374"/>
    <x v="374"/>
    <x v="0"/>
    <x v="0"/>
    <x v="0"/>
    <x v="2"/>
    <x v="1"/>
    <x v="2"/>
    <x v="1"/>
    <x v="15"/>
    <x v="17"/>
    <x v="21"/>
    <x v="2"/>
    <x v="3"/>
    <x v="21"/>
    <x v="7"/>
    <x v="3"/>
  </r>
  <r>
    <x v="375"/>
    <x v="375"/>
    <x v="0"/>
    <x v="0"/>
    <x v="0"/>
    <x v="3"/>
    <x v="1"/>
    <x v="2"/>
    <x v="1"/>
    <x v="15"/>
    <x v="18"/>
    <x v="21"/>
    <x v="5"/>
    <x v="3"/>
    <x v="6"/>
    <x v="5"/>
    <x v="4"/>
  </r>
  <r>
    <x v="376"/>
    <x v="376"/>
    <x v="0"/>
    <x v="0"/>
    <x v="0"/>
    <x v="4"/>
    <x v="1"/>
    <x v="2"/>
    <x v="1"/>
    <x v="15"/>
    <x v="13"/>
    <x v="21"/>
    <x v="7"/>
    <x v="5"/>
    <x v="6"/>
    <x v="6"/>
    <x v="5"/>
  </r>
  <r>
    <x v="377"/>
    <x v="377"/>
    <x v="0"/>
    <x v="0"/>
    <x v="0"/>
    <x v="5"/>
    <x v="1"/>
    <x v="2"/>
    <x v="1"/>
    <x v="15"/>
    <x v="13"/>
    <x v="21"/>
    <x v="8"/>
    <x v="3"/>
    <x v="4"/>
    <x v="4"/>
    <x v="6"/>
  </r>
  <r>
    <x v="378"/>
    <x v="378"/>
    <x v="0"/>
    <x v="0"/>
    <x v="0"/>
    <x v="6"/>
    <x v="1"/>
    <x v="2"/>
    <x v="1"/>
    <x v="15"/>
    <x v="18"/>
    <x v="21"/>
    <x v="5"/>
    <x v="3"/>
    <x v="34"/>
    <x v="36"/>
    <x v="0"/>
  </r>
  <r>
    <x v="379"/>
    <x v="379"/>
    <x v="0"/>
    <x v="0"/>
    <x v="0"/>
    <x v="7"/>
    <x v="1"/>
    <x v="2"/>
    <x v="1"/>
    <x v="13"/>
    <x v="18"/>
    <x v="20"/>
    <x v="7"/>
    <x v="17"/>
    <x v="33"/>
    <x v="3"/>
    <x v="1"/>
  </r>
  <r>
    <x v="380"/>
    <x v="380"/>
    <x v="0"/>
    <x v="0"/>
    <x v="0"/>
    <x v="8"/>
    <x v="1"/>
    <x v="2"/>
    <x v="1"/>
    <x v="13"/>
    <x v="20"/>
    <x v="19"/>
    <x v="6"/>
    <x v="0"/>
    <x v="10"/>
    <x v="63"/>
    <x v="2"/>
  </r>
  <r>
    <x v="381"/>
    <x v="381"/>
    <x v="0"/>
    <x v="0"/>
    <x v="0"/>
    <x v="9"/>
    <x v="1"/>
    <x v="2"/>
    <x v="1"/>
    <x v="13"/>
    <x v="20"/>
    <x v="19"/>
    <x v="6"/>
    <x v="1"/>
    <x v="87"/>
    <x v="105"/>
    <x v="3"/>
  </r>
  <r>
    <x v="382"/>
    <x v="382"/>
    <x v="0"/>
    <x v="0"/>
    <x v="0"/>
    <x v="10"/>
    <x v="1"/>
    <x v="2"/>
    <x v="1"/>
    <x v="13"/>
    <x v="20"/>
    <x v="20"/>
    <x v="2"/>
    <x v="18"/>
    <x v="54"/>
    <x v="52"/>
    <x v="4"/>
  </r>
  <r>
    <x v="383"/>
    <x v="383"/>
    <x v="0"/>
    <x v="0"/>
    <x v="0"/>
    <x v="11"/>
    <x v="1"/>
    <x v="2"/>
    <x v="1"/>
    <x v="13"/>
    <x v="20"/>
    <x v="28"/>
    <x v="5"/>
    <x v="14"/>
    <x v="11"/>
    <x v="37"/>
    <x v="5"/>
  </r>
  <r>
    <x v="384"/>
    <x v="384"/>
    <x v="0"/>
    <x v="0"/>
    <x v="0"/>
    <x v="12"/>
    <x v="1"/>
    <x v="2"/>
    <x v="1"/>
    <x v="15"/>
    <x v="13"/>
    <x v="19"/>
    <x v="7"/>
    <x v="22"/>
    <x v="14"/>
    <x v="138"/>
    <x v="6"/>
  </r>
  <r>
    <x v="385"/>
    <x v="385"/>
    <x v="0"/>
    <x v="0"/>
    <x v="0"/>
    <x v="13"/>
    <x v="1"/>
    <x v="2"/>
    <x v="1"/>
    <x v="15"/>
    <x v="13"/>
    <x v="19"/>
    <x v="7"/>
    <x v="23"/>
    <x v="122"/>
    <x v="15"/>
    <x v="0"/>
  </r>
  <r>
    <x v="386"/>
    <x v="386"/>
    <x v="0"/>
    <x v="0"/>
    <x v="0"/>
    <x v="14"/>
    <x v="1"/>
    <x v="2"/>
    <x v="1"/>
    <x v="15"/>
    <x v="12"/>
    <x v="21"/>
    <x v="14"/>
    <x v="6"/>
    <x v="64"/>
    <x v="80"/>
    <x v="1"/>
  </r>
  <r>
    <x v="387"/>
    <x v="387"/>
    <x v="0"/>
    <x v="0"/>
    <x v="0"/>
    <x v="15"/>
    <x v="1"/>
    <x v="2"/>
    <x v="1"/>
    <x v="2"/>
    <x v="12"/>
    <x v="19"/>
    <x v="8"/>
    <x v="27"/>
    <x v="109"/>
    <x v="15"/>
    <x v="2"/>
  </r>
  <r>
    <x v="388"/>
    <x v="388"/>
    <x v="0"/>
    <x v="0"/>
    <x v="0"/>
    <x v="16"/>
    <x v="1"/>
    <x v="2"/>
    <x v="1"/>
    <x v="2"/>
    <x v="12"/>
    <x v="19"/>
    <x v="8"/>
    <x v="15"/>
    <x v="83"/>
    <x v="100"/>
    <x v="3"/>
  </r>
  <r>
    <x v="389"/>
    <x v="389"/>
    <x v="0"/>
    <x v="0"/>
    <x v="0"/>
    <x v="17"/>
    <x v="1"/>
    <x v="2"/>
    <x v="0"/>
    <x v="2"/>
    <x v="13"/>
    <x v="33"/>
    <x v="5"/>
    <x v="17"/>
    <x v="28"/>
    <x v="68"/>
    <x v="4"/>
  </r>
  <r>
    <x v="390"/>
    <x v="390"/>
    <x v="0"/>
    <x v="0"/>
    <x v="0"/>
    <x v="18"/>
    <x v="1"/>
    <x v="2"/>
    <x v="1"/>
    <x v="15"/>
    <x v="17"/>
    <x v="28"/>
    <x v="2"/>
    <x v="18"/>
    <x v="66"/>
    <x v="101"/>
    <x v="5"/>
  </r>
  <r>
    <x v="391"/>
    <x v="391"/>
    <x v="0"/>
    <x v="0"/>
    <x v="0"/>
    <x v="19"/>
    <x v="1"/>
    <x v="2"/>
    <x v="2"/>
    <x v="15"/>
    <x v="18"/>
    <x v="29"/>
    <x v="5"/>
    <x v="4"/>
    <x v="29"/>
    <x v="122"/>
    <x v="6"/>
  </r>
  <r>
    <x v="392"/>
    <x v="392"/>
    <x v="0"/>
    <x v="0"/>
    <x v="0"/>
    <x v="20"/>
    <x v="1"/>
    <x v="2"/>
    <x v="2"/>
    <x v="13"/>
    <x v="20"/>
    <x v="1"/>
    <x v="5"/>
    <x v="17"/>
    <x v="31"/>
    <x v="63"/>
    <x v="0"/>
  </r>
  <r>
    <x v="393"/>
    <x v="393"/>
    <x v="0"/>
    <x v="0"/>
    <x v="0"/>
    <x v="21"/>
    <x v="1"/>
    <x v="2"/>
    <x v="2"/>
    <x v="13"/>
    <x v="20"/>
    <x v="1"/>
    <x v="5"/>
    <x v="0"/>
    <x v="9"/>
    <x v="110"/>
    <x v="1"/>
  </r>
  <r>
    <x v="394"/>
    <x v="394"/>
    <x v="0"/>
    <x v="0"/>
    <x v="0"/>
    <x v="22"/>
    <x v="1"/>
    <x v="2"/>
    <x v="2"/>
    <x v="14"/>
    <x v="16"/>
    <x v="43"/>
    <x v="2"/>
    <x v="3"/>
    <x v="0"/>
    <x v="3"/>
    <x v="2"/>
  </r>
  <r>
    <x v="395"/>
    <x v="395"/>
    <x v="0"/>
    <x v="0"/>
    <x v="0"/>
    <x v="23"/>
    <x v="1"/>
    <x v="2"/>
    <x v="2"/>
    <x v="13"/>
    <x v="14"/>
    <x v="3"/>
    <x v="3"/>
    <x v="5"/>
    <x v="35"/>
    <x v="48"/>
    <x v="3"/>
  </r>
  <r>
    <x v="396"/>
    <x v="396"/>
    <x v="0"/>
    <x v="0"/>
    <x v="0"/>
    <x v="12"/>
    <x v="0"/>
    <x v="3"/>
    <x v="1"/>
    <x v="2"/>
    <x v="18"/>
    <x v="3"/>
    <x v="9"/>
    <x v="3"/>
    <x v="35"/>
    <x v="6"/>
    <x v="4"/>
  </r>
  <r>
    <x v="397"/>
    <x v="397"/>
    <x v="0"/>
    <x v="0"/>
    <x v="0"/>
    <x v="13"/>
    <x v="0"/>
    <x v="3"/>
    <x v="1"/>
    <x v="2"/>
    <x v="13"/>
    <x v="3"/>
    <x v="6"/>
    <x v="3"/>
    <x v="97"/>
    <x v="34"/>
    <x v="5"/>
  </r>
  <r>
    <x v="398"/>
    <x v="398"/>
    <x v="0"/>
    <x v="0"/>
    <x v="0"/>
    <x v="14"/>
    <x v="0"/>
    <x v="3"/>
    <x v="1"/>
    <x v="1"/>
    <x v="11"/>
    <x v="1"/>
    <x v="8"/>
    <x v="4"/>
    <x v="16"/>
    <x v="20"/>
    <x v="6"/>
  </r>
  <r>
    <x v="399"/>
    <x v="399"/>
    <x v="0"/>
    <x v="0"/>
    <x v="0"/>
    <x v="15"/>
    <x v="0"/>
    <x v="3"/>
    <x v="1"/>
    <x v="1"/>
    <x v="11"/>
    <x v="9"/>
    <x v="8"/>
    <x v="0"/>
    <x v="1"/>
    <x v="17"/>
    <x v="0"/>
  </r>
  <r>
    <x v="400"/>
    <x v="400"/>
    <x v="0"/>
    <x v="0"/>
    <x v="0"/>
    <x v="16"/>
    <x v="0"/>
    <x v="3"/>
    <x v="1"/>
    <x v="1"/>
    <x v="11"/>
    <x v="9"/>
    <x v="5"/>
    <x v="3"/>
    <x v="124"/>
    <x v="42"/>
    <x v="1"/>
  </r>
  <r>
    <x v="401"/>
    <x v="401"/>
    <x v="0"/>
    <x v="0"/>
    <x v="0"/>
    <x v="17"/>
    <x v="0"/>
    <x v="3"/>
    <x v="1"/>
    <x v="1"/>
    <x v="11"/>
    <x v="7"/>
    <x v="5"/>
    <x v="5"/>
    <x v="125"/>
    <x v="139"/>
    <x v="2"/>
  </r>
  <r>
    <x v="402"/>
    <x v="402"/>
    <x v="0"/>
    <x v="0"/>
    <x v="0"/>
    <x v="18"/>
    <x v="0"/>
    <x v="3"/>
    <x v="1"/>
    <x v="1"/>
    <x v="11"/>
    <x v="1"/>
    <x v="8"/>
    <x v="5"/>
    <x v="126"/>
    <x v="140"/>
    <x v="3"/>
  </r>
  <r>
    <x v="403"/>
    <x v="403"/>
    <x v="0"/>
    <x v="0"/>
    <x v="0"/>
    <x v="19"/>
    <x v="0"/>
    <x v="3"/>
    <x v="1"/>
    <x v="1"/>
    <x v="11"/>
    <x v="1"/>
    <x v="7"/>
    <x v="5"/>
    <x v="52"/>
    <x v="111"/>
    <x v="4"/>
  </r>
  <r>
    <x v="404"/>
    <x v="404"/>
    <x v="0"/>
    <x v="0"/>
    <x v="0"/>
    <x v="20"/>
    <x v="0"/>
    <x v="3"/>
    <x v="1"/>
    <x v="1"/>
    <x v="1"/>
    <x v="9"/>
    <x v="0"/>
    <x v="3"/>
    <x v="93"/>
    <x v="56"/>
    <x v="5"/>
  </r>
  <r>
    <x v="405"/>
    <x v="405"/>
    <x v="0"/>
    <x v="0"/>
    <x v="0"/>
    <x v="21"/>
    <x v="0"/>
    <x v="3"/>
    <x v="1"/>
    <x v="1"/>
    <x v="19"/>
    <x v="43"/>
    <x v="14"/>
    <x v="3"/>
    <x v="40"/>
    <x v="102"/>
    <x v="6"/>
  </r>
  <r>
    <x v="406"/>
    <x v="406"/>
    <x v="0"/>
    <x v="0"/>
    <x v="0"/>
    <x v="22"/>
    <x v="0"/>
    <x v="3"/>
    <x v="1"/>
    <x v="1"/>
    <x v="2"/>
    <x v="43"/>
    <x v="1"/>
    <x v="3"/>
    <x v="39"/>
    <x v="63"/>
    <x v="0"/>
  </r>
  <r>
    <x v="407"/>
    <x v="407"/>
    <x v="0"/>
    <x v="0"/>
    <x v="0"/>
    <x v="23"/>
    <x v="0"/>
    <x v="3"/>
    <x v="1"/>
    <x v="1"/>
    <x v="1"/>
    <x v="43"/>
    <x v="0"/>
    <x v="5"/>
    <x v="23"/>
    <x v="25"/>
    <x v="1"/>
  </r>
  <r>
    <x v="408"/>
    <x v="408"/>
    <x v="0"/>
    <x v="0"/>
    <x v="0"/>
    <x v="0"/>
    <x v="0"/>
    <x v="4"/>
    <x v="1"/>
    <x v="1"/>
    <x v="1"/>
    <x v="43"/>
    <x v="0"/>
    <x v="3"/>
    <x v="35"/>
    <x v="6"/>
    <x v="2"/>
  </r>
  <r>
    <x v="409"/>
    <x v="409"/>
    <x v="0"/>
    <x v="0"/>
    <x v="0"/>
    <x v="1"/>
    <x v="0"/>
    <x v="4"/>
    <x v="2"/>
    <x v="1"/>
    <x v="11"/>
    <x v="43"/>
    <x v="7"/>
    <x v="5"/>
    <x v="8"/>
    <x v="85"/>
    <x v="3"/>
  </r>
  <r>
    <x v="410"/>
    <x v="410"/>
    <x v="0"/>
    <x v="0"/>
    <x v="0"/>
    <x v="2"/>
    <x v="0"/>
    <x v="4"/>
    <x v="2"/>
    <x v="1"/>
    <x v="11"/>
    <x v="43"/>
    <x v="7"/>
    <x v="3"/>
    <x v="35"/>
    <x v="6"/>
    <x v="4"/>
  </r>
  <r>
    <x v="411"/>
    <x v="411"/>
    <x v="0"/>
    <x v="0"/>
    <x v="0"/>
    <x v="4"/>
    <x v="0"/>
    <x v="4"/>
    <x v="2"/>
    <x v="1"/>
    <x v="11"/>
    <x v="43"/>
    <x v="7"/>
    <x v="5"/>
    <x v="4"/>
    <x v="5"/>
    <x v="5"/>
  </r>
  <r>
    <x v="412"/>
    <x v="412"/>
    <x v="0"/>
    <x v="0"/>
    <x v="0"/>
    <x v="5"/>
    <x v="0"/>
    <x v="4"/>
    <x v="1"/>
    <x v="1"/>
    <x v="2"/>
    <x v="43"/>
    <x v="1"/>
    <x v="3"/>
    <x v="7"/>
    <x v="85"/>
    <x v="6"/>
  </r>
  <r>
    <x v="413"/>
    <x v="413"/>
    <x v="0"/>
    <x v="0"/>
    <x v="0"/>
    <x v="6"/>
    <x v="0"/>
    <x v="4"/>
    <x v="1"/>
    <x v="1"/>
    <x v="2"/>
    <x v="43"/>
    <x v="1"/>
    <x v="3"/>
    <x v="1"/>
    <x v="2"/>
    <x v="0"/>
  </r>
  <r>
    <x v="414"/>
    <x v="414"/>
    <x v="0"/>
    <x v="0"/>
    <x v="0"/>
    <x v="7"/>
    <x v="0"/>
    <x v="4"/>
    <x v="1"/>
    <x v="0"/>
    <x v="2"/>
    <x v="50"/>
    <x v="14"/>
    <x v="5"/>
    <x v="121"/>
    <x v="127"/>
    <x v="1"/>
  </r>
  <r>
    <x v="415"/>
    <x v="415"/>
    <x v="0"/>
    <x v="0"/>
    <x v="0"/>
    <x v="8"/>
    <x v="0"/>
    <x v="4"/>
    <x v="1"/>
    <x v="0"/>
    <x v="2"/>
    <x v="43"/>
    <x v="14"/>
    <x v="5"/>
    <x v="127"/>
    <x v="141"/>
    <x v="2"/>
  </r>
  <r>
    <x v="416"/>
    <x v="416"/>
    <x v="0"/>
    <x v="0"/>
    <x v="0"/>
    <x v="9"/>
    <x v="0"/>
    <x v="4"/>
    <x v="1"/>
    <x v="0"/>
    <x v="2"/>
    <x v="43"/>
    <x v="14"/>
    <x v="4"/>
    <x v="128"/>
    <x v="142"/>
    <x v="3"/>
  </r>
  <r>
    <x v="417"/>
    <x v="417"/>
    <x v="0"/>
    <x v="0"/>
    <x v="0"/>
    <x v="10"/>
    <x v="0"/>
    <x v="4"/>
    <x v="1"/>
    <x v="12"/>
    <x v="1"/>
    <x v="43"/>
    <x v="7"/>
    <x v="5"/>
    <x v="24"/>
    <x v="105"/>
    <x v="4"/>
  </r>
  <r>
    <x v="418"/>
    <x v="418"/>
    <x v="0"/>
    <x v="0"/>
    <x v="0"/>
    <x v="11"/>
    <x v="0"/>
    <x v="4"/>
    <x v="1"/>
    <x v="17"/>
    <x v="25"/>
    <x v="9"/>
    <x v="1"/>
    <x v="2"/>
    <x v="12"/>
    <x v="46"/>
    <x v="5"/>
  </r>
  <r>
    <x v="419"/>
    <x v="419"/>
    <x v="0"/>
    <x v="0"/>
    <x v="0"/>
    <x v="12"/>
    <x v="0"/>
    <x v="4"/>
    <x v="1"/>
    <x v="11"/>
    <x v="21"/>
    <x v="0"/>
    <x v="1"/>
    <x v="2"/>
    <x v="65"/>
    <x v="27"/>
    <x v="6"/>
  </r>
  <r>
    <x v="420"/>
    <x v="420"/>
    <x v="0"/>
    <x v="0"/>
    <x v="0"/>
    <x v="13"/>
    <x v="0"/>
    <x v="4"/>
    <x v="0"/>
    <x v="9"/>
    <x v="10"/>
    <x v="51"/>
    <x v="3"/>
    <x v="16"/>
    <x v="28"/>
    <x v="53"/>
    <x v="0"/>
  </r>
  <r>
    <x v="421"/>
    <x v="421"/>
    <x v="0"/>
    <x v="0"/>
    <x v="0"/>
    <x v="14"/>
    <x v="0"/>
    <x v="4"/>
    <x v="0"/>
    <x v="9"/>
    <x v="10"/>
    <x v="52"/>
    <x v="2"/>
    <x v="18"/>
    <x v="56"/>
    <x v="28"/>
    <x v="1"/>
  </r>
  <r>
    <x v="422"/>
    <x v="422"/>
    <x v="0"/>
    <x v="0"/>
    <x v="0"/>
    <x v="15"/>
    <x v="0"/>
    <x v="4"/>
    <x v="0"/>
    <x v="9"/>
    <x v="10"/>
    <x v="47"/>
    <x v="3"/>
    <x v="17"/>
    <x v="78"/>
    <x v="100"/>
    <x v="2"/>
  </r>
  <r>
    <x v="423"/>
    <x v="423"/>
    <x v="0"/>
    <x v="0"/>
    <x v="0"/>
    <x v="16"/>
    <x v="0"/>
    <x v="4"/>
    <x v="0"/>
    <x v="4"/>
    <x v="5"/>
    <x v="52"/>
    <x v="13"/>
    <x v="22"/>
    <x v="111"/>
    <x v="133"/>
    <x v="3"/>
  </r>
  <r>
    <x v="424"/>
    <x v="424"/>
    <x v="0"/>
    <x v="0"/>
    <x v="0"/>
    <x v="17"/>
    <x v="0"/>
    <x v="4"/>
    <x v="0"/>
    <x v="5"/>
    <x v="6"/>
    <x v="14"/>
    <x v="9"/>
    <x v="18"/>
    <x v="84"/>
    <x v="141"/>
    <x v="4"/>
  </r>
  <r>
    <x v="425"/>
    <x v="425"/>
    <x v="0"/>
    <x v="0"/>
    <x v="0"/>
    <x v="18"/>
    <x v="0"/>
    <x v="4"/>
    <x v="0"/>
    <x v="10"/>
    <x v="21"/>
    <x v="53"/>
    <x v="3"/>
    <x v="2"/>
    <x v="117"/>
    <x v="143"/>
    <x v="5"/>
  </r>
  <r>
    <x v="426"/>
    <x v="426"/>
    <x v="0"/>
    <x v="0"/>
    <x v="0"/>
    <x v="19"/>
    <x v="0"/>
    <x v="4"/>
    <x v="0"/>
    <x v="3"/>
    <x v="0"/>
    <x v="14"/>
    <x v="12"/>
    <x v="17"/>
    <x v="123"/>
    <x v="59"/>
    <x v="6"/>
  </r>
  <r>
    <x v="427"/>
    <x v="427"/>
    <x v="0"/>
    <x v="0"/>
    <x v="0"/>
    <x v="20"/>
    <x v="0"/>
    <x v="4"/>
    <x v="0"/>
    <x v="3"/>
    <x v="25"/>
    <x v="36"/>
    <x v="4"/>
    <x v="4"/>
    <x v="64"/>
    <x v="31"/>
    <x v="0"/>
  </r>
  <r>
    <x v="428"/>
    <x v="428"/>
    <x v="0"/>
    <x v="0"/>
    <x v="0"/>
    <x v="21"/>
    <x v="0"/>
    <x v="4"/>
    <x v="0"/>
    <x v="3"/>
    <x v="0"/>
    <x v="36"/>
    <x v="12"/>
    <x v="17"/>
    <x v="11"/>
    <x v="29"/>
    <x v="1"/>
  </r>
  <r>
    <x v="429"/>
    <x v="429"/>
    <x v="0"/>
    <x v="0"/>
    <x v="0"/>
    <x v="22"/>
    <x v="0"/>
    <x v="4"/>
    <x v="0"/>
    <x v="11"/>
    <x v="25"/>
    <x v="35"/>
    <x v="8"/>
    <x v="15"/>
    <x v="42"/>
    <x v="29"/>
    <x v="2"/>
  </r>
  <r>
    <x v="430"/>
    <x v="430"/>
    <x v="0"/>
    <x v="0"/>
    <x v="0"/>
    <x v="23"/>
    <x v="0"/>
    <x v="4"/>
    <x v="0"/>
    <x v="11"/>
    <x v="1"/>
    <x v="35"/>
    <x v="17"/>
    <x v="5"/>
    <x v="2"/>
    <x v="20"/>
    <x v="3"/>
  </r>
  <r>
    <x v="431"/>
    <x v="431"/>
    <x v="0"/>
    <x v="0"/>
    <x v="0"/>
    <x v="0"/>
    <x v="0"/>
    <x v="5"/>
    <x v="0"/>
    <x v="12"/>
    <x v="11"/>
    <x v="34"/>
    <x v="13"/>
    <x v="2"/>
    <x v="21"/>
    <x v="3"/>
    <x v="4"/>
  </r>
  <r>
    <x v="432"/>
    <x v="432"/>
    <x v="0"/>
    <x v="0"/>
    <x v="0"/>
    <x v="1"/>
    <x v="0"/>
    <x v="5"/>
    <x v="0"/>
    <x v="12"/>
    <x v="1"/>
    <x v="34"/>
    <x v="0"/>
    <x v="4"/>
    <x v="35"/>
    <x v="36"/>
    <x v="5"/>
  </r>
  <r>
    <x v="433"/>
    <x v="433"/>
    <x v="0"/>
    <x v="0"/>
    <x v="0"/>
    <x v="2"/>
    <x v="0"/>
    <x v="5"/>
    <x v="0"/>
    <x v="12"/>
    <x v="1"/>
    <x v="34"/>
    <x v="0"/>
    <x v="3"/>
    <x v="6"/>
    <x v="5"/>
    <x v="6"/>
  </r>
  <r>
    <x v="434"/>
    <x v="434"/>
    <x v="0"/>
    <x v="0"/>
    <x v="0"/>
    <x v="3"/>
    <x v="0"/>
    <x v="5"/>
    <x v="0"/>
    <x v="12"/>
    <x v="2"/>
    <x v="34"/>
    <x v="8"/>
    <x v="3"/>
    <x v="4"/>
    <x v="4"/>
    <x v="0"/>
  </r>
  <r>
    <x v="435"/>
    <x v="435"/>
    <x v="0"/>
    <x v="0"/>
    <x v="0"/>
    <x v="4"/>
    <x v="0"/>
    <x v="5"/>
    <x v="0"/>
    <x v="12"/>
    <x v="2"/>
    <x v="34"/>
    <x v="8"/>
    <x v="3"/>
    <x v="4"/>
    <x v="4"/>
    <x v="1"/>
  </r>
  <r>
    <x v="436"/>
    <x v="436"/>
    <x v="0"/>
    <x v="0"/>
    <x v="0"/>
    <x v="5"/>
    <x v="0"/>
    <x v="5"/>
    <x v="0"/>
    <x v="0"/>
    <x v="11"/>
    <x v="54"/>
    <x v="6"/>
    <x v="3"/>
    <x v="8"/>
    <x v="24"/>
    <x v="2"/>
  </r>
  <r>
    <x v="437"/>
    <x v="437"/>
    <x v="0"/>
    <x v="0"/>
    <x v="0"/>
    <x v="6"/>
    <x v="0"/>
    <x v="5"/>
    <x v="0"/>
    <x v="1"/>
    <x v="12"/>
    <x v="54"/>
    <x v="6"/>
    <x v="3"/>
    <x v="96"/>
    <x v="17"/>
    <x v="3"/>
  </r>
  <r>
    <x v="438"/>
    <x v="438"/>
    <x v="0"/>
    <x v="0"/>
    <x v="0"/>
    <x v="7"/>
    <x v="0"/>
    <x v="5"/>
    <x v="0"/>
    <x v="1"/>
    <x v="12"/>
    <x v="28"/>
    <x v="6"/>
    <x v="5"/>
    <x v="129"/>
    <x v="129"/>
    <x v="4"/>
  </r>
  <r>
    <x v="439"/>
    <x v="439"/>
    <x v="0"/>
    <x v="0"/>
    <x v="0"/>
    <x v="8"/>
    <x v="0"/>
    <x v="5"/>
    <x v="0"/>
    <x v="1"/>
    <x v="12"/>
    <x v="28"/>
    <x v="3"/>
    <x v="4"/>
    <x v="130"/>
    <x v="144"/>
    <x v="5"/>
  </r>
  <r>
    <x v="440"/>
    <x v="440"/>
    <x v="0"/>
    <x v="0"/>
    <x v="0"/>
    <x v="9"/>
    <x v="0"/>
    <x v="5"/>
    <x v="1"/>
    <x v="0"/>
    <x v="11"/>
    <x v="35"/>
    <x v="6"/>
    <x v="0"/>
    <x v="131"/>
    <x v="145"/>
    <x v="6"/>
  </r>
  <r>
    <x v="441"/>
    <x v="441"/>
    <x v="0"/>
    <x v="0"/>
    <x v="0"/>
    <x v="10"/>
    <x v="0"/>
    <x v="5"/>
    <x v="0"/>
    <x v="12"/>
    <x v="11"/>
    <x v="37"/>
    <x v="4"/>
    <x v="5"/>
    <x v="90"/>
    <x v="52"/>
    <x v="0"/>
  </r>
  <r>
    <x v="442"/>
    <x v="442"/>
    <x v="0"/>
    <x v="0"/>
    <x v="0"/>
    <x v="11"/>
    <x v="0"/>
    <x v="5"/>
    <x v="1"/>
    <x v="17"/>
    <x v="1"/>
    <x v="49"/>
    <x v="8"/>
    <x v="2"/>
    <x v="36"/>
    <x v="118"/>
    <x v="1"/>
  </r>
  <r>
    <x v="443"/>
    <x v="443"/>
    <x v="0"/>
    <x v="0"/>
    <x v="0"/>
    <x v="12"/>
    <x v="0"/>
    <x v="5"/>
    <x v="1"/>
    <x v="11"/>
    <x v="6"/>
    <x v="16"/>
    <x v="0"/>
    <x v="18"/>
    <x v="99"/>
    <x v="11"/>
    <x v="2"/>
  </r>
  <r>
    <x v="444"/>
    <x v="444"/>
    <x v="0"/>
    <x v="0"/>
    <x v="0"/>
    <x v="13"/>
    <x v="0"/>
    <x v="5"/>
    <x v="1"/>
    <x v="17"/>
    <x v="0"/>
    <x v="49"/>
    <x v="14"/>
    <x v="6"/>
    <x v="132"/>
    <x v="95"/>
    <x v="3"/>
  </r>
  <r>
    <x v="445"/>
    <x v="445"/>
    <x v="0"/>
    <x v="0"/>
    <x v="0"/>
    <x v="14"/>
    <x v="0"/>
    <x v="5"/>
    <x v="1"/>
    <x v="11"/>
    <x v="25"/>
    <x v="49"/>
    <x v="7"/>
    <x v="15"/>
    <x v="102"/>
    <x v="117"/>
    <x v="4"/>
  </r>
  <r>
    <x v="446"/>
    <x v="446"/>
    <x v="0"/>
    <x v="0"/>
    <x v="0"/>
    <x v="15"/>
    <x v="0"/>
    <x v="5"/>
    <x v="1"/>
    <x v="3"/>
    <x v="21"/>
    <x v="49"/>
    <x v="5"/>
    <x v="1"/>
    <x v="133"/>
    <x v="27"/>
    <x v="5"/>
  </r>
  <r>
    <x v="447"/>
    <x v="447"/>
    <x v="0"/>
    <x v="0"/>
    <x v="0"/>
    <x v="16"/>
    <x v="0"/>
    <x v="5"/>
    <x v="1"/>
    <x v="11"/>
    <x v="25"/>
    <x v="36"/>
    <x v="7"/>
    <x v="1"/>
    <x v="93"/>
    <x v="134"/>
    <x v="6"/>
  </r>
  <r>
    <x v="448"/>
    <x v="448"/>
    <x v="0"/>
    <x v="0"/>
    <x v="0"/>
    <x v="17"/>
    <x v="0"/>
    <x v="5"/>
    <x v="1"/>
    <x v="11"/>
    <x v="21"/>
    <x v="36"/>
    <x v="14"/>
    <x v="1"/>
    <x v="134"/>
    <x v="146"/>
    <x v="0"/>
  </r>
  <r>
    <x v="449"/>
    <x v="449"/>
    <x v="0"/>
    <x v="0"/>
    <x v="0"/>
    <x v="18"/>
    <x v="0"/>
    <x v="5"/>
    <x v="1"/>
    <x v="12"/>
    <x v="2"/>
    <x v="34"/>
    <x v="5"/>
    <x v="5"/>
    <x v="103"/>
    <x v="147"/>
    <x v="1"/>
  </r>
  <r>
    <x v="450"/>
    <x v="450"/>
    <x v="0"/>
    <x v="0"/>
    <x v="0"/>
    <x v="19"/>
    <x v="0"/>
    <x v="5"/>
    <x v="0"/>
    <x v="12"/>
    <x v="11"/>
    <x v="34"/>
    <x v="9"/>
    <x v="15"/>
    <x v="44"/>
    <x v="148"/>
    <x v="2"/>
  </r>
  <r>
    <x v="451"/>
    <x v="451"/>
    <x v="0"/>
    <x v="0"/>
    <x v="0"/>
    <x v="20"/>
    <x v="0"/>
    <x v="5"/>
    <x v="1"/>
    <x v="12"/>
    <x v="19"/>
    <x v="54"/>
    <x v="3"/>
    <x v="4"/>
    <x v="125"/>
    <x v="149"/>
    <x v="3"/>
  </r>
  <r>
    <x v="452"/>
    <x v="452"/>
    <x v="0"/>
    <x v="0"/>
    <x v="0"/>
    <x v="21"/>
    <x v="0"/>
    <x v="5"/>
    <x v="1"/>
    <x v="0"/>
    <x v="11"/>
    <x v="54"/>
    <x v="2"/>
    <x v="0"/>
    <x v="25"/>
    <x v="52"/>
    <x v="4"/>
  </r>
  <r>
    <x v="453"/>
    <x v="453"/>
    <x v="0"/>
    <x v="0"/>
    <x v="0"/>
    <x v="22"/>
    <x v="0"/>
    <x v="5"/>
    <x v="1"/>
    <x v="0"/>
    <x v="12"/>
    <x v="55"/>
    <x v="3"/>
    <x v="3"/>
    <x v="90"/>
    <x v="10"/>
    <x v="5"/>
  </r>
  <r>
    <x v="454"/>
    <x v="454"/>
    <x v="0"/>
    <x v="0"/>
    <x v="0"/>
    <x v="23"/>
    <x v="0"/>
    <x v="5"/>
    <x v="1"/>
    <x v="0"/>
    <x v="12"/>
    <x v="55"/>
    <x v="9"/>
    <x v="0"/>
    <x v="95"/>
    <x v="35"/>
    <x v="6"/>
  </r>
  <r>
    <x v="455"/>
    <x v="455"/>
    <x v="0"/>
    <x v="0"/>
    <x v="0"/>
    <x v="0"/>
    <x v="0"/>
    <x v="6"/>
    <x v="1"/>
    <x v="0"/>
    <x v="11"/>
    <x v="56"/>
    <x v="2"/>
    <x v="5"/>
    <x v="32"/>
    <x v="137"/>
    <x v="0"/>
  </r>
  <r>
    <x v="456"/>
    <x v="456"/>
    <x v="0"/>
    <x v="0"/>
    <x v="0"/>
    <x v="1"/>
    <x v="0"/>
    <x v="6"/>
    <x v="1"/>
    <x v="0"/>
    <x v="11"/>
    <x v="56"/>
    <x v="2"/>
    <x v="3"/>
    <x v="8"/>
    <x v="24"/>
    <x v="1"/>
  </r>
  <r>
    <x v="457"/>
    <x v="457"/>
    <x v="0"/>
    <x v="0"/>
    <x v="0"/>
    <x v="2"/>
    <x v="0"/>
    <x v="6"/>
    <x v="2"/>
    <x v="0"/>
    <x v="19"/>
    <x v="2"/>
    <x v="8"/>
    <x v="3"/>
    <x v="6"/>
    <x v="5"/>
    <x v="2"/>
  </r>
  <r>
    <x v="458"/>
    <x v="458"/>
    <x v="0"/>
    <x v="0"/>
    <x v="0"/>
    <x v="3"/>
    <x v="0"/>
    <x v="6"/>
    <x v="2"/>
    <x v="1"/>
    <x v="12"/>
    <x v="1"/>
    <x v="4"/>
    <x v="3"/>
    <x v="4"/>
    <x v="4"/>
    <x v="3"/>
  </r>
  <r>
    <x v="459"/>
    <x v="459"/>
    <x v="0"/>
    <x v="0"/>
    <x v="0"/>
    <x v="4"/>
    <x v="0"/>
    <x v="6"/>
    <x v="1"/>
    <x v="1"/>
    <x v="2"/>
    <x v="9"/>
    <x v="1"/>
    <x v="3"/>
    <x v="4"/>
    <x v="4"/>
    <x v="4"/>
  </r>
  <r>
    <x v="460"/>
    <x v="460"/>
    <x v="0"/>
    <x v="0"/>
    <x v="0"/>
    <x v="5"/>
    <x v="0"/>
    <x v="6"/>
    <x v="0"/>
    <x v="0"/>
    <x v="13"/>
    <x v="54"/>
    <x v="12"/>
    <x v="5"/>
    <x v="22"/>
    <x v="36"/>
    <x v="5"/>
  </r>
  <r>
    <x v="461"/>
    <x v="461"/>
    <x v="0"/>
    <x v="0"/>
    <x v="0"/>
    <x v="6"/>
    <x v="0"/>
    <x v="6"/>
    <x v="0"/>
    <x v="1"/>
    <x v="12"/>
    <x v="28"/>
    <x v="2"/>
    <x v="3"/>
    <x v="2"/>
    <x v="110"/>
    <x v="6"/>
  </r>
  <r>
    <x v="462"/>
    <x v="462"/>
    <x v="0"/>
    <x v="0"/>
    <x v="0"/>
    <x v="7"/>
    <x v="0"/>
    <x v="6"/>
    <x v="0"/>
    <x v="2"/>
    <x v="18"/>
    <x v="33"/>
    <x v="3"/>
    <x v="4"/>
    <x v="43"/>
    <x v="118"/>
    <x v="0"/>
  </r>
  <r>
    <x v="463"/>
    <x v="463"/>
    <x v="0"/>
    <x v="0"/>
    <x v="0"/>
    <x v="8"/>
    <x v="0"/>
    <x v="6"/>
    <x v="0"/>
    <x v="2"/>
    <x v="18"/>
    <x v="19"/>
    <x v="9"/>
    <x v="18"/>
    <x v="135"/>
    <x v="112"/>
    <x v="1"/>
  </r>
  <r>
    <x v="464"/>
    <x v="464"/>
    <x v="0"/>
    <x v="0"/>
    <x v="0"/>
    <x v="9"/>
    <x v="0"/>
    <x v="6"/>
    <x v="0"/>
    <x v="2"/>
    <x v="18"/>
    <x v="33"/>
    <x v="11"/>
    <x v="18"/>
    <x v="136"/>
    <x v="150"/>
    <x v="2"/>
  </r>
  <r>
    <x v="465"/>
    <x v="465"/>
    <x v="0"/>
    <x v="0"/>
    <x v="0"/>
    <x v="10"/>
    <x v="0"/>
    <x v="6"/>
    <x v="0"/>
    <x v="2"/>
    <x v="17"/>
    <x v="19"/>
    <x v="17"/>
    <x v="15"/>
    <x v="77"/>
    <x v="55"/>
    <x v="3"/>
  </r>
  <r>
    <x v="466"/>
    <x v="466"/>
    <x v="0"/>
    <x v="0"/>
    <x v="0"/>
    <x v="11"/>
    <x v="0"/>
    <x v="6"/>
    <x v="0"/>
    <x v="1"/>
    <x v="18"/>
    <x v="48"/>
    <x v="17"/>
    <x v="15"/>
    <x v="42"/>
    <x v="29"/>
    <x v="4"/>
  </r>
  <r>
    <x v="467"/>
    <x v="467"/>
    <x v="0"/>
    <x v="0"/>
    <x v="0"/>
    <x v="12"/>
    <x v="0"/>
    <x v="6"/>
    <x v="0"/>
    <x v="1"/>
    <x v="18"/>
    <x v="57"/>
    <x v="19"/>
    <x v="16"/>
    <x v="28"/>
    <x v="53"/>
    <x v="5"/>
  </r>
  <r>
    <x v="468"/>
    <x v="468"/>
    <x v="0"/>
    <x v="0"/>
    <x v="0"/>
    <x v="13"/>
    <x v="0"/>
    <x v="6"/>
    <x v="0"/>
    <x v="2"/>
    <x v="20"/>
    <x v="58"/>
    <x v="19"/>
    <x v="1"/>
    <x v="65"/>
    <x v="88"/>
    <x v="6"/>
  </r>
  <r>
    <x v="469"/>
    <x v="469"/>
    <x v="0"/>
    <x v="0"/>
    <x v="0"/>
    <x v="14"/>
    <x v="0"/>
    <x v="6"/>
    <x v="0"/>
    <x v="2"/>
    <x v="20"/>
    <x v="59"/>
    <x v="18"/>
    <x v="15"/>
    <x v="90"/>
    <x v="69"/>
    <x v="0"/>
  </r>
  <r>
    <x v="470"/>
    <x v="470"/>
    <x v="0"/>
    <x v="0"/>
    <x v="0"/>
    <x v="15"/>
    <x v="0"/>
    <x v="6"/>
    <x v="0"/>
    <x v="13"/>
    <x v="16"/>
    <x v="60"/>
    <x v="10"/>
    <x v="17"/>
    <x v="124"/>
    <x v="32"/>
    <x v="1"/>
  </r>
  <r>
    <x v="471"/>
    <x v="471"/>
    <x v="0"/>
    <x v="0"/>
    <x v="0"/>
    <x v="16"/>
    <x v="0"/>
    <x v="6"/>
    <x v="0"/>
    <x v="13"/>
    <x v="14"/>
    <x v="60"/>
    <x v="11"/>
    <x v="3"/>
    <x v="106"/>
    <x v="54"/>
    <x v="2"/>
  </r>
  <r>
    <x v="472"/>
    <x v="472"/>
    <x v="0"/>
    <x v="0"/>
    <x v="0"/>
    <x v="17"/>
    <x v="0"/>
    <x v="6"/>
    <x v="0"/>
    <x v="14"/>
    <x v="16"/>
    <x v="40"/>
    <x v="11"/>
    <x v="22"/>
    <x v="137"/>
    <x v="143"/>
    <x v="3"/>
  </r>
  <r>
    <x v="473"/>
    <x v="473"/>
    <x v="0"/>
    <x v="0"/>
    <x v="0"/>
    <x v="18"/>
    <x v="0"/>
    <x v="6"/>
    <x v="0"/>
    <x v="16"/>
    <x v="16"/>
    <x v="24"/>
    <x v="2"/>
    <x v="5"/>
    <x v="138"/>
    <x v="151"/>
    <x v="4"/>
  </r>
  <r>
    <x v="474"/>
    <x v="474"/>
    <x v="0"/>
    <x v="0"/>
    <x v="0"/>
    <x v="19"/>
    <x v="0"/>
    <x v="6"/>
    <x v="0"/>
    <x v="16"/>
    <x v="15"/>
    <x v="24"/>
    <x v="9"/>
    <x v="0"/>
    <x v="139"/>
    <x v="152"/>
    <x v="5"/>
  </r>
  <r>
    <x v="475"/>
    <x v="475"/>
    <x v="0"/>
    <x v="0"/>
    <x v="0"/>
    <x v="20"/>
    <x v="0"/>
    <x v="6"/>
    <x v="0"/>
    <x v="18"/>
    <x v="23"/>
    <x v="39"/>
    <x v="12"/>
    <x v="5"/>
    <x v="15"/>
    <x v="26"/>
    <x v="6"/>
  </r>
  <r>
    <x v="476"/>
    <x v="476"/>
    <x v="0"/>
    <x v="0"/>
    <x v="0"/>
    <x v="21"/>
    <x v="0"/>
    <x v="6"/>
    <x v="0"/>
    <x v="19"/>
    <x v="23"/>
    <x v="41"/>
    <x v="3"/>
    <x v="3"/>
    <x v="40"/>
    <x v="102"/>
    <x v="0"/>
  </r>
  <r>
    <x v="477"/>
    <x v="477"/>
    <x v="0"/>
    <x v="0"/>
    <x v="0"/>
    <x v="22"/>
    <x v="0"/>
    <x v="6"/>
    <x v="0"/>
    <x v="20"/>
    <x v="26"/>
    <x v="48"/>
    <x v="13"/>
    <x v="5"/>
    <x v="39"/>
    <x v="19"/>
    <x v="1"/>
  </r>
  <r>
    <x v="478"/>
    <x v="478"/>
    <x v="0"/>
    <x v="0"/>
    <x v="0"/>
    <x v="23"/>
    <x v="0"/>
    <x v="6"/>
    <x v="0"/>
    <x v="20"/>
    <x v="27"/>
    <x v="41"/>
    <x v="9"/>
    <x v="3"/>
    <x v="2"/>
    <x v="110"/>
    <x v="2"/>
  </r>
  <r>
    <x v="479"/>
    <x v="479"/>
    <x v="0"/>
    <x v="0"/>
    <x v="0"/>
    <x v="0"/>
    <x v="0"/>
    <x v="0"/>
    <x v="0"/>
    <x v="21"/>
    <x v="26"/>
    <x v="49"/>
    <x v="2"/>
    <x v="3"/>
    <x v="0"/>
    <x v="3"/>
    <x v="3"/>
  </r>
  <r>
    <x v="480"/>
    <x v="480"/>
    <x v="0"/>
    <x v="0"/>
    <x v="0"/>
    <x v="1"/>
    <x v="0"/>
    <x v="0"/>
    <x v="1"/>
    <x v="21"/>
    <x v="28"/>
    <x v="48"/>
    <x v="13"/>
    <x v="0"/>
    <x v="33"/>
    <x v="47"/>
    <x v="4"/>
  </r>
  <r>
    <x v="481"/>
    <x v="481"/>
    <x v="0"/>
    <x v="0"/>
    <x v="0"/>
    <x v="2"/>
    <x v="0"/>
    <x v="0"/>
    <x v="1"/>
    <x v="21"/>
    <x v="26"/>
    <x v="48"/>
    <x v="2"/>
    <x v="3"/>
    <x v="48"/>
    <x v="62"/>
    <x v="5"/>
  </r>
  <r>
    <x v="482"/>
    <x v="482"/>
    <x v="0"/>
    <x v="0"/>
    <x v="0"/>
    <x v="3"/>
    <x v="0"/>
    <x v="0"/>
    <x v="1"/>
    <x v="21"/>
    <x v="26"/>
    <x v="48"/>
    <x v="3"/>
    <x v="5"/>
    <x v="8"/>
    <x v="85"/>
    <x v="6"/>
  </r>
  <r>
    <x v="483"/>
    <x v="483"/>
    <x v="0"/>
    <x v="0"/>
    <x v="0"/>
    <x v="4"/>
    <x v="0"/>
    <x v="0"/>
    <x v="1"/>
    <x v="22"/>
    <x v="29"/>
    <x v="37"/>
    <x v="4"/>
    <x v="3"/>
    <x v="35"/>
    <x v="6"/>
    <x v="0"/>
  </r>
  <r>
    <x v="484"/>
    <x v="484"/>
    <x v="0"/>
    <x v="0"/>
    <x v="0"/>
    <x v="6"/>
    <x v="0"/>
    <x v="0"/>
    <x v="1"/>
    <x v="22"/>
    <x v="26"/>
    <x v="18"/>
    <x v="6"/>
    <x v="3"/>
    <x v="6"/>
    <x v="5"/>
    <x v="1"/>
  </r>
  <r>
    <x v="485"/>
    <x v="485"/>
    <x v="0"/>
    <x v="0"/>
    <x v="0"/>
    <x v="7"/>
    <x v="0"/>
    <x v="0"/>
    <x v="0"/>
    <x v="22"/>
    <x v="29"/>
    <x v="18"/>
    <x v="3"/>
    <x v="3"/>
    <x v="21"/>
    <x v="7"/>
    <x v="2"/>
  </r>
  <r>
    <x v="486"/>
    <x v="486"/>
    <x v="0"/>
    <x v="0"/>
    <x v="0"/>
    <x v="8"/>
    <x v="0"/>
    <x v="0"/>
    <x v="0"/>
    <x v="22"/>
    <x v="28"/>
    <x v="18"/>
    <x v="9"/>
    <x v="5"/>
    <x v="16"/>
    <x v="110"/>
    <x v="3"/>
  </r>
  <r>
    <x v="487"/>
    <x v="487"/>
    <x v="0"/>
    <x v="0"/>
    <x v="0"/>
    <x v="9"/>
    <x v="0"/>
    <x v="0"/>
    <x v="0"/>
    <x v="21"/>
    <x v="26"/>
    <x v="48"/>
    <x v="2"/>
    <x v="0"/>
    <x v="53"/>
    <x v="1"/>
    <x v="4"/>
  </r>
  <r>
    <x v="488"/>
    <x v="488"/>
    <x v="0"/>
    <x v="0"/>
    <x v="0"/>
    <x v="10"/>
    <x v="0"/>
    <x v="0"/>
    <x v="1"/>
    <x v="21"/>
    <x v="22"/>
    <x v="48"/>
    <x v="8"/>
    <x v="0"/>
    <x v="54"/>
    <x v="26"/>
    <x v="5"/>
  </r>
  <r>
    <x v="489"/>
    <x v="489"/>
    <x v="0"/>
    <x v="0"/>
    <x v="0"/>
    <x v="11"/>
    <x v="0"/>
    <x v="0"/>
    <x v="1"/>
    <x v="20"/>
    <x v="23"/>
    <x v="41"/>
    <x v="7"/>
    <x v="17"/>
    <x v="79"/>
    <x v="55"/>
    <x v="6"/>
  </r>
  <r>
    <x v="490"/>
    <x v="490"/>
    <x v="0"/>
    <x v="0"/>
    <x v="0"/>
    <x v="12"/>
    <x v="0"/>
    <x v="0"/>
    <x v="1"/>
    <x v="20"/>
    <x v="15"/>
    <x v="41"/>
    <x v="14"/>
    <x v="22"/>
    <x v="91"/>
    <x v="27"/>
    <x v="0"/>
  </r>
  <r>
    <x v="491"/>
    <x v="491"/>
    <x v="0"/>
    <x v="0"/>
    <x v="0"/>
    <x v="13"/>
    <x v="0"/>
    <x v="0"/>
    <x v="0"/>
    <x v="19"/>
    <x v="17"/>
    <x v="23"/>
    <x v="0"/>
    <x v="6"/>
    <x v="109"/>
    <x v="11"/>
    <x v="1"/>
  </r>
  <r>
    <x v="492"/>
    <x v="492"/>
    <x v="0"/>
    <x v="0"/>
    <x v="0"/>
    <x v="14"/>
    <x v="0"/>
    <x v="0"/>
    <x v="0"/>
    <x v="18"/>
    <x v="14"/>
    <x v="39"/>
    <x v="14"/>
    <x v="16"/>
    <x v="27"/>
    <x v="28"/>
    <x v="2"/>
  </r>
  <r>
    <x v="493"/>
    <x v="493"/>
    <x v="0"/>
    <x v="0"/>
    <x v="0"/>
    <x v="15"/>
    <x v="0"/>
    <x v="0"/>
    <x v="0"/>
    <x v="16"/>
    <x v="20"/>
    <x v="40"/>
    <x v="0"/>
    <x v="22"/>
    <x v="139"/>
    <x v="153"/>
    <x v="3"/>
  </r>
  <r>
    <x v="494"/>
    <x v="494"/>
    <x v="0"/>
    <x v="0"/>
    <x v="0"/>
    <x v="16"/>
    <x v="0"/>
    <x v="0"/>
    <x v="0"/>
    <x v="16"/>
    <x v="14"/>
    <x v="40"/>
    <x v="5"/>
    <x v="16"/>
    <x v="109"/>
    <x v="56"/>
    <x v="4"/>
  </r>
  <r>
    <x v="495"/>
    <x v="495"/>
    <x v="0"/>
    <x v="0"/>
    <x v="0"/>
    <x v="17"/>
    <x v="0"/>
    <x v="0"/>
    <x v="0"/>
    <x v="16"/>
    <x v="13"/>
    <x v="40"/>
    <x v="0"/>
    <x v="1"/>
    <x v="79"/>
    <x v="16"/>
    <x v="5"/>
  </r>
  <r>
    <x v="496"/>
    <x v="496"/>
    <x v="0"/>
    <x v="0"/>
    <x v="0"/>
    <x v="18"/>
    <x v="0"/>
    <x v="0"/>
    <x v="0"/>
    <x v="19"/>
    <x v="24"/>
    <x v="23"/>
    <x v="5"/>
    <x v="3"/>
    <x v="25"/>
    <x v="60"/>
    <x v="6"/>
  </r>
  <r>
    <x v="497"/>
    <x v="497"/>
    <x v="0"/>
    <x v="0"/>
    <x v="0"/>
    <x v="19"/>
    <x v="0"/>
    <x v="0"/>
    <x v="0"/>
    <x v="19"/>
    <x v="15"/>
    <x v="23"/>
    <x v="7"/>
    <x v="15"/>
    <x v="42"/>
    <x v="29"/>
    <x v="0"/>
  </r>
  <r>
    <x v="498"/>
    <x v="498"/>
    <x v="0"/>
    <x v="0"/>
    <x v="0"/>
    <x v="20"/>
    <x v="0"/>
    <x v="0"/>
    <x v="0"/>
    <x v="20"/>
    <x v="23"/>
    <x v="49"/>
    <x v="8"/>
    <x v="5"/>
    <x v="100"/>
    <x v="79"/>
    <x v="1"/>
  </r>
  <r>
    <x v="499"/>
    <x v="499"/>
    <x v="0"/>
    <x v="0"/>
    <x v="0"/>
    <x v="21"/>
    <x v="0"/>
    <x v="0"/>
    <x v="0"/>
    <x v="20"/>
    <x v="15"/>
    <x v="48"/>
    <x v="1"/>
    <x v="3"/>
    <x v="87"/>
    <x v="21"/>
    <x v="2"/>
  </r>
  <r>
    <x v="500"/>
    <x v="500"/>
    <x v="0"/>
    <x v="0"/>
    <x v="0"/>
    <x v="22"/>
    <x v="0"/>
    <x v="0"/>
    <x v="0"/>
    <x v="20"/>
    <x v="20"/>
    <x v="36"/>
    <x v="0"/>
    <x v="18"/>
    <x v="140"/>
    <x v="33"/>
    <x v="3"/>
  </r>
  <r>
    <x v="501"/>
    <x v="501"/>
    <x v="0"/>
    <x v="0"/>
    <x v="0"/>
    <x v="23"/>
    <x v="0"/>
    <x v="0"/>
    <x v="0"/>
    <x v="21"/>
    <x v="23"/>
    <x v="14"/>
    <x v="14"/>
    <x v="4"/>
    <x v="17"/>
    <x v="63"/>
    <x v="4"/>
  </r>
  <r>
    <x v="502"/>
    <x v="502"/>
    <x v="0"/>
    <x v="0"/>
    <x v="0"/>
    <x v="0"/>
    <x v="0"/>
    <x v="1"/>
    <x v="0"/>
    <x v="21"/>
    <x v="23"/>
    <x v="14"/>
    <x v="14"/>
    <x v="4"/>
    <x v="32"/>
    <x v="34"/>
    <x v="5"/>
  </r>
  <r>
    <x v="503"/>
    <x v="503"/>
    <x v="0"/>
    <x v="0"/>
    <x v="0"/>
    <x v="1"/>
    <x v="0"/>
    <x v="1"/>
    <x v="0"/>
    <x v="21"/>
    <x v="23"/>
    <x v="14"/>
    <x v="14"/>
    <x v="5"/>
    <x v="98"/>
    <x v="3"/>
    <x v="6"/>
  </r>
  <r>
    <x v="504"/>
    <x v="504"/>
    <x v="0"/>
    <x v="0"/>
    <x v="0"/>
    <x v="2"/>
    <x v="0"/>
    <x v="1"/>
    <x v="0"/>
    <x v="22"/>
    <x v="22"/>
    <x v="51"/>
    <x v="7"/>
    <x v="0"/>
    <x v="89"/>
    <x v="109"/>
    <x v="0"/>
  </r>
  <r>
    <x v="505"/>
    <x v="505"/>
    <x v="0"/>
    <x v="0"/>
    <x v="0"/>
    <x v="3"/>
    <x v="0"/>
    <x v="1"/>
    <x v="0"/>
    <x v="22"/>
    <x v="22"/>
    <x v="51"/>
    <x v="7"/>
    <x v="5"/>
    <x v="22"/>
    <x v="36"/>
    <x v="1"/>
  </r>
  <r>
    <x v="506"/>
    <x v="506"/>
    <x v="0"/>
    <x v="0"/>
    <x v="0"/>
    <x v="5"/>
    <x v="0"/>
    <x v="1"/>
    <x v="1"/>
    <x v="21"/>
    <x v="23"/>
    <x v="14"/>
    <x v="14"/>
    <x v="3"/>
    <x v="35"/>
    <x v="6"/>
    <x v="2"/>
  </r>
  <r>
    <x v="507"/>
    <x v="507"/>
    <x v="0"/>
    <x v="0"/>
    <x v="0"/>
    <x v="6"/>
    <x v="0"/>
    <x v="1"/>
    <x v="1"/>
    <x v="21"/>
    <x v="23"/>
    <x v="14"/>
    <x v="14"/>
    <x v="3"/>
    <x v="4"/>
    <x v="4"/>
    <x v="3"/>
  </r>
  <r>
    <x v="508"/>
    <x v="508"/>
    <x v="0"/>
    <x v="0"/>
    <x v="0"/>
    <x v="7"/>
    <x v="0"/>
    <x v="1"/>
    <x v="0"/>
    <x v="19"/>
    <x v="15"/>
    <x v="52"/>
    <x v="8"/>
    <x v="5"/>
    <x v="4"/>
    <x v="5"/>
    <x v="4"/>
  </r>
  <r>
    <x v="509"/>
    <x v="509"/>
    <x v="0"/>
    <x v="0"/>
    <x v="0"/>
    <x v="8"/>
    <x v="0"/>
    <x v="1"/>
    <x v="0"/>
    <x v="20"/>
    <x v="23"/>
    <x v="51"/>
    <x v="8"/>
    <x v="4"/>
    <x v="19"/>
    <x v="75"/>
    <x v="5"/>
  </r>
  <r>
    <x v="510"/>
    <x v="510"/>
    <x v="0"/>
    <x v="0"/>
    <x v="0"/>
    <x v="9"/>
    <x v="0"/>
    <x v="1"/>
    <x v="0"/>
    <x v="18"/>
    <x v="23"/>
    <x v="47"/>
    <x v="11"/>
    <x v="0"/>
    <x v="18"/>
    <x v="20"/>
    <x v="6"/>
  </r>
  <r>
    <x v="511"/>
    <x v="511"/>
    <x v="0"/>
    <x v="0"/>
    <x v="0"/>
    <x v="10"/>
    <x v="0"/>
    <x v="1"/>
    <x v="0"/>
    <x v="14"/>
    <x v="15"/>
    <x v="15"/>
    <x v="13"/>
    <x v="18"/>
    <x v="82"/>
    <x v="154"/>
    <x v="0"/>
  </r>
  <r>
    <x v="512"/>
    <x v="512"/>
    <x v="0"/>
    <x v="0"/>
    <x v="0"/>
    <x v="11"/>
    <x v="0"/>
    <x v="1"/>
    <x v="0"/>
    <x v="14"/>
    <x v="14"/>
    <x v="21"/>
    <x v="6"/>
    <x v="30"/>
    <x v="99"/>
    <x v="111"/>
    <x v="1"/>
  </r>
  <r>
    <x v="513"/>
    <x v="513"/>
    <x v="0"/>
    <x v="0"/>
    <x v="0"/>
    <x v="12"/>
    <x v="0"/>
    <x v="1"/>
    <x v="0"/>
    <x v="13"/>
    <x v="16"/>
    <x v="38"/>
    <x v="17"/>
    <x v="31"/>
    <x v="50"/>
    <x v="155"/>
    <x v="2"/>
  </r>
  <r>
    <x v="514"/>
    <x v="514"/>
    <x v="0"/>
    <x v="0"/>
    <x v="0"/>
    <x v="13"/>
    <x v="0"/>
    <x v="1"/>
    <x v="0"/>
    <x v="14"/>
    <x v="15"/>
    <x v="39"/>
    <x v="13"/>
    <x v="6"/>
    <x v="102"/>
    <x v="90"/>
    <x v="3"/>
  </r>
  <r>
    <x v="515"/>
    <x v="515"/>
    <x v="0"/>
    <x v="0"/>
    <x v="0"/>
    <x v="14"/>
    <x v="0"/>
    <x v="1"/>
    <x v="0"/>
    <x v="13"/>
    <x v="14"/>
    <x v="40"/>
    <x v="11"/>
    <x v="26"/>
    <x v="139"/>
    <x v="14"/>
    <x v="4"/>
  </r>
  <r>
    <x v="516"/>
    <x v="516"/>
    <x v="0"/>
    <x v="0"/>
    <x v="0"/>
    <x v="15"/>
    <x v="0"/>
    <x v="1"/>
    <x v="0"/>
    <x v="13"/>
    <x v="14"/>
    <x v="40"/>
    <x v="11"/>
    <x v="23"/>
    <x v="27"/>
    <x v="43"/>
    <x v="5"/>
  </r>
  <r>
    <x v="517"/>
    <x v="517"/>
    <x v="0"/>
    <x v="0"/>
    <x v="0"/>
    <x v="16"/>
    <x v="0"/>
    <x v="1"/>
    <x v="0"/>
    <x v="13"/>
    <x v="14"/>
    <x v="60"/>
    <x v="9"/>
    <x v="14"/>
    <x v="90"/>
    <x v="32"/>
    <x v="6"/>
  </r>
  <r>
    <x v="518"/>
    <x v="518"/>
    <x v="0"/>
    <x v="0"/>
    <x v="0"/>
    <x v="17"/>
    <x v="0"/>
    <x v="1"/>
    <x v="0"/>
    <x v="14"/>
    <x v="15"/>
    <x v="60"/>
    <x v="13"/>
    <x v="2"/>
    <x v="54"/>
    <x v="97"/>
    <x v="0"/>
  </r>
  <r>
    <x v="519"/>
    <x v="519"/>
    <x v="0"/>
    <x v="0"/>
    <x v="0"/>
    <x v="18"/>
    <x v="0"/>
    <x v="1"/>
    <x v="0"/>
    <x v="16"/>
    <x v="16"/>
    <x v="24"/>
    <x v="2"/>
    <x v="2"/>
    <x v="100"/>
    <x v="99"/>
    <x v="1"/>
  </r>
  <r>
    <x v="520"/>
    <x v="520"/>
    <x v="0"/>
    <x v="0"/>
    <x v="0"/>
    <x v="19"/>
    <x v="0"/>
    <x v="1"/>
    <x v="0"/>
    <x v="16"/>
    <x v="16"/>
    <x v="24"/>
    <x v="3"/>
    <x v="2"/>
    <x v="108"/>
    <x v="89"/>
    <x v="2"/>
  </r>
  <r>
    <x v="521"/>
    <x v="521"/>
    <x v="0"/>
    <x v="0"/>
    <x v="0"/>
    <x v="20"/>
    <x v="0"/>
    <x v="1"/>
    <x v="0"/>
    <x v="18"/>
    <x v="15"/>
    <x v="42"/>
    <x v="2"/>
    <x v="17"/>
    <x v="17"/>
    <x v="17"/>
    <x v="3"/>
  </r>
  <r>
    <x v="522"/>
    <x v="522"/>
    <x v="0"/>
    <x v="0"/>
    <x v="0"/>
    <x v="21"/>
    <x v="0"/>
    <x v="1"/>
    <x v="0"/>
    <x v="18"/>
    <x v="15"/>
    <x v="42"/>
    <x v="5"/>
    <x v="2"/>
    <x v="32"/>
    <x v="94"/>
    <x v="4"/>
  </r>
  <r>
    <x v="523"/>
    <x v="523"/>
    <x v="0"/>
    <x v="0"/>
    <x v="0"/>
    <x v="22"/>
    <x v="0"/>
    <x v="1"/>
    <x v="0"/>
    <x v="19"/>
    <x v="24"/>
    <x v="41"/>
    <x v="5"/>
    <x v="2"/>
    <x v="140"/>
    <x v="20"/>
    <x v="5"/>
  </r>
  <r>
    <x v="524"/>
    <x v="524"/>
    <x v="0"/>
    <x v="0"/>
    <x v="0"/>
    <x v="23"/>
    <x v="0"/>
    <x v="1"/>
    <x v="0"/>
    <x v="20"/>
    <x v="22"/>
    <x v="48"/>
    <x v="6"/>
    <x v="17"/>
    <x v="19"/>
    <x v="137"/>
    <x v="6"/>
  </r>
  <r>
    <x v="525"/>
    <x v="525"/>
    <x v="0"/>
    <x v="0"/>
    <x v="0"/>
    <x v="0"/>
    <x v="0"/>
    <x v="2"/>
    <x v="0"/>
    <x v="20"/>
    <x v="22"/>
    <x v="48"/>
    <x v="5"/>
    <x v="3"/>
    <x v="7"/>
    <x v="85"/>
    <x v="0"/>
  </r>
  <r>
    <x v="526"/>
    <x v="526"/>
    <x v="0"/>
    <x v="0"/>
    <x v="0"/>
    <x v="1"/>
    <x v="0"/>
    <x v="2"/>
    <x v="0"/>
    <x v="21"/>
    <x v="27"/>
    <x v="49"/>
    <x v="5"/>
    <x v="3"/>
    <x v="4"/>
    <x v="4"/>
    <x v="1"/>
  </r>
  <r>
    <x v="527"/>
    <x v="527"/>
    <x v="0"/>
    <x v="0"/>
    <x v="0"/>
    <x v="3"/>
    <x v="0"/>
    <x v="2"/>
    <x v="0"/>
    <x v="21"/>
    <x v="26"/>
    <x v="49"/>
    <x v="2"/>
    <x v="3"/>
    <x v="4"/>
    <x v="4"/>
    <x v="2"/>
  </r>
  <r>
    <x v="528"/>
    <x v="528"/>
    <x v="0"/>
    <x v="0"/>
    <x v="0"/>
    <x v="4"/>
    <x v="0"/>
    <x v="2"/>
    <x v="0"/>
    <x v="22"/>
    <x v="22"/>
    <x v="37"/>
    <x v="7"/>
    <x v="3"/>
    <x v="4"/>
    <x v="4"/>
    <x v="3"/>
  </r>
  <r>
    <x v="529"/>
    <x v="529"/>
    <x v="0"/>
    <x v="0"/>
    <x v="0"/>
    <x v="5"/>
    <x v="0"/>
    <x v="2"/>
    <x v="0"/>
    <x v="22"/>
    <x v="22"/>
    <x v="37"/>
    <x v="7"/>
    <x v="3"/>
    <x v="34"/>
    <x v="36"/>
    <x v="4"/>
  </r>
  <r>
    <x v="530"/>
    <x v="530"/>
    <x v="0"/>
    <x v="0"/>
    <x v="0"/>
    <x v="6"/>
    <x v="0"/>
    <x v="2"/>
    <x v="0"/>
    <x v="22"/>
    <x v="23"/>
    <x v="37"/>
    <x v="1"/>
    <x v="3"/>
    <x v="89"/>
    <x v="93"/>
    <x v="5"/>
  </r>
  <r>
    <x v="531"/>
    <x v="531"/>
    <x v="0"/>
    <x v="0"/>
    <x v="0"/>
    <x v="7"/>
    <x v="0"/>
    <x v="2"/>
    <x v="0"/>
    <x v="22"/>
    <x v="16"/>
    <x v="37"/>
    <x v="0"/>
    <x v="2"/>
    <x v="55"/>
    <x v="11"/>
    <x v="6"/>
  </r>
  <r>
    <x v="532"/>
    <x v="532"/>
    <x v="0"/>
    <x v="0"/>
    <x v="0"/>
    <x v="8"/>
    <x v="0"/>
    <x v="2"/>
    <x v="0"/>
    <x v="21"/>
    <x v="14"/>
    <x v="36"/>
    <x v="0"/>
    <x v="15"/>
    <x v="141"/>
    <x v="156"/>
    <x v="0"/>
  </r>
  <r>
    <x v="533"/>
    <x v="533"/>
    <x v="0"/>
    <x v="0"/>
    <x v="0"/>
    <x v="9"/>
    <x v="0"/>
    <x v="2"/>
    <x v="0"/>
    <x v="20"/>
    <x v="20"/>
    <x v="48"/>
    <x v="0"/>
    <x v="17"/>
    <x v="52"/>
    <x v="96"/>
    <x v="1"/>
  </r>
  <r>
    <x v="534"/>
    <x v="534"/>
    <x v="0"/>
    <x v="0"/>
    <x v="0"/>
    <x v="10"/>
    <x v="0"/>
    <x v="2"/>
    <x v="0"/>
    <x v="18"/>
    <x v="14"/>
    <x v="16"/>
    <x v="0"/>
    <x v="15"/>
    <x v="60"/>
    <x v="1"/>
    <x v="2"/>
  </r>
  <r>
    <x v="535"/>
    <x v="535"/>
    <x v="0"/>
    <x v="0"/>
    <x v="0"/>
    <x v="11"/>
    <x v="0"/>
    <x v="2"/>
    <x v="0"/>
    <x v="18"/>
    <x v="16"/>
    <x v="15"/>
    <x v="7"/>
    <x v="0"/>
    <x v="30"/>
    <x v="66"/>
    <x v="3"/>
  </r>
  <r>
    <x v="536"/>
    <x v="536"/>
    <x v="0"/>
    <x v="0"/>
    <x v="0"/>
    <x v="12"/>
    <x v="0"/>
    <x v="2"/>
    <x v="1"/>
    <x v="16"/>
    <x v="14"/>
    <x v="16"/>
    <x v="5"/>
    <x v="16"/>
    <x v="15"/>
    <x v="55"/>
    <x v="4"/>
  </r>
  <r>
    <x v="537"/>
    <x v="537"/>
    <x v="0"/>
    <x v="0"/>
    <x v="0"/>
    <x v="13"/>
    <x v="0"/>
    <x v="2"/>
    <x v="1"/>
    <x v="14"/>
    <x v="14"/>
    <x v="21"/>
    <x v="6"/>
    <x v="15"/>
    <x v="25"/>
    <x v="122"/>
    <x v="5"/>
  </r>
  <r>
    <x v="538"/>
    <x v="538"/>
    <x v="0"/>
    <x v="0"/>
    <x v="0"/>
    <x v="14"/>
    <x v="0"/>
    <x v="2"/>
    <x v="1"/>
    <x v="14"/>
    <x v="14"/>
    <x v="15"/>
    <x v="6"/>
    <x v="4"/>
    <x v="30"/>
    <x v="79"/>
    <x v="6"/>
  </r>
  <r>
    <x v="539"/>
    <x v="539"/>
    <x v="0"/>
    <x v="0"/>
    <x v="0"/>
    <x v="15"/>
    <x v="0"/>
    <x v="2"/>
    <x v="0"/>
    <x v="13"/>
    <x v="17"/>
    <x v="22"/>
    <x v="8"/>
    <x v="18"/>
    <x v="54"/>
    <x v="52"/>
    <x v="0"/>
  </r>
  <r>
    <x v="540"/>
    <x v="540"/>
    <x v="0"/>
    <x v="0"/>
    <x v="0"/>
    <x v="16"/>
    <x v="0"/>
    <x v="2"/>
    <x v="0"/>
    <x v="13"/>
    <x v="20"/>
    <x v="19"/>
    <x v="2"/>
    <x v="17"/>
    <x v="43"/>
    <x v="27"/>
    <x v="1"/>
  </r>
  <r>
    <x v="541"/>
    <x v="541"/>
    <x v="0"/>
    <x v="0"/>
    <x v="0"/>
    <x v="17"/>
    <x v="0"/>
    <x v="2"/>
    <x v="0"/>
    <x v="14"/>
    <x v="16"/>
    <x v="20"/>
    <x v="2"/>
    <x v="15"/>
    <x v="86"/>
    <x v="157"/>
    <x v="2"/>
  </r>
  <r>
    <x v="542"/>
    <x v="542"/>
    <x v="0"/>
    <x v="0"/>
    <x v="0"/>
    <x v="18"/>
    <x v="0"/>
    <x v="2"/>
    <x v="0"/>
    <x v="14"/>
    <x v="14"/>
    <x v="29"/>
    <x v="5"/>
    <x v="1"/>
    <x v="142"/>
    <x v="158"/>
    <x v="3"/>
  </r>
  <r>
    <x v="543"/>
    <x v="543"/>
    <x v="0"/>
    <x v="0"/>
    <x v="0"/>
    <x v="19"/>
    <x v="0"/>
    <x v="2"/>
    <x v="0"/>
    <x v="14"/>
    <x v="20"/>
    <x v="47"/>
    <x v="8"/>
    <x v="2"/>
    <x v="143"/>
    <x v="13"/>
    <x v="4"/>
  </r>
  <r>
    <x v="544"/>
    <x v="544"/>
    <x v="0"/>
    <x v="0"/>
    <x v="0"/>
    <x v="20"/>
    <x v="0"/>
    <x v="2"/>
    <x v="0"/>
    <x v="14"/>
    <x v="14"/>
    <x v="29"/>
    <x v="5"/>
    <x v="5"/>
    <x v="122"/>
    <x v="117"/>
    <x v="5"/>
  </r>
  <r>
    <x v="545"/>
    <x v="545"/>
    <x v="0"/>
    <x v="0"/>
    <x v="0"/>
    <x v="21"/>
    <x v="0"/>
    <x v="2"/>
    <x v="0"/>
    <x v="14"/>
    <x v="20"/>
    <x v="30"/>
    <x v="8"/>
    <x v="15"/>
    <x v="42"/>
    <x v="29"/>
    <x v="6"/>
  </r>
  <r>
    <x v="546"/>
    <x v="546"/>
    <x v="0"/>
    <x v="0"/>
    <x v="0"/>
    <x v="22"/>
    <x v="0"/>
    <x v="2"/>
    <x v="1"/>
    <x v="14"/>
    <x v="14"/>
    <x v="30"/>
    <x v="6"/>
    <x v="0"/>
    <x v="1"/>
    <x v="17"/>
    <x v="0"/>
  </r>
  <r>
    <x v="547"/>
    <x v="547"/>
    <x v="0"/>
    <x v="0"/>
    <x v="0"/>
    <x v="23"/>
    <x v="0"/>
    <x v="2"/>
    <x v="1"/>
    <x v="13"/>
    <x v="20"/>
    <x v="26"/>
    <x v="2"/>
    <x v="0"/>
    <x v="144"/>
    <x v="108"/>
    <x v="1"/>
  </r>
  <r>
    <x v="548"/>
    <x v="548"/>
    <x v="0"/>
    <x v="0"/>
    <x v="0"/>
    <x v="0"/>
    <x v="0"/>
    <x v="3"/>
    <x v="1"/>
    <x v="13"/>
    <x v="14"/>
    <x v="27"/>
    <x v="3"/>
    <x v="0"/>
    <x v="8"/>
    <x v="23"/>
    <x v="2"/>
  </r>
  <r>
    <x v="549"/>
    <x v="549"/>
    <x v="0"/>
    <x v="0"/>
    <x v="0"/>
    <x v="1"/>
    <x v="0"/>
    <x v="3"/>
    <x v="1"/>
    <x v="13"/>
    <x v="17"/>
    <x v="27"/>
    <x v="8"/>
    <x v="3"/>
    <x v="34"/>
    <x v="36"/>
    <x v="3"/>
  </r>
  <r>
    <x v="550"/>
    <x v="550"/>
    <x v="0"/>
    <x v="0"/>
    <x v="0"/>
    <x v="2"/>
    <x v="0"/>
    <x v="3"/>
    <x v="0"/>
    <x v="13"/>
    <x v="20"/>
    <x v="27"/>
    <x v="6"/>
    <x v="3"/>
    <x v="6"/>
    <x v="5"/>
    <x v="4"/>
  </r>
  <r>
    <x v="551"/>
    <x v="551"/>
    <x v="0"/>
    <x v="0"/>
    <x v="0"/>
    <x v="4"/>
    <x v="0"/>
    <x v="3"/>
    <x v="0"/>
    <x v="14"/>
    <x v="17"/>
    <x v="32"/>
    <x v="14"/>
    <x v="3"/>
    <x v="4"/>
    <x v="4"/>
    <x v="5"/>
  </r>
  <r>
    <x v="552"/>
    <x v="552"/>
    <x v="0"/>
    <x v="0"/>
    <x v="0"/>
    <x v="5"/>
    <x v="0"/>
    <x v="3"/>
    <x v="0"/>
    <x v="14"/>
    <x v="14"/>
    <x v="32"/>
    <x v="6"/>
    <x v="3"/>
    <x v="33"/>
    <x v="23"/>
    <x v="6"/>
  </r>
  <r>
    <x v="553"/>
    <x v="553"/>
    <x v="0"/>
    <x v="0"/>
    <x v="0"/>
    <x v="6"/>
    <x v="0"/>
    <x v="3"/>
    <x v="0"/>
    <x v="13"/>
    <x v="18"/>
    <x v="32"/>
    <x v="14"/>
    <x v="5"/>
    <x v="96"/>
    <x v="9"/>
    <x v="0"/>
  </r>
  <r>
    <x v="554"/>
    <x v="554"/>
    <x v="0"/>
    <x v="0"/>
    <x v="0"/>
    <x v="7"/>
    <x v="0"/>
    <x v="3"/>
    <x v="0"/>
    <x v="13"/>
    <x v="20"/>
    <x v="32"/>
    <x v="6"/>
    <x v="2"/>
    <x v="145"/>
    <x v="159"/>
    <x v="1"/>
  </r>
  <r>
    <x v="555"/>
    <x v="555"/>
    <x v="0"/>
    <x v="0"/>
    <x v="0"/>
    <x v="8"/>
    <x v="0"/>
    <x v="3"/>
    <x v="1"/>
    <x v="13"/>
    <x v="18"/>
    <x v="32"/>
    <x v="7"/>
    <x v="2"/>
    <x v="146"/>
    <x v="160"/>
    <x v="2"/>
  </r>
  <r>
    <x v="556"/>
    <x v="556"/>
    <x v="0"/>
    <x v="0"/>
    <x v="0"/>
    <x v="9"/>
    <x v="0"/>
    <x v="3"/>
    <x v="1"/>
    <x v="2"/>
    <x v="11"/>
    <x v="26"/>
    <x v="1"/>
    <x v="22"/>
    <x v="120"/>
    <x v="124"/>
    <x v="3"/>
  </r>
  <r>
    <x v="557"/>
    <x v="557"/>
    <x v="0"/>
    <x v="0"/>
    <x v="0"/>
    <x v="10"/>
    <x v="0"/>
    <x v="3"/>
    <x v="1"/>
    <x v="1"/>
    <x v="19"/>
    <x v="54"/>
    <x v="14"/>
    <x v="15"/>
    <x v="47"/>
    <x v="97"/>
    <x v="4"/>
  </r>
  <r>
    <x v="558"/>
    <x v="558"/>
    <x v="0"/>
    <x v="0"/>
    <x v="0"/>
    <x v="11"/>
    <x v="0"/>
    <x v="3"/>
    <x v="1"/>
    <x v="0"/>
    <x v="19"/>
    <x v="54"/>
    <x v="7"/>
    <x v="15"/>
    <x v="11"/>
    <x v="42"/>
    <x v="5"/>
  </r>
  <r>
    <x v="559"/>
    <x v="559"/>
    <x v="0"/>
    <x v="0"/>
    <x v="0"/>
    <x v="12"/>
    <x v="0"/>
    <x v="3"/>
    <x v="1"/>
    <x v="12"/>
    <x v="0"/>
    <x v="34"/>
    <x v="1"/>
    <x v="27"/>
    <x v="66"/>
    <x v="13"/>
    <x v="6"/>
  </r>
  <r>
    <x v="560"/>
    <x v="560"/>
    <x v="0"/>
    <x v="0"/>
    <x v="0"/>
    <x v="13"/>
    <x v="0"/>
    <x v="3"/>
    <x v="1"/>
    <x v="12"/>
    <x v="1"/>
    <x v="34"/>
    <x v="7"/>
    <x v="27"/>
    <x v="109"/>
    <x v="15"/>
    <x v="0"/>
  </r>
  <r>
    <x v="561"/>
    <x v="561"/>
    <x v="0"/>
    <x v="0"/>
    <x v="0"/>
    <x v="14"/>
    <x v="0"/>
    <x v="3"/>
    <x v="1"/>
    <x v="11"/>
    <x v="6"/>
    <x v="49"/>
    <x v="0"/>
    <x v="16"/>
    <x v="77"/>
    <x v="118"/>
    <x v="1"/>
  </r>
  <r>
    <x v="562"/>
    <x v="562"/>
    <x v="0"/>
    <x v="0"/>
    <x v="0"/>
    <x v="15"/>
    <x v="0"/>
    <x v="3"/>
    <x v="1"/>
    <x v="3"/>
    <x v="4"/>
    <x v="16"/>
    <x v="0"/>
    <x v="27"/>
    <x v="36"/>
    <x v="11"/>
    <x v="2"/>
  </r>
  <r>
    <x v="563"/>
    <x v="563"/>
    <x v="0"/>
    <x v="0"/>
    <x v="0"/>
    <x v="16"/>
    <x v="0"/>
    <x v="3"/>
    <x v="1"/>
    <x v="3"/>
    <x v="4"/>
    <x v="16"/>
    <x v="0"/>
    <x v="24"/>
    <x v="46"/>
    <x v="155"/>
    <x v="3"/>
  </r>
  <r>
    <x v="564"/>
    <x v="564"/>
    <x v="0"/>
    <x v="0"/>
    <x v="0"/>
    <x v="17"/>
    <x v="0"/>
    <x v="3"/>
    <x v="0"/>
    <x v="11"/>
    <x v="6"/>
    <x v="49"/>
    <x v="0"/>
    <x v="24"/>
    <x v="147"/>
    <x v="161"/>
    <x v="4"/>
  </r>
  <r>
    <x v="565"/>
    <x v="565"/>
    <x v="0"/>
    <x v="0"/>
    <x v="0"/>
    <x v="18"/>
    <x v="0"/>
    <x v="3"/>
    <x v="1"/>
    <x v="11"/>
    <x v="21"/>
    <x v="36"/>
    <x v="1"/>
    <x v="18"/>
    <x v="148"/>
    <x v="162"/>
    <x v="5"/>
  </r>
  <r>
    <x v="566"/>
    <x v="566"/>
    <x v="0"/>
    <x v="0"/>
    <x v="0"/>
    <x v="19"/>
    <x v="0"/>
    <x v="3"/>
    <x v="1"/>
    <x v="12"/>
    <x v="2"/>
    <x v="55"/>
    <x v="8"/>
    <x v="23"/>
    <x v="149"/>
    <x v="163"/>
    <x v="6"/>
  </r>
  <r>
    <x v="567"/>
    <x v="567"/>
    <x v="0"/>
    <x v="0"/>
    <x v="0"/>
    <x v="20"/>
    <x v="0"/>
    <x v="3"/>
    <x v="0"/>
    <x v="0"/>
    <x v="11"/>
    <x v="55"/>
    <x v="5"/>
    <x v="19"/>
    <x v="145"/>
    <x v="164"/>
    <x v="0"/>
  </r>
  <r>
    <x v="568"/>
    <x v="568"/>
    <x v="0"/>
    <x v="0"/>
    <x v="0"/>
    <x v="21"/>
    <x v="0"/>
    <x v="3"/>
    <x v="0"/>
    <x v="0"/>
    <x v="11"/>
    <x v="55"/>
    <x v="5"/>
    <x v="2"/>
    <x v="71"/>
    <x v="79"/>
    <x v="1"/>
  </r>
  <r>
    <x v="569"/>
    <x v="569"/>
    <x v="0"/>
    <x v="0"/>
    <x v="0"/>
    <x v="22"/>
    <x v="0"/>
    <x v="3"/>
    <x v="0"/>
    <x v="1"/>
    <x v="11"/>
    <x v="26"/>
    <x v="8"/>
    <x v="17"/>
    <x v="47"/>
    <x v="26"/>
    <x v="2"/>
  </r>
  <r>
    <x v="570"/>
    <x v="570"/>
    <x v="0"/>
    <x v="0"/>
    <x v="0"/>
    <x v="23"/>
    <x v="0"/>
    <x v="3"/>
    <x v="1"/>
    <x v="1"/>
    <x v="11"/>
    <x v="26"/>
    <x v="8"/>
    <x v="0"/>
    <x v="53"/>
    <x v="1"/>
    <x v="3"/>
  </r>
  <r>
    <x v="571"/>
    <x v="571"/>
    <x v="0"/>
    <x v="0"/>
    <x v="0"/>
    <x v="0"/>
    <x v="0"/>
    <x v="4"/>
    <x v="1"/>
    <x v="1"/>
    <x v="11"/>
    <x v="27"/>
    <x v="7"/>
    <x v="0"/>
    <x v="88"/>
    <x v="22"/>
    <x v="4"/>
  </r>
  <r>
    <x v="572"/>
    <x v="572"/>
    <x v="0"/>
    <x v="0"/>
    <x v="0"/>
    <x v="1"/>
    <x v="0"/>
    <x v="4"/>
    <x v="1"/>
    <x v="0"/>
    <x v="19"/>
    <x v="55"/>
    <x v="7"/>
    <x v="3"/>
    <x v="34"/>
    <x v="36"/>
    <x v="5"/>
  </r>
  <r>
    <x v="573"/>
    <x v="573"/>
    <x v="0"/>
    <x v="0"/>
    <x v="0"/>
    <x v="2"/>
    <x v="0"/>
    <x v="4"/>
    <x v="2"/>
    <x v="1"/>
    <x v="11"/>
    <x v="27"/>
    <x v="5"/>
    <x v="0"/>
    <x v="7"/>
    <x v="98"/>
    <x v="6"/>
  </r>
  <r>
    <x v="574"/>
    <x v="574"/>
    <x v="0"/>
    <x v="0"/>
    <x v="0"/>
    <x v="5"/>
    <x v="0"/>
    <x v="4"/>
    <x v="2"/>
    <x v="2"/>
    <x v="18"/>
    <x v="3"/>
    <x v="3"/>
    <x v="3"/>
    <x v="4"/>
    <x v="4"/>
    <x v="0"/>
  </r>
  <r>
    <x v="575"/>
    <x v="575"/>
    <x v="0"/>
    <x v="0"/>
    <x v="0"/>
    <x v="6"/>
    <x v="0"/>
    <x v="4"/>
    <x v="2"/>
    <x v="2"/>
    <x v="18"/>
    <x v="3"/>
    <x v="3"/>
    <x v="3"/>
    <x v="21"/>
    <x v="7"/>
    <x v="1"/>
  </r>
  <r>
    <x v="576"/>
    <x v="576"/>
    <x v="0"/>
    <x v="0"/>
    <x v="0"/>
    <x v="7"/>
    <x v="0"/>
    <x v="4"/>
    <x v="2"/>
    <x v="1"/>
    <x v="12"/>
    <x v="9"/>
    <x v="4"/>
    <x v="5"/>
    <x v="31"/>
    <x v="33"/>
    <x v="2"/>
  </r>
  <r>
    <x v="577"/>
    <x v="577"/>
    <x v="0"/>
    <x v="0"/>
    <x v="0"/>
    <x v="8"/>
    <x v="0"/>
    <x v="4"/>
    <x v="2"/>
    <x v="1"/>
    <x v="12"/>
    <x v="9"/>
    <x v="4"/>
    <x v="0"/>
    <x v="94"/>
    <x v="44"/>
    <x v="3"/>
  </r>
  <r>
    <x v="578"/>
    <x v="578"/>
    <x v="0"/>
    <x v="0"/>
    <x v="0"/>
    <x v="9"/>
    <x v="0"/>
    <x v="4"/>
    <x v="2"/>
    <x v="1"/>
    <x v="12"/>
    <x v="9"/>
    <x v="4"/>
    <x v="0"/>
    <x v="11"/>
    <x v="154"/>
    <x v="4"/>
  </r>
  <r>
    <x v="579"/>
    <x v="579"/>
    <x v="0"/>
    <x v="0"/>
    <x v="0"/>
    <x v="10"/>
    <x v="0"/>
    <x v="4"/>
    <x v="2"/>
    <x v="1"/>
    <x v="12"/>
    <x v="43"/>
    <x v="3"/>
    <x v="4"/>
    <x v="16"/>
    <x v="20"/>
    <x v="5"/>
  </r>
  <r>
    <x v="580"/>
    <x v="580"/>
    <x v="0"/>
    <x v="0"/>
    <x v="0"/>
    <x v="11"/>
    <x v="0"/>
    <x v="4"/>
    <x v="2"/>
    <x v="1"/>
    <x v="13"/>
    <x v="43"/>
    <x v="9"/>
    <x v="15"/>
    <x v="96"/>
    <x v="102"/>
    <x v="6"/>
  </r>
  <r>
    <x v="581"/>
    <x v="581"/>
    <x v="0"/>
    <x v="0"/>
    <x v="0"/>
    <x v="12"/>
    <x v="0"/>
    <x v="4"/>
    <x v="2"/>
    <x v="1"/>
    <x v="13"/>
    <x v="43"/>
    <x v="9"/>
    <x v="18"/>
    <x v="40"/>
    <x v="61"/>
    <x v="0"/>
  </r>
  <r>
    <x v="582"/>
    <x v="582"/>
    <x v="0"/>
    <x v="0"/>
    <x v="0"/>
    <x v="13"/>
    <x v="0"/>
    <x v="4"/>
    <x v="2"/>
    <x v="1"/>
    <x v="13"/>
    <x v="43"/>
    <x v="9"/>
    <x v="17"/>
    <x v="30"/>
    <x v="105"/>
    <x v="1"/>
  </r>
  <r>
    <x v="583"/>
    <x v="583"/>
    <x v="0"/>
    <x v="0"/>
    <x v="0"/>
    <x v="14"/>
    <x v="0"/>
    <x v="4"/>
    <x v="2"/>
    <x v="1"/>
    <x v="13"/>
    <x v="43"/>
    <x v="11"/>
    <x v="3"/>
    <x v="49"/>
    <x v="9"/>
    <x v="2"/>
  </r>
  <r>
    <x v="584"/>
    <x v="584"/>
    <x v="0"/>
    <x v="0"/>
    <x v="0"/>
    <x v="15"/>
    <x v="0"/>
    <x v="4"/>
    <x v="2"/>
    <x v="1"/>
    <x v="18"/>
    <x v="43"/>
    <x v="17"/>
    <x v="5"/>
    <x v="76"/>
    <x v="74"/>
    <x v="3"/>
  </r>
  <r>
    <x v="585"/>
    <x v="585"/>
    <x v="0"/>
    <x v="0"/>
    <x v="0"/>
    <x v="16"/>
    <x v="0"/>
    <x v="4"/>
    <x v="3"/>
    <x v="1"/>
    <x v="13"/>
    <x v="43"/>
    <x v="9"/>
    <x v="5"/>
    <x v="96"/>
    <x v="9"/>
    <x v="4"/>
  </r>
  <r>
    <x v="586"/>
    <x v="586"/>
    <x v="0"/>
    <x v="0"/>
    <x v="0"/>
    <x v="17"/>
    <x v="0"/>
    <x v="4"/>
    <x v="2"/>
    <x v="2"/>
    <x v="18"/>
    <x v="43"/>
    <x v="11"/>
    <x v="3"/>
    <x v="16"/>
    <x v="132"/>
    <x v="5"/>
  </r>
  <r>
    <x v="587"/>
    <x v="587"/>
    <x v="0"/>
    <x v="0"/>
    <x v="0"/>
    <x v="16"/>
    <x v="0"/>
    <x v="5"/>
    <x v="0"/>
    <x v="1"/>
    <x v="11"/>
    <x v="28"/>
    <x v="5"/>
    <x v="5"/>
    <x v="140"/>
    <x v="108"/>
    <x v="6"/>
  </r>
  <r>
    <x v="588"/>
    <x v="588"/>
    <x v="0"/>
    <x v="0"/>
    <x v="0"/>
    <x v="17"/>
    <x v="0"/>
    <x v="5"/>
    <x v="0"/>
    <x v="1"/>
    <x v="19"/>
    <x v="28"/>
    <x v="14"/>
    <x v="4"/>
    <x v="70"/>
    <x v="11"/>
    <x v="0"/>
  </r>
  <r>
    <x v="589"/>
    <x v="589"/>
    <x v="0"/>
    <x v="0"/>
    <x v="0"/>
    <x v="18"/>
    <x v="0"/>
    <x v="5"/>
    <x v="0"/>
    <x v="2"/>
    <x v="11"/>
    <x v="27"/>
    <x v="1"/>
    <x v="0"/>
    <x v="143"/>
    <x v="133"/>
    <x v="1"/>
  </r>
  <r>
    <x v="590"/>
    <x v="590"/>
    <x v="0"/>
    <x v="0"/>
    <x v="0"/>
    <x v="19"/>
    <x v="0"/>
    <x v="5"/>
    <x v="0"/>
    <x v="2"/>
    <x v="11"/>
    <x v="27"/>
    <x v="1"/>
    <x v="0"/>
    <x v="83"/>
    <x v="67"/>
    <x v="2"/>
  </r>
  <r>
    <x v="591"/>
    <x v="591"/>
    <x v="0"/>
    <x v="0"/>
    <x v="0"/>
    <x v="20"/>
    <x v="0"/>
    <x v="5"/>
    <x v="0"/>
    <x v="15"/>
    <x v="12"/>
    <x v="32"/>
    <x v="1"/>
    <x v="17"/>
    <x v="11"/>
    <x v="29"/>
    <x v="3"/>
  </r>
  <r>
    <x v="592"/>
    <x v="592"/>
    <x v="0"/>
    <x v="0"/>
    <x v="0"/>
    <x v="21"/>
    <x v="0"/>
    <x v="5"/>
    <x v="0"/>
    <x v="15"/>
    <x v="12"/>
    <x v="32"/>
    <x v="1"/>
    <x v="4"/>
    <x v="49"/>
    <x v="103"/>
    <x v="4"/>
  </r>
  <r>
    <x v="593"/>
    <x v="593"/>
    <x v="0"/>
    <x v="0"/>
    <x v="0"/>
    <x v="22"/>
    <x v="0"/>
    <x v="5"/>
    <x v="0"/>
    <x v="15"/>
    <x v="12"/>
    <x v="32"/>
    <x v="1"/>
    <x v="3"/>
    <x v="2"/>
    <x v="110"/>
    <x v="5"/>
  </r>
  <r>
    <x v="594"/>
    <x v="594"/>
    <x v="0"/>
    <x v="0"/>
    <x v="0"/>
    <x v="23"/>
    <x v="0"/>
    <x v="5"/>
    <x v="0"/>
    <x v="15"/>
    <x v="13"/>
    <x v="1"/>
    <x v="8"/>
    <x v="3"/>
    <x v="20"/>
    <x v="0"/>
    <x v="6"/>
  </r>
  <r>
    <x v="595"/>
    <x v="595"/>
    <x v="0"/>
    <x v="0"/>
    <x v="0"/>
    <x v="0"/>
    <x v="0"/>
    <x v="6"/>
    <x v="1"/>
    <x v="2"/>
    <x v="12"/>
    <x v="2"/>
    <x v="7"/>
    <x v="3"/>
    <x v="33"/>
    <x v="23"/>
    <x v="0"/>
  </r>
  <r>
    <x v="596"/>
    <x v="596"/>
    <x v="0"/>
    <x v="0"/>
    <x v="0"/>
    <x v="1"/>
    <x v="0"/>
    <x v="6"/>
    <x v="1"/>
    <x v="2"/>
    <x v="12"/>
    <x v="2"/>
    <x v="7"/>
    <x v="5"/>
    <x v="6"/>
    <x v="6"/>
    <x v="1"/>
  </r>
  <r>
    <x v="597"/>
    <x v="597"/>
    <x v="0"/>
    <x v="0"/>
    <x v="0"/>
    <x v="2"/>
    <x v="0"/>
    <x v="6"/>
    <x v="1"/>
    <x v="2"/>
    <x v="12"/>
    <x v="2"/>
    <x v="8"/>
    <x v="3"/>
    <x v="6"/>
    <x v="5"/>
    <x v="2"/>
  </r>
  <r>
    <x v="598"/>
    <x v="598"/>
    <x v="0"/>
    <x v="0"/>
    <x v="0"/>
    <x v="3"/>
    <x v="0"/>
    <x v="6"/>
    <x v="1"/>
    <x v="2"/>
    <x v="11"/>
    <x v="2"/>
    <x v="14"/>
    <x v="5"/>
    <x v="5"/>
    <x v="4"/>
    <x v="3"/>
  </r>
  <r>
    <x v="599"/>
    <x v="599"/>
    <x v="0"/>
    <x v="0"/>
    <x v="0"/>
    <x v="5"/>
    <x v="0"/>
    <x v="6"/>
    <x v="1"/>
    <x v="15"/>
    <x v="12"/>
    <x v="1"/>
    <x v="14"/>
    <x v="3"/>
    <x v="22"/>
    <x v="48"/>
    <x v="4"/>
  </r>
  <r>
    <x v="600"/>
    <x v="600"/>
    <x v="0"/>
    <x v="0"/>
    <x v="0"/>
    <x v="6"/>
    <x v="0"/>
    <x v="6"/>
    <x v="1"/>
    <x v="15"/>
    <x v="13"/>
    <x v="1"/>
    <x v="7"/>
    <x v="3"/>
    <x v="20"/>
    <x v="0"/>
    <x v="5"/>
  </r>
  <r>
    <x v="601"/>
    <x v="601"/>
    <x v="0"/>
    <x v="0"/>
    <x v="0"/>
    <x v="7"/>
    <x v="0"/>
    <x v="6"/>
    <x v="1"/>
    <x v="13"/>
    <x v="13"/>
    <x v="3"/>
    <x v="1"/>
    <x v="4"/>
    <x v="29"/>
    <x v="122"/>
    <x v="6"/>
  </r>
  <r>
    <x v="602"/>
    <x v="602"/>
    <x v="0"/>
    <x v="0"/>
    <x v="0"/>
    <x v="8"/>
    <x v="0"/>
    <x v="6"/>
    <x v="1"/>
    <x v="13"/>
    <x v="13"/>
    <x v="3"/>
    <x v="1"/>
    <x v="4"/>
    <x v="119"/>
    <x v="45"/>
    <x v="0"/>
  </r>
  <r>
    <x v="603"/>
    <x v="603"/>
    <x v="0"/>
    <x v="0"/>
    <x v="0"/>
    <x v="9"/>
    <x v="0"/>
    <x v="6"/>
    <x v="2"/>
    <x v="15"/>
    <x v="12"/>
    <x v="3"/>
    <x v="1"/>
    <x v="15"/>
    <x v="73"/>
    <x v="129"/>
    <x v="1"/>
  </r>
  <r>
    <x v="604"/>
    <x v="604"/>
    <x v="0"/>
    <x v="0"/>
    <x v="0"/>
    <x v="10"/>
    <x v="0"/>
    <x v="6"/>
    <x v="2"/>
    <x v="15"/>
    <x v="12"/>
    <x v="3"/>
    <x v="14"/>
    <x v="3"/>
    <x v="47"/>
    <x v="99"/>
    <x v="2"/>
  </r>
  <r>
    <x v="605"/>
    <x v="605"/>
    <x v="0"/>
    <x v="0"/>
    <x v="0"/>
    <x v="11"/>
    <x v="0"/>
    <x v="6"/>
    <x v="2"/>
    <x v="15"/>
    <x v="12"/>
    <x v="43"/>
    <x v="14"/>
    <x v="3"/>
    <x v="10"/>
    <x v="33"/>
    <x v="3"/>
  </r>
  <r>
    <x v="606"/>
    <x v="606"/>
    <x v="0"/>
    <x v="0"/>
    <x v="0"/>
    <x v="12"/>
    <x v="0"/>
    <x v="6"/>
    <x v="2"/>
    <x v="15"/>
    <x v="12"/>
    <x v="43"/>
    <x v="14"/>
    <x v="5"/>
    <x v="95"/>
    <x v="115"/>
    <x v="4"/>
  </r>
  <r>
    <x v="607"/>
    <x v="607"/>
    <x v="0"/>
    <x v="0"/>
    <x v="0"/>
    <x v="13"/>
    <x v="0"/>
    <x v="6"/>
    <x v="2"/>
    <x v="15"/>
    <x v="12"/>
    <x v="43"/>
    <x v="14"/>
    <x v="3"/>
    <x v="17"/>
    <x v="35"/>
    <x v="5"/>
  </r>
  <r>
    <x v="608"/>
    <x v="608"/>
    <x v="0"/>
    <x v="0"/>
    <x v="0"/>
    <x v="14"/>
    <x v="0"/>
    <x v="6"/>
    <x v="2"/>
    <x v="1"/>
    <x v="1"/>
    <x v="1"/>
    <x v="0"/>
    <x v="4"/>
    <x v="49"/>
    <x v="103"/>
    <x v="6"/>
  </r>
  <r>
    <x v="609"/>
    <x v="609"/>
    <x v="0"/>
    <x v="0"/>
    <x v="0"/>
    <x v="15"/>
    <x v="0"/>
    <x v="6"/>
    <x v="1"/>
    <x v="2"/>
    <x v="2"/>
    <x v="3"/>
    <x v="0"/>
    <x v="5"/>
    <x v="71"/>
    <x v="102"/>
    <x v="0"/>
  </r>
  <r>
    <x v="610"/>
    <x v="27"/>
    <x v="0"/>
    <x v="0"/>
    <x v="0"/>
    <x v="16"/>
    <x v="0"/>
    <x v="6"/>
    <x v="0"/>
    <x v="1"/>
    <x v="1"/>
    <x v="1"/>
    <x v="0"/>
    <x v="22"/>
    <x v="14"/>
    <x v="138"/>
    <x v="6"/>
  </r>
  <r>
    <x v="611"/>
    <x v="27"/>
    <x v="0"/>
    <x v="0"/>
    <x v="0"/>
    <x v="17"/>
    <x v="0"/>
    <x v="6"/>
    <x v="0"/>
    <x v="0"/>
    <x v="19"/>
    <x v="2"/>
    <x v="7"/>
    <x v="4"/>
    <x v="150"/>
    <x v="165"/>
    <x v="6"/>
  </r>
  <r>
    <x v="612"/>
    <x v="27"/>
    <x v="0"/>
    <x v="0"/>
    <x v="0"/>
    <x v="18"/>
    <x v="0"/>
    <x v="6"/>
    <x v="0"/>
    <x v="0"/>
    <x v="11"/>
    <x v="2"/>
    <x v="5"/>
    <x v="4"/>
    <x v="128"/>
    <x v="142"/>
    <x v="6"/>
  </r>
  <r>
    <x v="613"/>
    <x v="27"/>
    <x v="0"/>
    <x v="0"/>
    <x v="0"/>
    <x v="19"/>
    <x v="0"/>
    <x v="6"/>
    <x v="1"/>
    <x v="0"/>
    <x v="19"/>
    <x v="2"/>
    <x v="7"/>
    <x v="2"/>
    <x v="151"/>
    <x v="70"/>
    <x v="6"/>
  </r>
  <r>
    <x v="614"/>
    <x v="27"/>
    <x v="0"/>
    <x v="0"/>
    <x v="0"/>
    <x v="20"/>
    <x v="0"/>
    <x v="6"/>
    <x v="1"/>
    <x v="0"/>
    <x v="11"/>
    <x v="56"/>
    <x v="5"/>
    <x v="5"/>
    <x v="124"/>
    <x v="69"/>
    <x v="6"/>
  </r>
  <r>
    <x v="615"/>
    <x v="27"/>
    <x v="0"/>
    <x v="0"/>
    <x v="0"/>
    <x v="21"/>
    <x v="0"/>
    <x v="6"/>
    <x v="1"/>
    <x v="1"/>
    <x v="11"/>
    <x v="2"/>
    <x v="7"/>
    <x v="5"/>
    <x v="77"/>
    <x v="154"/>
    <x v="6"/>
  </r>
  <r>
    <x v="616"/>
    <x v="27"/>
    <x v="0"/>
    <x v="0"/>
    <x v="0"/>
    <x v="22"/>
    <x v="0"/>
    <x v="6"/>
    <x v="0"/>
    <x v="0"/>
    <x v="12"/>
    <x v="55"/>
    <x v="11"/>
    <x v="3"/>
    <x v="16"/>
    <x v="132"/>
    <x v="6"/>
  </r>
  <r>
    <x v="617"/>
    <x v="27"/>
    <x v="0"/>
    <x v="0"/>
    <x v="0"/>
    <x v="23"/>
    <x v="0"/>
    <x v="6"/>
    <x v="0"/>
    <x v="0"/>
    <x v="11"/>
    <x v="54"/>
    <x v="6"/>
    <x v="5"/>
    <x v="97"/>
    <x v="84"/>
    <x v="6"/>
  </r>
  <r>
    <x v="618"/>
    <x v="28"/>
    <x v="0"/>
    <x v="0"/>
    <x v="0"/>
    <x v="0"/>
    <x v="0"/>
    <x v="0"/>
    <x v="0"/>
    <x v="1"/>
    <x v="13"/>
    <x v="26"/>
    <x v="11"/>
    <x v="4"/>
    <x v="16"/>
    <x v="20"/>
    <x v="0"/>
  </r>
  <r>
    <x v="619"/>
    <x v="28"/>
    <x v="0"/>
    <x v="0"/>
    <x v="0"/>
    <x v="1"/>
    <x v="0"/>
    <x v="0"/>
    <x v="0"/>
    <x v="1"/>
    <x v="11"/>
    <x v="26"/>
    <x v="5"/>
    <x v="3"/>
    <x v="32"/>
    <x v="25"/>
    <x v="0"/>
  </r>
  <r>
    <x v="620"/>
    <x v="28"/>
    <x v="0"/>
    <x v="0"/>
    <x v="0"/>
    <x v="2"/>
    <x v="0"/>
    <x v="0"/>
    <x v="0"/>
    <x v="1"/>
    <x v="11"/>
    <x v="26"/>
    <x v="8"/>
    <x v="3"/>
    <x v="89"/>
    <x v="93"/>
    <x v="0"/>
  </r>
  <r>
    <x v="621"/>
    <x v="28"/>
    <x v="0"/>
    <x v="0"/>
    <x v="0"/>
    <x v="3"/>
    <x v="0"/>
    <x v="0"/>
    <x v="0"/>
    <x v="2"/>
    <x v="12"/>
    <x v="26"/>
    <x v="7"/>
    <x v="0"/>
    <x v="34"/>
    <x v="7"/>
    <x v="0"/>
  </r>
  <r>
    <x v="622"/>
    <x v="28"/>
    <x v="0"/>
    <x v="0"/>
    <x v="0"/>
    <x v="4"/>
    <x v="0"/>
    <x v="0"/>
    <x v="0"/>
    <x v="13"/>
    <x v="18"/>
    <x v="27"/>
    <x v="14"/>
    <x v="5"/>
    <x v="6"/>
    <x v="6"/>
    <x v="0"/>
  </r>
  <r>
    <x v="623"/>
    <x v="28"/>
    <x v="0"/>
    <x v="0"/>
    <x v="0"/>
    <x v="6"/>
    <x v="0"/>
    <x v="0"/>
    <x v="0"/>
    <x v="13"/>
    <x v="18"/>
    <x v="26"/>
    <x v="7"/>
    <x v="3"/>
    <x v="6"/>
    <x v="5"/>
    <x v="0"/>
  </r>
  <r>
    <x v="624"/>
    <x v="28"/>
    <x v="0"/>
    <x v="0"/>
    <x v="0"/>
    <x v="7"/>
    <x v="0"/>
    <x v="0"/>
    <x v="0"/>
    <x v="13"/>
    <x v="18"/>
    <x v="29"/>
    <x v="14"/>
    <x v="5"/>
    <x v="22"/>
    <x v="36"/>
    <x v="0"/>
  </r>
  <r>
    <x v="625"/>
    <x v="28"/>
    <x v="0"/>
    <x v="0"/>
    <x v="0"/>
    <x v="8"/>
    <x v="0"/>
    <x v="0"/>
    <x v="0"/>
    <x v="15"/>
    <x v="13"/>
    <x v="28"/>
    <x v="8"/>
    <x v="0"/>
    <x v="17"/>
    <x v="19"/>
    <x v="0"/>
  </r>
  <r>
    <x v="626"/>
    <x v="28"/>
    <x v="0"/>
    <x v="0"/>
    <x v="0"/>
    <x v="9"/>
    <x v="0"/>
    <x v="0"/>
    <x v="0"/>
    <x v="15"/>
    <x v="12"/>
    <x v="29"/>
    <x v="1"/>
    <x v="3"/>
    <x v="60"/>
    <x v="19"/>
    <x v="0"/>
  </r>
  <r>
    <x v="627"/>
    <x v="28"/>
    <x v="0"/>
    <x v="0"/>
    <x v="0"/>
    <x v="10"/>
    <x v="0"/>
    <x v="0"/>
    <x v="1"/>
    <x v="15"/>
    <x v="12"/>
    <x v="26"/>
    <x v="14"/>
    <x v="17"/>
    <x v="82"/>
    <x v="97"/>
    <x v="0"/>
  </r>
  <r>
    <x v="628"/>
    <x v="28"/>
    <x v="0"/>
    <x v="0"/>
    <x v="0"/>
    <x v="11"/>
    <x v="0"/>
    <x v="0"/>
    <x v="1"/>
    <x v="15"/>
    <x v="13"/>
    <x v="26"/>
    <x v="7"/>
    <x v="17"/>
    <x v="91"/>
    <x v="37"/>
    <x v="0"/>
  </r>
  <r>
    <x v="629"/>
    <x v="28"/>
    <x v="0"/>
    <x v="0"/>
    <x v="0"/>
    <x v="12"/>
    <x v="0"/>
    <x v="0"/>
    <x v="1"/>
    <x v="2"/>
    <x v="13"/>
    <x v="29"/>
    <x v="5"/>
    <x v="6"/>
    <x v="43"/>
    <x v="53"/>
    <x v="0"/>
  </r>
  <r>
    <x v="630"/>
    <x v="28"/>
    <x v="0"/>
    <x v="0"/>
    <x v="0"/>
    <x v="13"/>
    <x v="0"/>
    <x v="0"/>
    <x v="1"/>
    <x v="1"/>
    <x v="11"/>
    <x v="28"/>
    <x v="8"/>
    <x v="14"/>
    <x v="90"/>
    <x v="32"/>
    <x v="0"/>
  </r>
  <r>
    <x v="631"/>
    <x v="28"/>
    <x v="0"/>
    <x v="0"/>
    <x v="0"/>
    <x v="14"/>
    <x v="0"/>
    <x v="0"/>
    <x v="1"/>
    <x v="1"/>
    <x v="11"/>
    <x v="54"/>
    <x v="7"/>
    <x v="22"/>
    <x v="121"/>
    <x v="111"/>
    <x v="0"/>
  </r>
  <r>
    <x v="632"/>
    <x v="28"/>
    <x v="0"/>
    <x v="0"/>
    <x v="0"/>
    <x v="15"/>
    <x v="0"/>
    <x v="0"/>
    <x v="0"/>
    <x v="1"/>
    <x v="12"/>
    <x v="27"/>
    <x v="2"/>
    <x v="30"/>
    <x v="52"/>
    <x v="151"/>
    <x v="0"/>
  </r>
  <r>
    <x v="633"/>
    <x v="28"/>
    <x v="0"/>
    <x v="0"/>
    <x v="0"/>
    <x v="16"/>
    <x v="0"/>
    <x v="0"/>
    <x v="0"/>
    <x v="0"/>
    <x v="19"/>
    <x v="54"/>
    <x v="8"/>
    <x v="21"/>
    <x v="152"/>
    <x v="166"/>
    <x v="0"/>
  </r>
  <r>
    <x v="634"/>
    <x v="28"/>
    <x v="0"/>
    <x v="0"/>
    <x v="0"/>
    <x v="17"/>
    <x v="0"/>
    <x v="0"/>
    <x v="0"/>
    <x v="0"/>
    <x v="0"/>
    <x v="54"/>
    <x v="0"/>
    <x v="14"/>
    <x v="70"/>
    <x v="134"/>
    <x v="0"/>
  </r>
  <r>
    <x v="635"/>
    <x v="28"/>
    <x v="0"/>
    <x v="0"/>
    <x v="0"/>
    <x v="18"/>
    <x v="0"/>
    <x v="0"/>
    <x v="0"/>
    <x v="1"/>
    <x v="11"/>
    <x v="27"/>
    <x v="7"/>
    <x v="14"/>
    <x v="79"/>
    <x v="118"/>
    <x v="0"/>
  </r>
  <r>
    <x v="636"/>
    <x v="28"/>
    <x v="0"/>
    <x v="0"/>
    <x v="0"/>
    <x v="19"/>
    <x v="0"/>
    <x v="0"/>
    <x v="1"/>
    <x v="1"/>
    <x v="12"/>
    <x v="27"/>
    <x v="2"/>
    <x v="15"/>
    <x v="15"/>
    <x v="154"/>
    <x v="0"/>
  </r>
  <r>
    <x v="637"/>
    <x v="28"/>
    <x v="0"/>
    <x v="0"/>
    <x v="0"/>
    <x v="20"/>
    <x v="0"/>
    <x v="0"/>
    <x v="0"/>
    <x v="15"/>
    <x v="12"/>
    <x v="32"/>
    <x v="1"/>
    <x v="5"/>
    <x v="76"/>
    <x v="74"/>
    <x v="0"/>
  </r>
  <r>
    <x v="638"/>
    <x v="28"/>
    <x v="0"/>
    <x v="0"/>
    <x v="0"/>
    <x v="21"/>
    <x v="0"/>
    <x v="0"/>
    <x v="0"/>
    <x v="15"/>
    <x v="12"/>
    <x v="32"/>
    <x v="1"/>
    <x v="5"/>
    <x v="96"/>
    <x v="9"/>
    <x v="0"/>
  </r>
  <r>
    <x v="639"/>
    <x v="28"/>
    <x v="0"/>
    <x v="0"/>
    <x v="0"/>
    <x v="22"/>
    <x v="0"/>
    <x v="0"/>
    <x v="0"/>
    <x v="13"/>
    <x v="13"/>
    <x v="1"/>
    <x v="1"/>
    <x v="17"/>
    <x v="95"/>
    <x v="2"/>
    <x v="0"/>
  </r>
  <r>
    <x v="640"/>
    <x v="28"/>
    <x v="0"/>
    <x v="0"/>
    <x v="0"/>
    <x v="23"/>
    <x v="0"/>
    <x v="0"/>
    <x v="0"/>
    <x v="13"/>
    <x v="13"/>
    <x v="1"/>
    <x v="1"/>
    <x v="0"/>
    <x v="10"/>
    <x v="63"/>
    <x v="0"/>
  </r>
  <r>
    <x v="641"/>
    <x v="29"/>
    <x v="0"/>
    <x v="0"/>
    <x v="0"/>
    <x v="0"/>
    <x v="0"/>
    <x v="1"/>
    <x v="0"/>
    <x v="13"/>
    <x v="18"/>
    <x v="1"/>
    <x v="14"/>
    <x v="3"/>
    <x v="39"/>
    <x v="63"/>
    <x v="1"/>
  </r>
  <r>
    <x v="642"/>
    <x v="29"/>
    <x v="0"/>
    <x v="0"/>
    <x v="0"/>
    <x v="1"/>
    <x v="0"/>
    <x v="1"/>
    <x v="0"/>
    <x v="14"/>
    <x v="12"/>
    <x v="1"/>
    <x v="0"/>
    <x v="18"/>
    <x v="97"/>
    <x v="115"/>
    <x v="1"/>
  </r>
  <r>
    <x v="643"/>
    <x v="29"/>
    <x v="0"/>
    <x v="0"/>
    <x v="0"/>
    <x v="2"/>
    <x v="0"/>
    <x v="1"/>
    <x v="0"/>
    <x v="13"/>
    <x v="11"/>
    <x v="1"/>
    <x v="0"/>
    <x v="5"/>
    <x v="3"/>
    <x v="62"/>
    <x v="1"/>
  </r>
  <r>
    <x v="644"/>
    <x v="29"/>
    <x v="0"/>
    <x v="0"/>
    <x v="0"/>
    <x v="3"/>
    <x v="0"/>
    <x v="1"/>
    <x v="0"/>
    <x v="14"/>
    <x v="12"/>
    <x v="43"/>
    <x v="0"/>
    <x v="5"/>
    <x v="7"/>
    <x v="7"/>
    <x v="1"/>
  </r>
  <r>
    <x v="645"/>
    <x v="29"/>
    <x v="0"/>
    <x v="0"/>
    <x v="0"/>
    <x v="4"/>
    <x v="0"/>
    <x v="1"/>
    <x v="0"/>
    <x v="14"/>
    <x v="12"/>
    <x v="43"/>
    <x v="0"/>
    <x v="3"/>
    <x v="4"/>
    <x v="4"/>
    <x v="1"/>
  </r>
  <r>
    <x v="646"/>
    <x v="29"/>
    <x v="0"/>
    <x v="0"/>
    <x v="0"/>
    <x v="5"/>
    <x v="0"/>
    <x v="1"/>
    <x v="0"/>
    <x v="14"/>
    <x v="12"/>
    <x v="3"/>
    <x v="0"/>
    <x v="3"/>
    <x v="35"/>
    <x v="6"/>
    <x v="1"/>
  </r>
  <r>
    <x v="647"/>
    <x v="29"/>
    <x v="0"/>
    <x v="0"/>
    <x v="0"/>
    <x v="7"/>
    <x v="0"/>
    <x v="1"/>
    <x v="0"/>
    <x v="14"/>
    <x v="12"/>
    <x v="3"/>
    <x v="0"/>
    <x v="3"/>
    <x v="35"/>
    <x v="6"/>
    <x v="1"/>
  </r>
  <r>
    <x v="648"/>
    <x v="29"/>
    <x v="0"/>
    <x v="0"/>
    <x v="0"/>
    <x v="8"/>
    <x v="0"/>
    <x v="1"/>
    <x v="1"/>
    <x v="14"/>
    <x v="12"/>
    <x v="3"/>
    <x v="0"/>
    <x v="5"/>
    <x v="48"/>
    <x v="47"/>
    <x v="1"/>
  </r>
  <r>
    <x v="649"/>
    <x v="29"/>
    <x v="0"/>
    <x v="0"/>
    <x v="0"/>
    <x v="9"/>
    <x v="0"/>
    <x v="1"/>
    <x v="1"/>
    <x v="13"/>
    <x v="11"/>
    <x v="1"/>
    <x v="0"/>
    <x v="17"/>
    <x v="60"/>
    <x v="103"/>
    <x v="1"/>
  </r>
  <r>
    <x v="650"/>
    <x v="29"/>
    <x v="0"/>
    <x v="0"/>
    <x v="0"/>
    <x v="10"/>
    <x v="0"/>
    <x v="1"/>
    <x v="1"/>
    <x v="15"/>
    <x v="19"/>
    <x v="1"/>
    <x v="0"/>
    <x v="18"/>
    <x v="77"/>
    <x v="37"/>
    <x v="1"/>
  </r>
  <r>
    <x v="651"/>
    <x v="29"/>
    <x v="0"/>
    <x v="0"/>
    <x v="0"/>
    <x v="11"/>
    <x v="0"/>
    <x v="1"/>
    <x v="0"/>
    <x v="1"/>
    <x v="1"/>
    <x v="2"/>
    <x v="0"/>
    <x v="14"/>
    <x v="54"/>
    <x v="29"/>
    <x v="1"/>
  </r>
  <r>
    <x v="652"/>
    <x v="29"/>
    <x v="0"/>
    <x v="0"/>
    <x v="0"/>
    <x v="12"/>
    <x v="0"/>
    <x v="1"/>
    <x v="0"/>
    <x v="11"/>
    <x v="21"/>
    <x v="35"/>
    <x v="14"/>
    <x v="22"/>
    <x v="61"/>
    <x v="54"/>
    <x v="1"/>
  </r>
  <r>
    <x v="653"/>
    <x v="29"/>
    <x v="0"/>
    <x v="0"/>
    <x v="0"/>
    <x v="13"/>
    <x v="0"/>
    <x v="1"/>
    <x v="0"/>
    <x v="17"/>
    <x v="0"/>
    <x v="53"/>
    <x v="14"/>
    <x v="23"/>
    <x v="13"/>
    <x v="11"/>
    <x v="1"/>
  </r>
  <r>
    <x v="654"/>
    <x v="29"/>
    <x v="0"/>
    <x v="0"/>
    <x v="0"/>
    <x v="14"/>
    <x v="0"/>
    <x v="1"/>
    <x v="0"/>
    <x v="17"/>
    <x v="25"/>
    <x v="53"/>
    <x v="1"/>
    <x v="25"/>
    <x v="153"/>
    <x v="78"/>
    <x v="1"/>
  </r>
  <r>
    <x v="655"/>
    <x v="29"/>
    <x v="0"/>
    <x v="0"/>
    <x v="0"/>
    <x v="15"/>
    <x v="0"/>
    <x v="1"/>
    <x v="0"/>
    <x v="11"/>
    <x v="6"/>
    <x v="34"/>
    <x v="0"/>
    <x v="24"/>
    <x v="73"/>
    <x v="142"/>
    <x v="1"/>
  </r>
  <r>
    <x v="656"/>
    <x v="29"/>
    <x v="0"/>
    <x v="0"/>
    <x v="0"/>
    <x v="16"/>
    <x v="0"/>
    <x v="1"/>
    <x v="0"/>
    <x v="11"/>
    <x v="6"/>
    <x v="34"/>
    <x v="0"/>
    <x v="21"/>
    <x v="153"/>
    <x v="92"/>
    <x v="1"/>
  </r>
  <r>
    <x v="657"/>
    <x v="29"/>
    <x v="0"/>
    <x v="0"/>
    <x v="0"/>
    <x v="17"/>
    <x v="0"/>
    <x v="1"/>
    <x v="0"/>
    <x v="11"/>
    <x v="0"/>
    <x v="34"/>
    <x v="5"/>
    <x v="15"/>
    <x v="13"/>
    <x v="43"/>
    <x v="1"/>
  </r>
  <r>
    <x v="658"/>
    <x v="29"/>
    <x v="0"/>
    <x v="0"/>
    <x v="0"/>
    <x v="18"/>
    <x v="0"/>
    <x v="1"/>
    <x v="0"/>
    <x v="12"/>
    <x v="2"/>
    <x v="55"/>
    <x v="8"/>
    <x v="1"/>
    <x v="77"/>
    <x v="32"/>
    <x v="1"/>
  </r>
  <r>
    <x v="659"/>
    <x v="29"/>
    <x v="0"/>
    <x v="0"/>
    <x v="0"/>
    <x v="19"/>
    <x v="0"/>
    <x v="1"/>
    <x v="0"/>
    <x v="12"/>
    <x v="2"/>
    <x v="55"/>
    <x v="5"/>
    <x v="14"/>
    <x v="24"/>
    <x v="97"/>
    <x v="1"/>
  </r>
  <r>
    <x v="660"/>
    <x v="29"/>
    <x v="0"/>
    <x v="0"/>
    <x v="0"/>
    <x v="20"/>
    <x v="0"/>
    <x v="1"/>
    <x v="1"/>
    <x v="12"/>
    <x v="1"/>
    <x v="55"/>
    <x v="14"/>
    <x v="0"/>
    <x v="10"/>
    <x v="63"/>
    <x v="1"/>
  </r>
  <r>
    <x v="661"/>
    <x v="29"/>
    <x v="0"/>
    <x v="0"/>
    <x v="0"/>
    <x v="21"/>
    <x v="0"/>
    <x v="1"/>
    <x v="1"/>
    <x v="0"/>
    <x v="19"/>
    <x v="56"/>
    <x v="8"/>
    <x v="0"/>
    <x v="18"/>
    <x v="20"/>
    <x v="1"/>
  </r>
  <r>
    <x v="662"/>
    <x v="29"/>
    <x v="0"/>
    <x v="0"/>
    <x v="0"/>
    <x v="22"/>
    <x v="0"/>
    <x v="1"/>
    <x v="1"/>
    <x v="0"/>
    <x v="11"/>
    <x v="56"/>
    <x v="5"/>
    <x v="4"/>
    <x v="23"/>
    <x v="137"/>
    <x v="1"/>
  </r>
  <r>
    <x v="663"/>
    <x v="29"/>
    <x v="0"/>
    <x v="0"/>
    <x v="0"/>
    <x v="23"/>
    <x v="0"/>
    <x v="1"/>
    <x v="1"/>
    <x v="0"/>
    <x v="12"/>
    <x v="55"/>
    <x v="3"/>
    <x v="2"/>
    <x v="20"/>
    <x v="137"/>
    <x v="1"/>
  </r>
  <r>
    <x v="664"/>
    <x v="30"/>
    <x v="0"/>
    <x v="0"/>
    <x v="0"/>
    <x v="0"/>
    <x v="0"/>
    <x v="2"/>
    <x v="1"/>
    <x v="0"/>
    <x v="11"/>
    <x v="55"/>
    <x v="6"/>
    <x v="5"/>
    <x v="8"/>
    <x v="85"/>
    <x v="2"/>
  </r>
  <r>
    <x v="665"/>
    <x v="30"/>
    <x v="0"/>
    <x v="0"/>
    <x v="0"/>
    <x v="1"/>
    <x v="0"/>
    <x v="2"/>
    <x v="0"/>
    <x v="1"/>
    <x v="12"/>
    <x v="26"/>
    <x v="2"/>
    <x v="4"/>
    <x v="34"/>
    <x v="85"/>
    <x v="2"/>
  </r>
  <r>
    <x v="666"/>
    <x v="30"/>
    <x v="0"/>
    <x v="0"/>
    <x v="0"/>
    <x v="2"/>
    <x v="0"/>
    <x v="2"/>
    <x v="0"/>
    <x v="1"/>
    <x v="11"/>
    <x v="26"/>
    <x v="5"/>
    <x v="3"/>
    <x v="4"/>
    <x v="4"/>
    <x v="2"/>
  </r>
  <r>
    <x v="667"/>
    <x v="30"/>
    <x v="0"/>
    <x v="0"/>
    <x v="0"/>
    <x v="3"/>
    <x v="0"/>
    <x v="2"/>
    <x v="0"/>
    <x v="1"/>
    <x v="11"/>
    <x v="26"/>
    <x v="5"/>
    <x v="3"/>
    <x v="6"/>
    <x v="5"/>
    <x v="2"/>
  </r>
  <r>
    <x v="668"/>
    <x v="30"/>
    <x v="0"/>
    <x v="0"/>
    <x v="0"/>
    <x v="4"/>
    <x v="0"/>
    <x v="2"/>
    <x v="0"/>
    <x v="2"/>
    <x v="13"/>
    <x v="29"/>
    <x v="6"/>
    <x v="3"/>
    <x v="6"/>
    <x v="5"/>
    <x v="2"/>
  </r>
  <r>
    <x v="669"/>
    <x v="30"/>
    <x v="0"/>
    <x v="0"/>
    <x v="0"/>
    <x v="5"/>
    <x v="0"/>
    <x v="2"/>
    <x v="0"/>
    <x v="15"/>
    <x v="17"/>
    <x v="26"/>
    <x v="3"/>
    <x v="3"/>
    <x v="21"/>
    <x v="7"/>
    <x v="2"/>
  </r>
  <r>
    <x v="670"/>
    <x v="30"/>
    <x v="0"/>
    <x v="0"/>
    <x v="0"/>
    <x v="6"/>
    <x v="0"/>
    <x v="2"/>
    <x v="0"/>
    <x v="13"/>
    <x v="14"/>
    <x v="27"/>
    <x v="9"/>
    <x v="3"/>
    <x v="53"/>
    <x v="18"/>
    <x v="2"/>
  </r>
  <r>
    <x v="671"/>
    <x v="30"/>
    <x v="0"/>
    <x v="0"/>
    <x v="0"/>
    <x v="7"/>
    <x v="0"/>
    <x v="2"/>
    <x v="1"/>
    <x v="13"/>
    <x v="14"/>
    <x v="26"/>
    <x v="3"/>
    <x v="5"/>
    <x v="13"/>
    <x v="44"/>
    <x v="2"/>
  </r>
  <r>
    <x v="672"/>
    <x v="30"/>
    <x v="0"/>
    <x v="0"/>
    <x v="0"/>
    <x v="8"/>
    <x v="0"/>
    <x v="2"/>
    <x v="1"/>
    <x v="13"/>
    <x v="14"/>
    <x v="29"/>
    <x v="3"/>
    <x v="0"/>
    <x v="154"/>
    <x v="147"/>
    <x v="2"/>
  </r>
  <r>
    <x v="673"/>
    <x v="30"/>
    <x v="0"/>
    <x v="0"/>
    <x v="0"/>
    <x v="9"/>
    <x v="0"/>
    <x v="2"/>
    <x v="1"/>
    <x v="13"/>
    <x v="14"/>
    <x v="29"/>
    <x v="4"/>
    <x v="3"/>
    <x v="155"/>
    <x v="59"/>
    <x v="2"/>
  </r>
  <r>
    <x v="674"/>
    <x v="30"/>
    <x v="0"/>
    <x v="0"/>
    <x v="0"/>
    <x v="10"/>
    <x v="0"/>
    <x v="2"/>
    <x v="1"/>
    <x v="13"/>
    <x v="20"/>
    <x v="29"/>
    <x v="5"/>
    <x v="5"/>
    <x v="56"/>
    <x v="83"/>
    <x v="2"/>
  </r>
  <r>
    <x v="675"/>
    <x v="30"/>
    <x v="0"/>
    <x v="0"/>
    <x v="0"/>
    <x v="11"/>
    <x v="0"/>
    <x v="2"/>
    <x v="1"/>
    <x v="13"/>
    <x v="20"/>
    <x v="29"/>
    <x v="5"/>
    <x v="4"/>
    <x v="24"/>
    <x v="61"/>
    <x v="2"/>
  </r>
  <r>
    <x v="676"/>
    <x v="30"/>
    <x v="0"/>
    <x v="0"/>
    <x v="0"/>
    <x v="12"/>
    <x v="0"/>
    <x v="2"/>
    <x v="1"/>
    <x v="15"/>
    <x v="12"/>
    <x v="28"/>
    <x v="14"/>
    <x v="15"/>
    <x v="133"/>
    <x v="118"/>
    <x v="2"/>
  </r>
  <r>
    <x v="677"/>
    <x v="30"/>
    <x v="0"/>
    <x v="0"/>
    <x v="0"/>
    <x v="13"/>
    <x v="0"/>
    <x v="2"/>
    <x v="1"/>
    <x v="13"/>
    <x v="11"/>
    <x v="29"/>
    <x v="0"/>
    <x v="4"/>
    <x v="15"/>
    <x v="60"/>
    <x v="2"/>
  </r>
  <r>
    <x v="678"/>
    <x v="30"/>
    <x v="0"/>
    <x v="0"/>
    <x v="0"/>
    <x v="14"/>
    <x v="0"/>
    <x v="2"/>
    <x v="1"/>
    <x v="15"/>
    <x v="13"/>
    <x v="28"/>
    <x v="7"/>
    <x v="5"/>
    <x v="66"/>
    <x v="80"/>
    <x v="2"/>
  </r>
  <r>
    <x v="679"/>
    <x v="30"/>
    <x v="0"/>
    <x v="0"/>
    <x v="0"/>
    <x v="15"/>
    <x v="0"/>
    <x v="2"/>
    <x v="1"/>
    <x v="13"/>
    <x v="18"/>
    <x v="29"/>
    <x v="7"/>
    <x v="0"/>
    <x v="40"/>
    <x v="40"/>
    <x v="2"/>
  </r>
  <r>
    <x v="680"/>
    <x v="30"/>
    <x v="0"/>
    <x v="0"/>
    <x v="0"/>
    <x v="16"/>
    <x v="0"/>
    <x v="2"/>
    <x v="1"/>
    <x v="13"/>
    <x v="18"/>
    <x v="34"/>
    <x v="5"/>
    <x v="0"/>
    <x v="93"/>
    <x v="80"/>
    <x v="2"/>
  </r>
  <r>
    <x v="681"/>
    <x v="30"/>
    <x v="0"/>
    <x v="0"/>
    <x v="0"/>
    <x v="17"/>
    <x v="0"/>
    <x v="2"/>
    <x v="1"/>
    <x v="13"/>
    <x v="20"/>
    <x v="29"/>
    <x v="5"/>
    <x v="15"/>
    <x v="119"/>
    <x v="143"/>
    <x v="2"/>
  </r>
  <r>
    <x v="682"/>
    <x v="30"/>
    <x v="0"/>
    <x v="0"/>
    <x v="0"/>
    <x v="18"/>
    <x v="0"/>
    <x v="2"/>
    <x v="1"/>
    <x v="13"/>
    <x v="20"/>
    <x v="28"/>
    <x v="6"/>
    <x v="0"/>
    <x v="37"/>
    <x v="167"/>
    <x v="2"/>
  </r>
  <r>
    <x v="683"/>
    <x v="30"/>
    <x v="0"/>
    <x v="0"/>
    <x v="0"/>
    <x v="19"/>
    <x v="0"/>
    <x v="2"/>
    <x v="0"/>
    <x v="11"/>
    <x v="21"/>
    <x v="53"/>
    <x v="14"/>
    <x v="0"/>
    <x v="123"/>
    <x v="168"/>
    <x v="2"/>
  </r>
  <r>
    <x v="684"/>
    <x v="30"/>
    <x v="0"/>
    <x v="0"/>
    <x v="0"/>
    <x v="20"/>
    <x v="0"/>
    <x v="2"/>
    <x v="2"/>
    <x v="13"/>
    <x v="17"/>
    <x v="29"/>
    <x v="8"/>
    <x v="3"/>
    <x v="78"/>
    <x v="53"/>
    <x v="2"/>
  </r>
  <r>
    <x v="685"/>
    <x v="30"/>
    <x v="0"/>
    <x v="0"/>
    <x v="0"/>
    <x v="21"/>
    <x v="0"/>
    <x v="2"/>
    <x v="2"/>
    <x v="13"/>
    <x v="13"/>
    <x v="29"/>
    <x v="1"/>
    <x v="0"/>
    <x v="42"/>
    <x v="10"/>
    <x v="2"/>
  </r>
  <r>
    <x v="686"/>
    <x v="30"/>
    <x v="0"/>
    <x v="0"/>
    <x v="0"/>
    <x v="22"/>
    <x v="0"/>
    <x v="2"/>
    <x v="1"/>
    <x v="13"/>
    <x v="18"/>
    <x v="29"/>
    <x v="14"/>
    <x v="3"/>
    <x v="60"/>
    <x v="19"/>
    <x v="2"/>
  </r>
  <r>
    <x v="687"/>
    <x v="30"/>
    <x v="0"/>
    <x v="0"/>
    <x v="0"/>
    <x v="23"/>
    <x v="0"/>
    <x v="2"/>
    <x v="1"/>
    <x v="13"/>
    <x v="13"/>
    <x v="26"/>
    <x v="1"/>
    <x v="4"/>
    <x v="89"/>
    <x v="22"/>
    <x v="2"/>
  </r>
  <r>
    <x v="688"/>
    <x v="31"/>
    <x v="0"/>
    <x v="0"/>
    <x v="1"/>
    <x v="0"/>
    <x v="0"/>
    <x v="3"/>
    <x v="1"/>
    <x v="13"/>
    <x v="18"/>
    <x v="26"/>
    <x v="14"/>
    <x v="4"/>
    <x v="8"/>
    <x v="7"/>
    <x v="3"/>
  </r>
  <r>
    <x v="689"/>
    <x v="31"/>
    <x v="0"/>
    <x v="0"/>
    <x v="1"/>
    <x v="1"/>
    <x v="0"/>
    <x v="3"/>
    <x v="1"/>
    <x v="13"/>
    <x v="18"/>
    <x v="27"/>
    <x v="14"/>
    <x v="3"/>
    <x v="35"/>
    <x v="6"/>
    <x v="3"/>
  </r>
  <r>
    <x v="690"/>
    <x v="31"/>
    <x v="0"/>
    <x v="0"/>
    <x v="1"/>
    <x v="2"/>
    <x v="0"/>
    <x v="3"/>
    <x v="1"/>
    <x v="13"/>
    <x v="11"/>
    <x v="27"/>
    <x v="0"/>
    <x v="3"/>
    <x v="6"/>
    <x v="5"/>
    <x v="3"/>
  </r>
  <r>
    <x v="691"/>
    <x v="31"/>
    <x v="0"/>
    <x v="0"/>
    <x v="1"/>
    <x v="3"/>
    <x v="0"/>
    <x v="3"/>
    <x v="1"/>
    <x v="13"/>
    <x v="11"/>
    <x v="27"/>
    <x v="0"/>
    <x v="3"/>
    <x v="6"/>
    <x v="5"/>
    <x v="3"/>
  </r>
  <r>
    <x v="692"/>
    <x v="31"/>
    <x v="0"/>
    <x v="0"/>
    <x v="1"/>
    <x v="5"/>
    <x v="0"/>
    <x v="3"/>
    <x v="2"/>
    <x v="14"/>
    <x v="12"/>
    <x v="43"/>
    <x v="0"/>
    <x v="3"/>
    <x v="35"/>
    <x v="6"/>
    <x v="3"/>
  </r>
  <r>
    <x v="693"/>
    <x v="31"/>
    <x v="0"/>
    <x v="0"/>
    <x v="1"/>
    <x v="6"/>
    <x v="0"/>
    <x v="3"/>
    <x v="2"/>
    <x v="14"/>
    <x v="12"/>
    <x v="43"/>
    <x v="0"/>
    <x v="3"/>
    <x v="97"/>
    <x v="34"/>
    <x v="3"/>
  </r>
  <r>
    <x v="694"/>
    <x v="31"/>
    <x v="0"/>
    <x v="0"/>
    <x v="1"/>
    <x v="7"/>
    <x v="0"/>
    <x v="3"/>
    <x v="2"/>
    <x v="13"/>
    <x v="11"/>
    <x v="43"/>
    <x v="0"/>
    <x v="3"/>
    <x v="15"/>
    <x v="46"/>
    <x v="3"/>
  </r>
  <r>
    <x v="695"/>
    <x v="31"/>
    <x v="0"/>
    <x v="0"/>
    <x v="1"/>
    <x v="8"/>
    <x v="0"/>
    <x v="3"/>
    <x v="2"/>
    <x v="13"/>
    <x v="11"/>
    <x v="43"/>
    <x v="0"/>
    <x v="0"/>
    <x v="126"/>
    <x v="169"/>
    <x v="3"/>
  </r>
  <r>
    <x v="696"/>
    <x v="31"/>
    <x v="0"/>
    <x v="0"/>
    <x v="1"/>
    <x v="9"/>
    <x v="0"/>
    <x v="3"/>
    <x v="1"/>
    <x v="13"/>
    <x v="11"/>
    <x v="43"/>
    <x v="0"/>
    <x v="4"/>
    <x v="156"/>
    <x v="155"/>
    <x v="3"/>
  </r>
  <r>
    <x v="697"/>
    <x v="31"/>
    <x v="0"/>
    <x v="0"/>
    <x v="1"/>
    <x v="10"/>
    <x v="0"/>
    <x v="3"/>
    <x v="1"/>
    <x v="13"/>
    <x v="11"/>
    <x v="43"/>
    <x v="0"/>
    <x v="3"/>
    <x v="12"/>
    <x v="105"/>
    <x v="3"/>
  </r>
  <r>
    <x v="698"/>
    <x v="31"/>
    <x v="0"/>
    <x v="0"/>
    <x v="1"/>
    <x v="11"/>
    <x v="0"/>
    <x v="3"/>
    <x v="1"/>
    <x v="15"/>
    <x v="19"/>
    <x v="3"/>
    <x v="0"/>
    <x v="4"/>
    <x v="47"/>
    <x v="41"/>
    <x v="3"/>
  </r>
  <r>
    <x v="699"/>
    <x v="31"/>
    <x v="0"/>
    <x v="0"/>
    <x v="1"/>
    <x v="12"/>
    <x v="0"/>
    <x v="3"/>
    <x v="1"/>
    <x v="2"/>
    <x v="2"/>
    <x v="3"/>
    <x v="0"/>
    <x v="4"/>
    <x v="42"/>
    <x v="97"/>
    <x v="3"/>
  </r>
  <r>
    <x v="700"/>
    <x v="31"/>
    <x v="0"/>
    <x v="0"/>
    <x v="1"/>
    <x v="13"/>
    <x v="0"/>
    <x v="3"/>
    <x v="1"/>
    <x v="2"/>
    <x v="2"/>
    <x v="3"/>
    <x v="0"/>
    <x v="0"/>
    <x v="47"/>
    <x v="46"/>
    <x v="3"/>
  </r>
  <r>
    <x v="701"/>
    <x v="31"/>
    <x v="0"/>
    <x v="0"/>
    <x v="1"/>
    <x v="14"/>
    <x v="0"/>
    <x v="3"/>
    <x v="1"/>
    <x v="1"/>
    <x v="2"/>
    <x v="1"/>
    <x v="1"/>
    <x v="2"/>
    <x v="47"/>
    <x v="60"/>
    <x v="3"/>
  </r>
  <r>
    <x v="702"/>
    <x v="31"/>
    <x v="0"/>
    <x v="0"/>
    <x v="1"/>
    <x v="15"/>
    <x v="0"/>
    <x v="3"/>
    <x v="1"/>
    <x v="0"/>
    <x v="0"/>
    <x v="2"/>
    <x v="0"/>
    <x v="18"/>
    <x v="108"/>
    <x v="46"/>
    <x v="3"/>
  </r>
  <r>
    <x v="703"/>
    <x v="31"/>
    <x v="0"/>
    <x v="0"/>
    <x v="1"/>
    <x v="16"/>
    <x v="0"/>
    <x v="3"/>
    <x v="1"/>
    <x v="0"/>
    <x v="19"/>
    <x v="2"/>
    <x v="7"/>
    <x v="0"/>
    <x v="124"/>
    <x v="37"/>
    <x v="3"/>
  </r>
  <r>
    <x v="704"/>
    <x v="31"/>
    <x v="0"/>
    <x v="0"/>
    <x v="1"/>
    <x v="17"/>
    <x v="0"/>
    <x v="3"/>
    <x v="1"/>
    <x v="0"/>
    <x v="0"/>
    <x v="2"/>
    <x v="0"/>
    <x v="17"/>
    <x v="157"/>
    <x v="170"/>
    <x v="3"/>
  </r>
  <r>
    <x v="705"/>
    <x v="31"/>
    <x v="0"/>
    <x v="0"/>
    <x v="1"/>
    <x v="18"/>
    <x v="0"/>
    <x v="3"/>
    <x v="1"/>
    <x v="0"/>
    <x v="2"/>
    <x v="0"/>
    <x v="14"/>
    <x v="0"/>
    <x v="158"/>
    <x v="171"/>
    <x v="3"/>
  </r>
  <r>
    <x v="706"/>
    <x v="31"/>
    <x v="0"/>
    <x v="0"/>
    <x v="1"/>
    <x v="19"/>
    <x v="0"/>
    <x v="3"/>
    <x v="1"/>
    <x v="0"/>
    <x v="19"/>
    <x v="0"/>
    <x v="7"/>
    <x v="0"/>
    <x v="159"/>
    <x v="159"/>
    <x v="3"/>
  </r>
  <r>
    <x v="707"/>
    <x v="31"/>
    <x v="0"/>
    <x v="0"/>
    <x v="1"/>
    <x v="20"/>
    <x v="0"/>
    <x v="3"/>
    <x v="1"/>
    <x v="1"/>
    <x v="11"/>
    <x v="9"/>
    <x v="7"/>
    <x v="2"/>
    <x v="94"/>
    <x v="30"/>
    <x v="3"/>
  </r>
  <r>
    <x v="708"/>
    <x v="31"/>
    <x v="0"/>
    <x v="0"/>
    <x v="1"/>
    <x v="21"/>
    <x v="0"/>
    <x v="3"/>
    <x v="1"/>
    <x v="1"/>
    <x v="11"/>
    <x v="9"/>
    <x v="7"/>
    <x v="3"/>
    <x v="27"/>
    <x v="37"/>
    <x v="3"/>
  </r>
  <r>
    <x v="709"/>
    <x v="31"/>
    <x v="0"/>
    <x v="0"/>
    <x v="1"/>
    <x v="22"/>
    <x v="0"/>
    <x v="3"/>
    <x v="1"/>
    <x v="1"/>
    <x v="2"/>
    <x v="9"/>
    <x v="1"/>
    <x v="4"/>
    <x v="60"/>
    <x v="9"/>
    <x v="3"/>
  </r>
  <r>
    <x v="710"/>
    <x v="31"/>
    <x v="0"/>
    <x v="0"/>
    <x v="1"/>
    <x v="23"/>
    <x v="0"/>
    <x v="3"/>
    <x v="2"/>
    <x v="2"/>
    <x v="13"/>
    <x v="43"/>
    <x v="5"/>
    <x v="5"/>
    <x v="89"/>
    <x v="0"/>
    <x v="3"/>
  </r>
  <r>
    <x v="711"/>
    <x v="32"/>
    <x v="0"/>
    <x v="0"/>
    <x v="1"/>
    <x v="0"/>
    <x v="0"/>
    <x v="4"/>
    <x v="2"/>
    <x v="1"/>
    <x v="19"/>
    <x v="43"/>
    <x v="14"/>
    <x v="3"/>
    <x v="6"/>
    <x v="5"/>
    <x v="4"/>
  </r>
  <r>
    <x v="712"/>
    <x v="32"/>
    <x v="0"/>
    <x v="0"/>
    <x v="1"/>
    <x v="1"/>
    <x v="0"/>
    <x v="4"/>
    <x v="2"/>
    <x v="1"/>
    <x v="11"/>
    <x v="43"/>
    <x v="5"/>
    <x v="3"/>
    <x v="35"/>
    <x v="6"/>
    <x v="4"/>
  </r>
  <r>
    <x v="713"/>
    <x v="32"/>
    <x v="0"/>
    <x v="0"/>
    <x v="1"/>
    <x v="2"/>
    <x v="0"/>
    <x v="4"/>
    <x v="2"/>
    <x v="1"/>
    <x v="11"/>
    <x v="43"/>
    <x v="7"/>
    <x v="17"/>
    <x v="5"/>
    <x v="48"/>
    <x v="4"/>
  </r>
  <r>
    <x v="714"/>
    <x v="32"/>
    <x v="0"/>
    <x v="0"/>
    <x v="1"/>
    <x v="3"/>
    <x v="0"/>
    <x v="4"/>
    <x v="2"/>
    <x v="1"/>
    <x v="11"/>
    <x v="43"/>
    <x v="7"/>
    <x v="3"/>
    <x v="4"/>
    <x v="4"/>
    <x v="4"/>
  </r>
  <r>
    <x v="715"/>
    <x v="32"/>
    <x v="0"/>
    <x v="0"/>
    <x v="1"/>
    <x v="4"/>
    <x v="0"/>
    <x v="4"/>
    <x v="2"/>
    <x v="1"/>
    <x v="12"/>
    <x v="43"/>
    <x v="3"/>
    <x v="3"/>
    <x v="4"/>
    <x v="4"/>
    <x v="4"/>
  </r>
  <r>
    <x v="716"/>
    <x v="32"/>
    <x v="0"/>
    <x v="0"/>
    <x v="1"/>
    <x v="5"/>
    <x v="0"/>
    <x v="4"/>
    <x v="2"/>
    <x v="1"/>
    <x v="19"/>
    <x v="43"/>
    <x v="14"/>
    <x v="3"/>
    <x v="35"/>
    <x v="6"/>
    <x v="4"/>
  </r>
  <r>
    <x v="717"/>
    <x v="32"/>
    <x v="0"/>
    <x v="0"/>
    <x v="1"/>
    <x v="6"/>
    <x v="0"/>
    <x v="4"/>
    <x v="2"/>
    <x v="1"/>
    <x v="19"/>
    <x v="43"/>
    <x v="14"/>
    <x v="5"/>
    <x v="19"/>
    <x v="109"/>
    <x v="4"/>
  </r>
  <r>
    <x v="718"/>
    <x v="32"/>
    <x v="0"/>
    <x v="0"/>
    <x v="1"/>
    <x v="7"/>
    <x v="0"/>
    <x v="4"/>
    <x v="2"/>
    <x v="1"/>
    <x v="12"/>
    <x v="43"/>
    <x v="6"/>
    <x v="5"/>
    <x v="41"/>
    <x v="99"/>
    <x v="4"/>
  </r>
  <r>
    <x v="719"/>
    <x v="32"/>
    <x v="0"/>
    <x v="0"/>
    <x v="1"/>
    <x v="8"/>
    <x v="0"/>
    <x v="4"/>
    <x v="2"/>
    <x v="1"/>
    <x v="12"/>
    <x v="43"/>
    <x v="6"/>
    <x v="5"/>
    <x v="105"/>
    <x v="107"/>
    <x v="4"/>
  </r>
  <r>
    <x v="720"/>
    <x v="32"/>
    <x v="0"/>
    <x v="0"/>
    <x v="1"/>
    <x v="9"/>
    <x v="0"/>
    <x v="4"/>
    <x v="1"/>
    <x v="0"/>
    <x v="2"/>
    <x v="43"/>
    <x v="1"/>
    <x v="17"/>
    <x v="138"/>
    <x v="92"/>
    <x v="4"/>
  </r>
  <r>
    <x v="721"/>
    <x v="32"/>
    <x v="0"/>
    <x v="0"/>
    <x v="1"/>
    <x v="10"/>
    <x v="0"/>
    <x v="4"/>
    <x v="1"/>
    <x v="1"/>
    <x v="1"/>
    <x v="11"/>
    <x v="0"/>
    <x v="4"/>
    <x v="79"/>
    <x v="42"/>
    <x v="4"/>
  </r>
  <r>
    <x v="722"/>
    <x v="32"/>
    <x v="0"/>
    <x v="0"/>
    <x v="1"/>
    <x v="11"/>
    <x v="0"/>
    <x v="4"/>
    <x v="1"/>
    <x v="0"/>
    <x v="11"/>
    <x v="43"/>
    <x v="5"/>
    <x v="2"/>
    <x v="12"/>
    <x v="46"/>
    <x v="4"/>
  </r>
  <r>
    <x v="723"/>
    <x v="32"/>
    <x v="0"/>
    <x v="0"/>
    <x v="1"/>
    <x v="12"/>
    <x v="0"/>
    <x v="4"/>
    <x v="1"/>
    <x v="0"/>
    <x v="11"/>
    <x v="43"/>
    <x v="6"/>
    <x v="0"/>
    <x v="124"/>
    <x v="37"/>
    <x v="4"/>
  </r>
  <r>
    <x v="724"/>
    <x v="32"/>
    <x v="0"/>
    <x v="0"/>
    <x v="1"/>
    <x v="13"/>
    <x v="0"/>
    <x v="4"/>
    <x v="0"/>
    <x v="10"/>
    <x v="6"/>
    <x v="43"/>
    <x v="8"/>
    <x v="5"/>
    <x v="64"/>
    <x v="28"/>
    <x v="4"/>
  </r>
  <r>
    <x v="725"/>
    <x v="32"/>
    <x v="0"/>
    <x v="0"/>
    <x v="1"/>
    <x v="14"/>
    <x v="0"/>
    <x v="4"/>
    <x v="0"/>
    <x v="4"/>
    <x v="5"/>
    <x v="7"/>
    <x v="13"/>
    <x v="4"/>
    <x v="124"/>
    <x v="55"/>
    <x v="4"/>
  </r>
  <r>
    <x v="726"/>
    <x v="32"/>
    <x v="0"/>
    <x v="0"/>
    <x v="1"/>
    <x v="15"/>
    <x v="0"/>
    <x v="4"/>
    <x v="0"/>
    <x v="4"/>
    <x v="5"/>
    <x v="4"/>
    <x v="9"/>
    <x v="22"/>
    <x v="43"/>
    <x v="31"/>
    <x v="4"/>
  </r>
  <r>
    <x v="727"/>
    <x v="32"/>
    <x v="0"/>
    <x v="0"/>
    <x v="1"/>
    <x v="16"/>
    <x v="0"/>
    <x v="4"/>
    <x v="0"/>
    <x v="5"/>
    <x v="6"/>
    <x v="12"/>
    <x v="4"/>
    <x v="1"/>
    <x v="73"/>
    <x v="153"/>
    <x v="4"/>
  </r>
  <r>
    <x v="728"/>
    <x v="32"/>
    <x v="0"/>
    <x v="0"/>
    <x v="1"/>
    <x v="17"/>
    <x v="0"/>
    <x v="4"/>
    <x v="0"/>
    <x v="5"/>
    <x v="21"/>
    <x v="45"/>
    <x v="18"/>
    <x v="18"/>
    <x v="160"/>
    <x v="71"/>
    <x v="4"/>
  </r>
  <r>
    <x v="729"/>
    <x v="32"/>
    <x v="0"/>
    <x v="0"/>
    <x v="1"/>
    <x v="18"/>
    <x v="0"/>
    <x v="4"/>
    <x v="0"/>
    <x v="10"/>
    <x v="0"/>
    <x v="16"/>
    <x v="16"/>
    <x v="18"/>
    <x v="161"/>
    <x v="58"/>
    <x v="4"/>
  </r>
  <r>
    <x v="730"/>
    <x v="32"/>
    <x v="0"/>
    <x v="0"/>
    <x v="1"/>
    <x v="19"/>
    <x v="0"/>
    <x v="4"/>
    <x v="0"/>
    <x v="17"/>
    <x v="19"/>
    <x v="49"/>
    <x v="15"/>
    <x v="0"/>
    <x v="152"/>
    <x v="134"/>
    <x v="4"/>
  </r>
  <r>
    <x v="731"/>
    <x v="32"/>
    <x v="0"/>
    <x v="0"/>
    <x v="1"/>
    <x v="20"/>
    <x v="0"/>
    <x v="4"/>
    <x v="0"/>
    <x v="0"/>
    <x v="13"/>
    <x v="37"/>
    <x v="16"/>
    <x v="17"/>
    <x v="13"/>
    <x v="28"/>
    <x v="4"/>
  </r>
  <r>
    <x v="732"/>
    <x v="32"/>
    <x v="0"/>
    <x v="0"/>
    <x v="1"/>
    <x v="21"/>
    <x v="0"/>
    <x v="4"/>
    <x v="0"/>
    <x v="1"/>
    <x v="13"/>
    <x v="19"/>
    <x v="9"/>
    <x v="5"/>
    <x v="133"/>
    <x v="55"/>
    <x v="4"/>
  </r>
  <r>
    <x v="733"/>
    <x v="32"/>
    <x v="0"/>
    <x v="0"/>
    <x v="1"/>
    <x v="22"/>
    <x v="0"/>
    <x v="4"/>
    <x v="0"/>
    <x v="1"/>
    <x v="12"/>
    <x v="18"/>
    <x v="2"/>
    <x v="2"/>
    <x v="96"/>
    <x v="1"/>
    <x v="4"/>
  </r>
  <r>
    <x v="734"/>
    <x v="32"/>
    <x v="0"/>
    <x v="0"/>
    <x v="1"/>
    <x v="23"/>
    <x v="0"/>
    <x v="4"/>
    <x v="0"/>
    <x v="2"/>
    <x v="17"/>
    <x v="18"/>
    <x v="10"/>
    <x v="0"/>
    <x v="31"/>
    <x v="2"/>
    <x v="4"/>
  </r>
  <r>
    <x v="735"/>
    <x v="33"/>
    <x v="0"/>
    <x v="0"/>
    <x v="1"/>
    <x v="0"/>
    <x v="0"/>
    <x v="5"/>
    <x v="0"/>
    <x v="2"/>
    <x v="17"/>
    <x v="22"/>
    <x v="10"/>
    <x v="5"/>
    <x v="48"/>
    <x v="47"/>
    <x v="5"/>
  </r>
  <r>
    <x v="736"/>
    <x v="33"/>
    <x v="0"/>
    <x v="0"/>
    <x v="1"/>
    <x v="1"/>
    <x v="0"/>
    <x v="5"/>
    <x v="0"/>
    <x v="2"/>
    <x v="20"/>
    <x v="18"/>
    <x v="18"/>
    <x v="3"/>
    <x v="34"/>
    <x v="36"/>
    <x v="5"/>
  </r>
  <r>
    <x v="737"/>
    <x v="33"/>
    <x v="0"/>
    <x v="0"/>
    <x v="1"/>
    <x v="2"/>
    <x v="0"/>
    <x v="5"/>
    <x v="0"/>
    <x v="15"/>
    <x v="17"/>
    <x v="21"/>
    <x v="2"/>
    <x v="3"/>
    <x v="6"/>
    <x v="5"/>
    <x v="5"/>
  </r>
  <r>
    <x v="738"/>
    <x v="33"/>
    <x v="0"/>
    <x v="0"/>
    <x v="1"/>
    <x v="3"/>
    <x v="0"/>
    <x v="5"/>
    <x v="0"/>
    <x v="15"/>
    <x v="17"/>
    <x v="21"/>
    <x v="2"/>
    <x v="3"/>
    <x v="4"/>
    <x v="4"/>
    <x v="5"/>
  </r>
  <r>
    <x v="739"/>
    <x v="33"/>
    <x v="0"/>
    <x v="0"/>
    <x v="1"/>
    <x v="5"/>
    <x v="0"/>
    <x v="5"/>
    <x v="0"/>
    <x v="13"/>
    <x v="14"/>
    <x v="20"/>
    <x v="4"/>
    <x v="3"/>
    <x v="6"/>
    <x v="5"/>
    <x v="5"/>
  </r>
  <r>
    <x v="740"/>
    <x v="33"/>
    <x v="0"/>
    <x v="0"/>
    <x v="1"/>
    <x v="6"/>
    <x v="0"/>
    <x v="5"/>
    <x v="0"/>
    <x v="13"/>
    <x v="14"/>
    <x v="21"/>
    <x v="11"/>
    <x v="3"/>
    <x v="87"/>
    <x v="21"/>
    <x v="5"/>
  </r>
  <r>
    <x v="741"/>
    <x v="33"/>
    <x v="0"/>
    <x v="0"/>
    <x v="1"/>
    <x v="7"/>
    <x v="0"/>
    <x v="5"/>
    <x v="0"/>
    <x v="14"/>
    <x v="16"/>
    <x v="20"/>
    <x v="9"/>
    <x v="5"/>
    <x v="132"/>
    <x v="90"/>
    <x v="5"/>
  </r>
  <r>
    <x v="742"/>
    <x v="33"/>
    <x v="0"/>
    <x v="0"/>
    <x v="1"/>
    <x v="8"/>
    <x v="0"/>
    <x v="5"/>
    <x v="0"/>
    <x v="14"/>
    <x v="16"/>
    <x v="20"/>
    <x v="11"/>
    <x v="17"/>
    <x v="103"/>
    <x v="104"/>
    <x v="5"/>
  </r>
  <r>
    <x v="743"/>
    <x v="33"/>
    <x v="0"/>
    <x v="0"/>
    <x v="1"/>
    <x v="9"/>
    <x v="0"/>
    <x v="5"/>
    <x v="0"/>
    <x v="13"/>
    <x v="14"/>
    <x v="19"/>
    <x v="4"/>
    <x v="15"/>
    <x v="69"/>
    <x v="140"/>
    <x v="5"/>
  </r>
  <r>
    <x v="744"/>
    <x v="33"/>
    <x v="0"/>
    <x v="0"/>
    <x v="1"/>
    <x v="10"/>
    <x v="0"/>
    <x v="5"/>
    <x v="0"/>
    <x v="15"/>
    <x v="20"/>
    <x v="21"/>
    <x v="9"/>
    <x v="4"/>
    <x v="54"/>
    <x v="46"/>
    <x v="5"/>
  </r>
  <r>
    <x v="745"/>
    <x v="33"/>
    <x v="0"/>
    <x v="0"/>
    <x v="1"/>
    <x v="11"/>
    <x v="0"/>
    <x v="5"/>
    <x v="0"/>
    <x v="15"/>
    <x v="14"/>
    <x v="21"/>
    <x v="10"/>
    <x v="14"/>
    <x v="11"/>
    <x v="37"/>
    <x v="5"/>
  </r>
  <r>
    <x v="746"/>
    <x v="33"/>
    <x v="0"/>
    <x v="0"/>
    <x v="1"/>
    <x v="12"/>
    <x v="0"/>
    <x v="5"/>
    <x v="0"/>
    <x v="2"/>
    <x v="18"/>
    <x v="22"/>
    <x v="11"/>
    <x v="4"/>
    <x v="28"/>
    <x v="83"/>
    <x v="5"/>
  </r>
  <r>
    <x v="747"/>
    <x v="33"/>
    <x v="0"/>
    <x v="0"/>
    <x v="1"/>
    <x v="13"/>
    <x v="0"/>
    <x v="5"/>
    <x v="0"/>
    <x v="2"/>
    <x v="17"/>
    <x v="22"/>
    <x v="12"/>
    <x v="17"/>
    <x v="12"/>
    <x v="41"/>
    <x v="5"/>
  </r>
  <r>
    <x v="748"/>
    <x v="33"/>
    <x v="0"/>
    <x v="0"/>
    <x v="1"/>
    <x v="14"/>
    <x v="0"/>
    <x v="5"/>
    <x v="0"/>
    <x v="1"/>
    <x v="13"/>
    <x v="38"/>
    <x v="13"/>
    <x v="17"/>
    <x v="30"/>
    <x v="105"/>
    <x v="5"/>
  </r>
  <r>
    <x v="749"/>
    <x v="33"/>
    <x v="0"/>
    <x v="0"/>
    <x v="1"/>
    <x v="15"/>
    <x v="0"/>
    <x v="5"/>
    <x v="0"/>
    <x v="1"/>
    <x v="13"/>
    <x v="38"/>
    <x v="9"/>
    <x v="17"/>
    <x v="90"/>
    <x v="122"/>
    <x v="5"/>
  </r>
  <r>
    <x v="750"/>
    <x v="33"/>
    <x v="0"/>
    <x v="0"/>
    <x v="1"/>
    <x v="16"/>
    <x v="0"/>
    <x v="5"/>
    <x v="0"/>
    <x v="1"/>
    <x v="12"/>
    <x v="38"/>
    <x v="2"/>
    <x v="2"/>
    <x v="26"/>
    <x v="53"/>
    <x v="5"/>
  </r>
  <r>
    <x v="751"/>
    <x v="33"/>
    <x v="0"/>
    <x v="0"/>
    <x v="1"/>
    <x v="17"/>
    <x v="0"/>
    <x v="5"/>
    <x v="0"/>
    <x v="2"/>
    <x v="13"/>
    <x v="22"/>
    <x v="5"/>
    <x v="2"/>
    <x v="162"/>
    <x v="172"/>
    <x v="5"/>
  </r>
  <r>
    <x v="752"/>
    <x v="33"/>
    <x v="0"/>
    <x v="0"/>
    <x v="1"/>
    <x v="18"/>
    <x v="0"/>
    <x v="5"/>
    <x v="0"/>
    <x v="2"/>
    <x v="12"/>
    <x v="22"/>
    <x v="8"/>
    <x v="4"/>
    <x v="142"/>
    <x v="173"/>
    <x v="5"/>
  </r>
  <r>
    <x v="753"/>
    <x v="33"/>
    <x v="0"/>
    <x v="0"/>
    <x v="1"/>
    <x v="19"/>
    <x v="0"/>
    <x v="5"/>
    <x v="0"/>
    <x v="2"/>
    <x v="2"/>
    <x v="22"/>
    <x v="0"/>
    <x v="17"/>
    <x v="50"/>
    <x v="152"/>
    <x v="5"/>
  </r>
  <r>
    <x v="754"/>
    <x v="33"/>
    <x v="0"/>
    <x v="0"/>
    <x v="1"/>
    <x v="20"/>
    <x v="0"/>
    <x v="5"/>
    <x v="0"/>
    <x v="2"/>
    <x v="11"/>
    <x v="19"/>
    <x v="1"/>
    <x v="5"/>
    <x v="123"/>
    <x v="142"/>
    <x v="5"/>
  </r>
  <r>
    <x v="755"/>
    <x v="33"/>
    <x v="0"/>
    <x v="0"/>
    <x v="1"/>
    <x v="21"/>
    <x v="0"/>
    <x v="5"/>
    <x v="0"/>
    <x v="15"/>
    <x v="12"/>
    <x v="28"/>
    <x v="14"/>
    <x v="5"/>
    <x v="42"/>
    <x v="60"/>
    <x v="5"/>
  </r>
  <r>
    <x v="756"/>
    <x v="33"/>
    <x v="0"/>
    <x v="0"/>
    <x v="1"/>
    <x v="22"/>
    <x v="0"/>
    <x v="5"/>
    <x v="0"/>
    <x v="15"/>
    <x v="12"/>
    <x v="33"/>
    <x v="1"/>
    <x v="4"/>
    <x v="87"/>
    <x v="102"/>
    <x v="5"/>
  </r>
  <r>
    <x v="757"/>
    <x v="33"/>
    <x v="0"/>
    <x v="0"/>
    <x v="1"/>
    <x v="23"/>
    <x v="0"/>
    <x v="5"/>
    <x v="0"/>
    <x v="2"/>
    <x v="11"/>
    <x v="19"/>
    <x v="14"/>
    <x v="17"/>
    <x v="60"/>
    <x v="103"/>
    <x v="5"/>
  </r>
  <r>
    <x v="758"/>
    <x v="34"/>
    <x v="0"/>
    <x v="0"/>
    <x v="1"/>
    <x v="0"/>
    <x v="0"/>
    <x v="6"/>
    <x v="1"/>
    <x v="2"/>
    <x v="2"/>
    <x v="18"/>
    <x v="0"/>
    <x v="0"/>
    <x v="3"/>
    <x v="3"/>
    <x v="6"/>
  </r>
  <r>
    <x v="759"/>
    <x v="34"/>
    <x v="0"/>
    <x v="0"/>
    <x v="1"/>
    <x v="1"/>
    <x v="0"/>
    <x v="6"/>
    <x v="1"/>
    <x v="13"/>
    <x v="11"/>
    <x v="29"/>
    <x v="0"/>
    <x v="3"/>
    <x v="7"/>
    <x v="85"/>
    <x v="6"/>
  </r>
  <r>
    <x v="760"/>
    <x v="34"/>
    <x v="0"/>
    <x v="0"/>
    <x v="1"/>
    <x v="2"/>
    <x v="0"/>
    <x v="6"/>
    <x v="1"/>
    <x v="14"/>
    <x v="17"/>
    <x v="30"/>
    <x v="14"/>
    <x v="3"/>
    <x v="4"/>
    <x v="4"/>
    <x v="6"/>
  </r>
  <r>
    <x v="761"/>
    <x v="34"/>
    <x v="0"/>
    <x v="0"/>
    <x v="1"/>
    <x v="3"/>
    <x v="0"/>
    <x v="6"/>
    <x v="1"/>
    <x v="14"/>
    <x v="17"/>
    <x v="30"/>
    <x v="14"/>
    <x v="3"/>
    <x v="4"/>
    <x v="4"/>
    <x v="6"/>
  </r>
  <r>
    <x v="762"/>
    <x v="34"/>
    <x v="0"/>
    <x v="0"/>
    <x v="1"/>
    <x v="5"/>
    <x v="0"/>
    <x v="6"/>
    <x v="1"/>
    <x v="14"/>
    <x v="20"/>
    <x v="30"/>
    <x v="7"/>
    <x v="3"/>
    <x v="7"/>
    <x v="85"/>
    <x v="6"/>
  </r>
  <r>
    <x v="763"/>
    <x v="34"/>
    <x v="0"/>
    <x v="0"/>
    <x v="1"/>
    <x v="6"/>
    <x v="0"/>
    <x v="6"/>
    <x v="1"/>
    <x v="13"/>
    <x v="11"/>
    <x v="28"/>
    <x v="0"/>
    <x v="4"/>
    <x v="16"/>
    <x v="20"/>
    <x v="6"/>
  </r>
  <r>
    <x v="764"/>
    <x v="34"/>
    <x v="0"/>
    <x v="0"/>
    <x v="1"/>
    <x v="7"/>
    <x v="0"/>
    <x v="6"/>
    <x v="0"/>
    <x v="14"/>
    <x v="12"/>
    <x v="29"/>
    <x v="0"/>
    <x v="3"/>
    <x v="61"/>
    <x v="90"/>
    <x v="6"/>
  </r>
  <r>
    <x v="765"/>
    <x v="34"/>
    <x v="0"/>
    <x v="0"/>
    <x v="1"/>
    <x v="8"/>
    <x v="0"/>
    <x v="6"/>
    <x v="0"/>
    <x v="14"/>
    <x v="20"/>
    <x v="32"/>
    <x v="7"/>
    <x v="0"/>
    <x v="163"/>
    <x v="174"/>
    <x v="6"/>
  </r>
  <r>
    <x v="766"/>
    <x v="34"/>
    <x v="0"/>
    <x v="0"/>
    <x v="1"/>
    <x v="9"/>
    <x v="0"/>
    <x v="6"/>
    <x v="1"/>
    <x v="13"/>
    <x v="18"/>
    <x v="1"/>
    <x v="7"/>
    <x v="0"/>
    <x v="125"/>
    <x v="175"/>
    <x v="6"/>
  </r>
  <r>
    <x v="767"/>
    <x v="34"/>
    <x v="0"/>
    <x v="0"/>
    <x v="1"/>
    <x v="10"/>
    <x v="0"/>
    <x v="6"/>
    <x v="1"/>
    <x v="2"/>
    <x v="12"/>
    <x v="33"/>
    <x v="7"/>
    <x v="2"/>
    <x v="24"/>
    <x v="41"/>
    <x v="6"/>
  </r>
  <r>
    <x v="768"/>
    <x v="34"/>
    <x v="0"/>
    <x v="0"/>
    <x v="1"/>
    <x v="11"/>
    <x v="0"/>
    <x v="6"/>
    <x v="0"/>
    <x v="1"/>
    <x v="11"/>
    <x v="33"/>
    <x v="8"/>
    <x v="0"/>
    <x v="124"/>
    <x v="37"/>
    <x v="6"/>
  </r>
  <r>
    <x v="769"/>
    <x v="34"/>
    <x v="0"/>
    <x v="0"/>
    <x v="1"/>
    <x v="12"/>
    <x v="0"/>
    <x v="6"/>
    <x v="1"/>
    <x v="0"/>
    <x v="19"/>
    <x v="37"/>
    <x v="8"/>
    <x v="1"/>
    <x v="78"/>
    <x v="80"/>
    <x v="6"/>
  </r>
  <r>
    <x v="770"/>
    <x v="34"/>
    <x v="0"/>
    <x v="0"/>
    <x v="1"/>
    <x v="13"/>
    <x v="0"/>
    <x v="6"/>
    <x v="1"/>
    <x v="12"/>
    <x v="2"/>
    <x v="20"/>
    <x v="6"/>
    <x v="14"/>
    <x v="26"/>
    <x v="100"/>
    <x v="6"/>
  </r>
  <r>
    <x v="771"/>
    <x v="34"/>
    <x v="0"/>
    <x v="0"/>
    <x v="1"/>
    <x v="14"/>
    <x v="0"/>
    <x v="6"/>
    <x v="1"/>
    <x v="17"/>
    <x v="1"/>
    <x v="49"/>
    <x v="8"/>
    <x v="13"/>
    <x v="83"/>
    <x v="134"/>
    <x v="6"/>
  </r>
  <r>
    <x v="772"/>
    <x v="34"/>
    <x v="0"/>
    <x v="0"/>
    <x v="1"/>
    <x v="15"/>
    <x v="0"/>
    <x v="6"/>
    <x v="1"/>
    <x v="17"/>
    <x v="1"/>
    <x v="37"/>
    <x v="2"/>
    <x v="14"/>
    <x v="38"/>
    <x v="127"/>
    <x v="6"/>
  </r>
  <r>
    <x v="773"/>
    <x v="34"/>
    <x v="0"/>
    <x v="0"/>
    <x v="1"/>
    <x v="16"/>
    <x v="0"/>
    <x v="6"/>
    <x v="1"/>
    <x v="11"/>
    <x v="0"/>
    <x v="16"/>
    <x v="6"/>
    <x v="1"/>
    <x v="164"/>
    <x v="111"/>
    <x v="6"/>
  </r>
  <r>
    <x v="774"/>
    <x v="34"/>
    <x v="0"/>
    <x v="0"/>
    <x v="1"/>
    <x v="17"/>
    <x v="0"/>
    <x v="6"/>
    <x v="1"/>
    <x v="12"/>
    <x v="1"/>
    <x v="34"/>
    <x v="7"/>
    <x v="22"/>
    <x v="165"/>
    <x v="176"/>
    <x v="6"/>
  </r>
  <r>
    <x v="775"/>
    <x v="34"/>
    <x v="0"/>
    <x v="0"/>
    <x v="1"/>
    <x v="18"/>
    <x v="0"/>
    <x v="6"/>
    <x v="1"/>
    <x v="0"/>
    <x v="2"/>
    <x v="54"/>
    <x v="14"/>
    <x v="0"/>
    <x v="166"/>
    <x v="107"/>
    <x v="6"/>
  </r>
  <r>
    <x v="776"/>
    <x v="34"/>
    <x v="0"/>
    <x v="0"/>
    <x v="1"/>
    <x v="19"/>
    <x v="0"/>
    <x v="6"/>
    <x v="1"/>
    <x v="0"/>
    <x v="19"/>
    <x v="55"/>
    <x v="7"/>
    <x v="5"/>
    <x v="46"/>
    <x v="153"/>
    <x v="6"/>
  </r>
  <r>
    <x v="777"/>
    <x v="34"/>
    <x v="0"/>
    <x v="0"/>
    <x v="1"/>
    <x v="20"/>
    <x v="0"/>
    <x v="6"/>
    <x v="1"/>
    <x v="0"/>
    <x v="19"/>
    <x v="55"/>
    <x v="8"/>
    <x v="4"/>
    <x v="94"/>
    <x v="68"/>
    <x v="6"/>
  </r>
  <r>
    <x v="778"/>
    <x v="34"/>
    <x v="0"/>
    <x v="0"/>
    <x v="1"/>
    <x v="21"/>
    <x v="0"/>
    <x v="6"/>
    <x v="1"/>
    <x v="0"/>
    <x v="19"/>
    <x v="56"/>
    <x v="8"/>
    <x v="4"/>
    <x v="40"/>
    <x v="74"/>
    <x v="6"/>
  </r>
  <r>
    <x v="779"/>
    <x v="34"/>
    <x v="0"/>
    <x v="0"/>
    <x v="1"/>
    <x v="22"/>
    <x v="0"/>
    <x v="6"/>
    <x v="1"/>
    <x v="0"/>
    <x v="19"/>
    <x v="55"/>
    <x v="8"/>
    <x v="5"/>
    <x v="108"/>
    <x v="66"/>
    <x v="6"/>
  </r>
  <r>
    <x v="780"/>
    <x v="34"/>
    <x v="0"/>
    <x v="0"/>
    <x v="1"/>
    <x v="23"/>
    <x v="0"/>
    <x v="6"/>
    <x v="1"/>
    <x v="0"/>
    <x v="19"/>
    <x v="56"/>
    <x v="7"/>
    <x v="5"/>
    <x v="10"/>
    <x v="35"/>
    <x v="6"/>
  </r>
  <r>
    <x v="781"/>
    <x v="35"/>
    <x v="0"/>
    <x v="0"/>
    <x v="1"/>
    <x v="0"/>
    <x v="0"/>
    <x v="0"/>
    <x v="1"/>
    <x v="0"/>
    <x v="19"/>
    <x v="56"/>
    <x v="8"/>
    <x v="0"/>
    <x v="49"/>
    <x v="21"/>
    <x v="0"/>
  </r>
  <r>
    <x v="782"/>
    <x v="35"/>
    <x v="0"/>
    <x v="0"/>
    <x v="1"/>
    <x v="1"/>
    <x v="0"/>
    <x v="0"/>
    <x v="1"/>
    <x v="0"/>
    <x v="19"/>
    <x v="55"/>
    <x v="8"/>
    <x v="5"/>
    <x v="19"/>
    <x v="109"/>
    <x v="0"/>
  </r>
  <r>
    <x v="783"/>
    <x v="35"/>
    <x v="0"/>
    <x v="0"/>
    <x v="1"/>
    <x v="2"/>
    <x v="0"/>
    <x v="0"/>
    <x v="1"/>
    <x v="0"/>
    <x v="19"/>
    <x v="2"/>
    <x v="8"/>
    <x v="2"/>
    <x v="98"/>
    <x v="22"/>
    <x v="0"/>
  </r>
  <r>
    <x v="784"/>
    <x v="35"/>
    <x v="0"/>
    <x v="0"/>
    <x v="1"/>
    <x v="3"/>
    <x v="0"/>
    <x v="0"/>
    <x v="1"/>
    <x v="0"/>
    <x v="19"/>
    <x v="2"/>
    <x v="8"/>
    <x v="5"/>
    <x v="3"/>
    <x v="62"/>
    <x v="0"/>
  </r>
  <r>
    <x v="785"/>
    <x v="35"/>
    <x v="0"/>
    <x v="0"/>
    <x v="1"/>
    <x v="4"/>
    <x v="0"/>
    <x v="0"/>
    <x v="2"/>
    <x v="1"/>
    <x v="11"/>
    <x v="43"/>
    <x v="7"/>
    <x v="3"/>
    <x v="21"/>
    <x v="7"/>
    <x v="0"/>
  </r>
  <r>
    <x v="786"/>
    <x v="35"/>
    <x v="0"/>
    <x v="0"/>
    <x v="1"/>
    <x v="5"/>
    <x v="0"/>
    <x v="0"/>
    <x v="2"/>
    <x v="2"/>
    <x v="11"/>
    <x v="11"/>
    <x v="1"/>
    <x v="3"/>
    <x v="33"/>
    <x v="23"/>
    <x v="0"/>
  </r>
  <r>
    <x v="787"/>
    <x v="35"/>
    <x v="0"/>
    <x v="0"/>
    <x v="1"/>
    <x v="6"/>
    <x v="0"/>
    <x v="0"/>
    <x v="2"/>
    <x v="2"/>
    <x v="2"/>
    <x v="11"/>
    <x v="0"/>
    <x v="3"/>
    <x v="22"/>
    <x v="48"/>
    <x v="0"/>
  </r>
  <r>
    <x v="788"/>
    <x v="35"/>
    <x v="0"/>
    <x v="0"/>
    <x v="1"/>
    <x v="7"/>
    <x v="0"/>
    <x v="0"/>
    <x v="2"/>
    <x v="1"/>
    <x v="2"/>
    <x v="43"/>
    <x v="1"/>
    <x v="3"/>
    <x v="22"/>
    <x v="48"/>
    <x v="0"/>
  </r>
  <r>
    <x v="789"/>
    <x v="35"/>
    <x v="0"/>
    <x v="0"/>
    <x v="1"/>
    <x v="8"/>
    <x v="0"/>
    <x v="0"/>
    <x v="2"/>
    <x v="2"/>
    <x v="11"/>
    <x v="11"/>
    <x v="1"/>
    <x v="3"/>
    <x v="3"/>
    <x v="98"/>
    <x v="0"/>
  </r>
  <r>
    <x v="790"/>
    <x v="35"/>
    <x v="0"/>
    <x v="0"/>
    <x v="1"/>
    <x v="9"/>
    <x v="0"/>
    <x v="0"/>
    <x v="2"/>
    <x v="2"/>
    <x v="11"/>
    <x v="11"/>
    <x v="1"/>
    <x v="0"/>
    <x v="19"/>
    <x v="25"/>
    <x v="0"/>
  </r>
  <r>
    <x v="791"/>
    <x v="35"/>
    <x v="0"/>
    <x v="0"/>
    <x v="1"/>
    <x v="10"/>
    <x v="0"/>
    <x v="0"/>
    <x v="2"/>
    <x v="2"/>
    <x v="12"/>
    <x v="11"/>
    <x v="7"/>
    <x v="0"/>
    <x v="17"/>
    <x v="19"/>
    <x v="0"/>
  </r>
  <r>
    <x v="792"/>
    <x v="35"/>
    <x v="0"/>
    <x v="0"/>
    <x v="1"/>
    <x v="11"/>
    <x v="0"/>
    <x v="0"/>
    <x v="2"/>
    <x v="1"/>
    <x v="11"/>
    <x v="11"/>
    <x v="7"/>
    <x v="5"/>
    <x v="24"/>
    <x v="105"/>
    <x v="0"/>
  </r>
  <r>
    <x v="793"/>
    <x v="35"/>
    <x v="0"/>
    <x v="0"/>
    <x v="1"/>
    <x v="12"/>
    <x v="0"/>
    <x v="0"/>
    <x v="2"/>
    <x v="1"/>
    <x v="11"/>
    <x v="11"/>
    <x v="8"/>
    <x v="22"/>
    <x v="76"/>
    <x v="46"/>
    <x v="0"/>
  </r>
  <r>
    <x v="794"/>
    <x v="35"/>
    <x v="0"/>
    <x v="0"/>
    <x v="1"/>
    <x v="13"/>
    <x v="0"/>
    <x v="0"/>
    <x v="2"/>
    <x v="1"/>
    <x v="11"/>
    <x v="11"/>
    <x v="8"/>
    <x v="22"/>
    <x v="133"/>
    <x v="44"/>
    <x v="0"/>
  </r>
  <r>
    <x v="795"/>
    <x v="35"/>
    <x v="0"/>
    <x v="0"/>
    <x v="1"/>
    <x v="14"/>
    <x v="0"/>
    <x v="0"/>
    <x v="2"/>
    <x v="1"/>
    <x v="1"/>
    <x v="11"/>
    <x v="0"/>
    <x v="2"/>
    <x v="54"/>
    <x v="97"/>
    <x v="0"/>
  </r>
  <r>
    <x v="796"/>
    <x v="35"/>
    <x v="0"/>
    <x v="0"/>
    <x v="1"/>
    <x v="15"/>
    <x v="0"/>
    <x v="0"/>
    <x v="2"/>
    <x v="1"/>
    <x v="1"/>
    <x v="11"/>
    <x v="0"/>
    <x v="16"/>
    <x v="47"/>
    <x v="122"/>
    <x v="0"/>
  </r>
  <r>
    <x v="797"/>
    <x v="35"/>
    <x v="0"/>
    <x v="0"/>
    <x v="1"/>
    <x v="16"/>
    <x v="0"/>
    <x v="0"/>
    <x v="2"/>
    <x v="1"/>
    <x v="11"/>
    <x v="11"/>
    <x v="7"/>
    <x v="1"/>
    <x v="36"/>
    <x v="68"/>
    <x v="0"/>
  </r>
  <r>
    <x v="798"/>
    <x v="35"/>
    <x v="0"/>
    <x v="0"/>
    <x v="1"/>
    <x v="17"/>
    <x v="0"/>
    <x v="0"/>
    <x v="1"/>
    <x v="0"/>
    <x v="12"/>
    <x v="11"/>
    <x v="3"/>
    <x v="24"/>
    <x v="27"/>
    <x v="53"/>
    <x v="0"/>
  </r>
  <r>
    <x v="799"/>
    <x v="35"/>
    <x v="0"/>
    <x v="0"/>
    <x v="1"/>
    <x v="18"/>
    <x v="0"/>
    <x v="0"/>
    <x v="1"/>
    <x v="17"/>
    <x v="19"/>
    <x v="43"/>
    <x v="10"/>
    <x v="4"/>
    <x v="38"/>
    <x v="56"/>
    <x v="0"/>
  </r>
  <r>
    <x v="800"/>
    <x v="35"/>
    <x v="0"/>
    <x v="0"/>
    <x v="1"/>
    <x v="19"/>
    <x v="0"/>
    <x v="0"/>
    <x v="1"/>
    <x v="17"/>
    <x v="19"/>
    <x v="43"/>
    <x v="10"/>
    <x v="15"/>
    <x v="78"/>
    <x v="11"/>
    <x v="0"/>
  </r>
  <r>
    <x v="801"/>
    <x v="35"/>
    <x v="0"/>
    <x v="0"/>
    <x v="1"/>
    <x v="20"/>
    <x v="0"/>
    <x v="0"/>
    <x v="0"/>
    <x v="11"/>
    <x v="0"/>
    <x v="9"/>
    <x v="2"/>
    <x v="2"/>
    <x v="27"/>
    <x v="83"/>
    <x v="0"/>
  </r>
  <r>
    <x v="802"/>
    <x v="35"/>
    <x v="0"/>
    <x v="0"/>
    <x v="1"/>
    <x v="21"/>
    <x v="0"/>
    <x v="0"/>
    <x v="0"/>
    <x v="12"/>
    <x v="2"/>
    <x v="11"/>
    <x v="5"/>
    <x v="0"/>
    <x v="42"/>
    <x v="10"/>
    <x v="0"/>
  </r>
  <r>
    <x v="803"/>
    <x v="35"/>
    <x v="0"/>
    <x v="0"/>
    <x v="1"/>
    <x v="22"/>
    <x v="0"/>
    <x v="0"/>
    <x v="0"/>
    <x v="12"/>
    <x v="1"/>
    <x v="43"/>
    <x v="7"/>
    <x v="4"/>
    <x v="30"/>
    <x v="79"/>
    <x v="0"/>
  </r>
  <r>
    <x v="804"/>
    <x v="35"/>
    <x v="0"/>
    <x v="0"/>
    <x v="1"/>
    <x v="23"/>
    <x v="0"/>
    <x v="0"/>
    <x v="0"/>
    <x v="12"/>
    <x v="2"/>
    <x v="43"/>
    <x v="6"/>
    <x v="18"/>
    <x v="15"/>
    <x v="29"/>
    <x v="0"/>
  </r>
  <r>
    <x v="805"/>
    <x v="36"/>
    <x v="0"/>
    <x v="0"/>
    <x v="1"/>
    <x v="0"/>
    <x v="0"/>
    <x v="1"/>
    <x v="0"/>
    <x v="12"/>
    <x v="2"/>
    <x v="56"/>
    <x v="5"/>
    <x v="4"/>
    <x v="53"/>
    <x v="21"/>
    <x v="1"/>
  </r>
  <r>
    <x v="806"/>
    <x v="36"/>
    <x v="0"/>
    <x v="0"/>
    <x v="1"/>
    <x v="1"/>
    <x v="0"/>
    <x v="1"/>
    <x v="0"/>
    <x v="12"/>
    <x v="11"/>
    <x v="55"/>
    <x v="12"/>
    <x v="17"/>
    <x v="71"/>
    <x v="40"/>
    <x v="1"/>
  </r>
  <r>
    <x v="807"/>
    <x v="36"/>
    <x v="0"/>
    <x v="0"/>
    <x v="1"/>
    <x v="2"/>
    <x v="0"/>
    <x v="1"/>
    <x v="0"/>
    <x v="12"/>
    <x v="11"/>
    <x v="54"/>
    <x v="9"/>
    <x v="3"/>
    <x v="32"/>
    <x v="25"/>
    <x v="1"/>
  </r>
  <r>
    <x v="808"/>
    <x v="36"/>
    <x v="0"/>
    <x v="0"/>
    <x v="1"/>
    <x v="3"/>
    <x v="0"/>
    <x v="1"/>
    <x v="0"/>
    <x v="12"/>
    <x v="0"/>
    <x v="54"/>
    <x v="1"/>
    <x v="0"/>
    <x v="3"/>
    <x v="3"/>
    <x v="1"/>
  </r>
  <r>
    <x v="809"/>
    <x v="36"/>
    <x v="0"/>
    <x v="0"/>
    <x v="1"/>
    <x v="4"/>
    <x v="0"/>
    <x v="1"/>
    <x v="0"/>
    <x v="12"/>
    <x v="11"/>
    <x v="54"/>
    <x v="11"/>
    <x v="3"/>
    <x v="6"/>
    <x v="5"/>
    <x v="1"/>
  </r>
  <r>
    <x v="810"/>
    <x v="36"/>
    <x v="0"/>
    <x v="0"/>
    <x v="1"/>
    <x v="5"/>
    <x v="0"/>
    <x v="1"/>
    <x v="0"/>
    <x v="12"/>
    <x v="2"/>
    <x v="54"/>
    <x v="6"/>
    <x v="3"/>
    <x v="4"/>
    <x v="4"/>
    <x v="1"/>
  </r>
  <r>
    <x v="811"/>
    <x v="36"/>
    <x v="0"/>
    <x v="0"/>
    <x v="1"/>
    <x v="6"/>
    <x v="0"/>
    <x v="1"/>
    <x v="0"/>
    <x v="12"/>
    <x v="2"/>
    <x v="54"/>
    <x v="6"/>
    <x v="3"/>
    <x v="4"/>
    <x v="4"/>
    <x v="1"/>
  </r>
  <r>
    <x v="812"/>
    <x v="36"/>
    <x v="0"/>
    <x v="0"/>
    <x v="1"/>
    <x v="7"/>
    <x v="0"/>
    <x v="1"/>
    <x v="0"/>
    <x v="0"/>
    <x v="19"/>
    <x v="55"/>
    <x v="8"/>
    <x v="3"/>
    <x v="21"/>
    <x v="7"/>
    <x v="1"/>
  </r>
  <r>
    <x v="813"/>
    <x v="36"/>
    <x v="0"/>
    <x v="0"/>
    <x v="1"/>
    <x v="8"/>
    <x v="0"/>
    <x v="1"/>
    <x v="0"/>
    <x v="0"/>
    <x v="2"/>
    <x v="55"/>
    <x v="14"/>
    <x v="4"/>
    <x v="144"/>
    <x v="84"/>
    <x v="1"/>
  </r>
  <r>
    <x v="814"/>
    <x v="36"/>
    <x v="0"/>
    <x v="0"/>
    <x v="1"/>
    <x v="9"/>
    <x v="0"/>
    <x v="1"/>
    <x v="0"/>
    <x v="17"/>
    <x v="0"/>
    <x v="34"/>
    <x v="14"/>
    <x v="18"/>
    <x v="101"/>
    <x v="79"/>
    <x v="1"/>
  </r>
  <r>
    <x v="815"/>
    <x v="36"/>
    <x v="0"/>
    <x v="0"/>
    <x v="1"/>
    <x v="10"/>
    <x v="0"/>
    <x v="1"/>
    <x v="0"/>
    <x v="11"/>
    <x v="0"/>
    <x v="35"/>
    <x v="2"/>
    <x v="13"/>
    <x v="64"/>
    <x v="70"/>
    <x v="1"/>
  </r>
  <r>
    <x v="816"/>
    <x v="36"/>
    <x v="0"/>
    <x v="0"/>
    <x v="1"/>
    <x v="11"/>
    <x v="0"/>
    <x v="1"/>
    <x v="0"/>
    <x v="3"/>
    <x v="25"/>
    <x v="36"/>
    <x v="2"/>
    <x v="32"/>
    <x v="121"/>
    <x v="126"/>
    <x v="1"/>
  </r>
  <r>
    <x v="817"/>
    <x v="36"/>
    <x v="0"/>
    <x v="0"/>
    <x v="1"/>
    <x v="12"/>
    <x v="0"/>
    <x v="1"/>
    <x v="0"/>
    <x v="10"/>
    <x v="6"/>
    <x v="15"/>
    <x v="0"/>
    <x v="33"/>
    <x v="167"/>
    <x v="177"/>
    <x v="1"/>
  </r>
  <r>
    <x v="818"/>
    <x v="36"/>
    <x v="0"/>
    <x v="0"/>
    <x v="1"/>
    <x v="13"/>
    <x v="0"/>
    <x v="1"/>
    <x v="0"/>
    <x v="10"/>
    <x v="30"/>
    <x v="15"/>
    <x v="0"/>
    <x v="9"/>
    <x v="113"/>
    <x v="58"/>
    <x v="1"/>
  </r>
  <r>
    <x v="819"/>
    <x v="36"/>
    <x v="0"/>
    <x v="0"/>
    <x v="1"/>
    <x v="14"/>
    <x v="0"/>
    <x v="1"/>
    <x v="0"/>
    <x v="10"/>
    <x v="4"/>
    <x v="15"/>
    <x v="1"/>
    <x v="9"/>
    <x v="156"/>
    <x v="143"/>
    <x v="1"/>
  </r>
  <r>
    <x v="820"/>
    <x v="36"/>
    <x v="0"/>
    <x v="0"/>
    <x v="1"/>
    <x v="15"/>
    <x v="0"/>
    <x v="1"/>
    <x v="0"/>
    <x v="10"/>
    <x v="4"/>
    <x v="15"/>
    <x v="1"/>
    <x v="34"/>
    <x v="110"/>
    <x v="58"/>
    <x v="1"/>
  </r>
  <r>
    <x v="821"/>
    <x v="36"/>
    <x v="0"/>
    <x v="0"/>
    <x v="1"/>
    <x v="16"/>
    <x v="0"/>
    <x v="1"/>
    <x v="0"/>
    <x v="10"/>
    <x v="4"/>
    <x v="36"/>
    <x v="14"/>
    <x v="35"/>
    <x v="168"/>
    <x v="45"/>
    <x v="1"/>
  </r>
  <r>
    <x v="822"/>
    <x v="36"/>
    <x v="0"/>
    <x v="0"/>
    <x v="1"/>
    <x v="17"/>
    <x v="0"/>
    <x v="1"/>
    <x v="0"/>
    <x v="10"/>
    <x v="30"/>
    <x v="15"/>
    <x v="0"/>
    <x v="31"/>
    <x v="106"/>
    <x v="178"/>
    <x v="1"/>
  </r>
  <r>
    <x v="823"/>
    <x v="36"/>
    <x v="0"/>
    <x v="0"/>
    <x v="1"/>
    <x v="18"/>
    <x v="0"/>
    <x v="1"/>
    <x v="0"/>
    <x v="11"/>
    <x v="25"/>
    <x v="34"/>
    <x v="8"/>
    <x v="23"/>
    <x v="65"/>
    <x v="53"/>
    <x v="1"/>
  </r>
  <r>
    <x v="824"/>
    <x v="36"/>
    <x v="0"/>
    <x v="0"/>
    <x v="1"/>
    <x v="19"/>
    <x v="0"/>
    <x v="1"/>
    <x v="0"/>
    <x v="17"/>
    <x v="0"/>
    <x v="53"/>
    <x v="7"/>
    <x v="5"/>
    <x v="32"/>
    <x v="137"/>
    <x v="1"/>
  </r>
  <r>
    <x v="825"/>
    <x v="36"/>
    <x v="0"/>
    <x v="0"/>
    <x v="1"/>
    <x v="20"/>
    <x v="0"/>
    <x v="1"/>
    <x v="0"/>
    <x v="17"/>
    <x v="0"/>
    <x v="53"/>
    <x v="14"/>
    <x v="2"/>
    <x v="144"/>
    <x v="132"/>
    <x v="1"/>
  </r>
  <r>
    <x v="826"/>
    <x v="36"/>
    <x v="0"/>
    <x v="0"/>
    <x v="1"/>
    <x v="21"/>
    <x v="0"/>
    <x v="1"/>
    <x v="0"/>
    <x v="12"/>
    <x v="25"/>
    <x v="54"/>
    <x v="0"/>
    <x v="2"/>
    <x v="97"/>
    <x v="110"/>
    <x v="1"/>
  </r>
  <r>
    <x v="827"/>
    <x v="36"/>
    <x v="0"/>
    <x v="0"/>
    <x v="1"/>
    <x v="22"/>
    <x v="0"/>
    <x v="1"/>
    <x v="0"/>
    <x v="12"/>
    <x v="25"/>
    <x v="54"/>
    <x v="0"/>
    <x v="2"/>
    <x v="77"/>
    <x v="69"/>
    <x v="1"/>
  </r>
  <r>
    <x v="828"/>
    <x v="36"/>
    <x v="0"/>
    <x v="0"/>
    <x v="1"/>
    <x v="23"/>
    <x v="0"/>
    <x v="1"/>
    <x v="0"/>
    <x v="0"/>
    <x v="0"/>
    <x v="55"/>
    <x v="0"/>
    <x v="17"/>
    <x v="16"/>
    <x v="33"/>
    <x v="1"/>
  </r>
  <r>
    <x v="829"/>
    <x v="37"/>
    <x v="0"/>
    <x v="0"/>
    <x v="1"/>
    <x v="0"/>
    <x v="0"/>
    <x v="2"/>
    <x v="0"/>
    <x v="0"/>
    <x v="0"/>
    <x v="55"/>
    <x v="0"/>
    <x v="5"/>
    <x v="88"/>
    <x v="93"/>
    <x v="2"/>
  </r>
  <r>
    <x v="830"/>
    <x v="37"/>
    <x v="0"/>
    <x v="0"/>
    <x v="1"/>
    <x v="1"/>
    <x v="0"/>
    <x v="2"/>
    <x v="0"/>
    <x v="1"/>
    <x v="1"/>
    <x v="2"/>
    <x v="0"/>
    <x v="5"/>
    <x v="22"/>
    <x v="36"/>
    <x v="2"/>
  </r>
  <r>
    <x v="831"/>
    <x v="37"/>
    <x v="0"/>
    <x v="0"/>
    <x v="1"/>
    <x v="2"/>
    <x v="0"/>
    <x v="2"/>
    <x v="0"/>
    <x v="2"/>
    <x v="2"/>
    <x v="1"/>
    <x v="0"/>
    <x v="3"/>
    <x v="35"/>
    <x v="6"/>
    <x v="2"/>
  </r>
  <r>
    <x v="832"/>
    <x v="37"/>
    <x v="0"/>
    <x v="0"/>
    <x v="1"/>
    <x v="3"/>
    <x v="0"/>
    <x v="2"/>
    <x v="0"/>
    <x v="2"/>
    <x v="2"/>
    <x v="3"/>
    <x v="0"/>
    <x v="3"/>
    <x v="4"/>
    <x v="4"/>
    <x v="2"/>
  </r>
  <r>
    <x v="833"/>
    <x v="37"/>
    <x v="0"/>
    <x v="0"/>
    <x v="1"/>
    <x v="4"/>
    <x v="0"/>
    <x v="2"/>
    <x v="0"/>
    <x v="2"/>
    <x v="2"/>
    <x v="3"/>
    <x v="0"/>
    <x v="5"/>
    <x v="4"/>
    <x v="5"/>
    <x v="2"/>
  </r>
  <r>
    <x v="834"/>
    <x v="37"/>
    <x v="0"/>
    <x v="0"/>
    <x v="1"/>
    <x v="5"/>
    <x v="0"/>
    <x v="2"/>
    <x v="0"/>
    <x v="2"/>
    <x v="2"/>
    <x v="3"/>
    <x v="0"/>
    <x v="5"/>
    <x v="33"/>
    <x v="98"/>
    <x v="2"/>
  </r>
  <r>
    <x v="835"/>
    <x v="37"/>
    <x v="0"/>
    <x v="0"/>
    <x v="1"/>
    <x v="6"/>
    <x v="0"/>
    <x v="2"/>
    <x v="0"/>
    <x v="15"/>
    <x v="19"/>
    <x v="43"/>
    <x v="0"/>
    <x v="5"/>
    <x v="31"/>
    <x v="33"/>
    <x v="2"/>
  </r>
  <r>
    <x v="836"/>
    <x v="37"/>
    <x v="0"/>
    <x v="0"/>
    <x v="1"/>
    <x v="7"/>
    <x v="0"/>
    <x v="2"/>
    <x v="0"/>
    <x v="15"/>
    <x v="19"/>
    <x v="3"/>
    <x v="0"/>
    <x v="15"/>
    <x v="121"/>
    <x v="76"/>
    <x v="2"/>
  </r>
  <r>
    <x v="837"/>
    <x v="37"/>
    <x v="0"/>
    <x v="0"/>
    <x v="1"/>
    <x v="8"/>
    <x v="0"/>
    <x v="2"/>
    <x v="1"/>
    <x v="13"/>
    <x v="11"/>
    <x v="11"/>
    <x v="0"/>
    <x v="18"/>
    <x v="169"/>
    <x v="179"/>
    <x v="2"/>
  </r>
  <r>
    <x v="838"/>
    <x v="37"/>
    <x v="0"/>
    <x v="0"/>
    <x v="1"/>
    <x v="9"/>
    <x v="0"/>
    <x v="2"/>
    <x v="0"/>
    <x v="1"/>
    <x v="1"/>
    <x v="1"/>
    <x v="0"/>
    <x v="0"/>
    <x v="168"/>
    <x v="130"/>
    <x v="2"/>
  </r>
  <r>
    <x v="839"/>
    <x v="37"/>
    <x v="0"/>
    <x v="0"/>
    <x v="1"/>
    <x v="10"/>
    <x v="0"/>
    <x v="2"/>
    <x v="0"/>
    <x v="0"/>
    <x v="2"/>
    <x v="2"/>
    <x v="14"/>
    <x v="15"/>
    <x v="47"/>
    <x v="97"/>
    <x v="2"/>
  </r>
  <r>
    <x v="840"/>
    <x v="37"/>
    <x v="0"/>
    <x v="0"/>
    <x v="1"/>
    <x v="11"/>
    <x v="0"/>
    <x v="2"/>
    <x v="0"/>
    <x v="11"/>
    <x v="21"/>
    <x v="55"/>
    <x v="1"/>
    <x v="16"/>
    <x v="49"/>
    <x v="105"/>
    <x v="2"/>
  </r>
  <r>
    <x v="841"/>
    <x v="37"/>
    <x v="0"/>
    <x v="0"/>
    <x v="1"/>
    <x v="12"/>
    <x v="0"/>
    <x v="2"/>
    <x v="1"/>
    <x v="3"/>
    <x v="4"/>
    <x v="51"/>
    <x v="0"/>
    <x v="18"/>
    <x v="79"/>
    <x v="180"/>
    <x v="2"/>
  </r>
  <r>
    <x v="842"/>
    <x v="37"/>
    <x v="0"/>
    <x v="0"/>
    <x v="1"/>
    <x v="13"/>
    <x v="0"/>
    <x v="2"/>
    <x v="1"/>
    <x v="5"/>
    <x v="30"/>
    <x v="14"/>
    <x v="1"/>
    <x v="22"/>
    <x v="25"/>
    <x v="37"/>
    <x v="2"/>
  </r>
  <r>
    <x v="843"/>
    <x v="37"/>
    <x v="0"/>
    <x v="0"/>
    <x v="1"/>
    <x v="14"/>
    <x v="0"/>
    <x v="2"/>
    <x v="1"/>
    <x v="5"/>
    <x v="30"/>
    <x v="14"/>
    <x v="1"/>
    <x v="1"/>
    <x v="15"/>
    <x v="122"/>
    <x v="2"/>
  </r>
  <r>
    <x v="844"/>
    <x v="37"/>
    <x v="0"/>
    <x v="0"/>
    <x v="1"/>
    <x v="15"/>
    <x v="0"/>
    <x v="2"/>
    <x v="1"/>
    <x v="4"/>
    <x v="5"/>
    <x v="47"/>
    <x v="1"/>
    <x v="17"/>
    <x v="24"/>
    <x v="89"/>
    <x v="2"/>
  </r>
  <r>
    <x v="845"/>
    <x v="37"/>
    <x v="0"/>
    <x v="0"/>
    <x v="1"/>
    <x v="16"/>
    <x v="0"/>
    <x v="2"/>
    <x v="1"/>
    <x v="5"/>
    <x v="4"/>
    <x v="14"/>
    <x v="7"/>
    <x v="19"/>
    <x v="52"/>
    <x v="181"/>
    <x v="2"/>
  </r>
  <r>
    <x v="846"/>
    <x v="37"/>
    <x v="0"/>
    <x v="0"/>
    <x v="1"/>
    <x v="17"/>
    <x v="0"/>
    <x v="2"/>
    <x v="1"/>
    <x v="3"/>
    <x v="21"/>
    <x v="56"/>
    <x v="8"/>
    <x v="14"/>
    <x v="134"/>
    <x v="182"/>
    <x v="2"/>
  </r>
  <r>
    <x v="847"/>
    <x v="37"/>
    <x v="0"/>
    <x v="0"/>
    <x v="1"/>
    <x v="18"/>
    <x v="0"/>
    <x v="2"/>
    <x v="1"/>
    <x v="10"/>
    <x v="6"/>
    <x v="13"/>
    <x v="7"/>
    <x v="2"/>
    <x v="162"/>
    <x v="172"/>
    <x v="2"/>
  </r>
  <r>
    <x v="848"/>
    <x v="37"/>
    <x v="0"/>
    <x v="0"/>
    <x v="1"/>
    <x v="19"/>
    <x v="0"/>
    <x v="2"/>
    <x v="1"/>
    <x v="3"/>
    <x v="4"/>
    <x v="56"/>
    <x v="0"/>
    <x v="2"/>
    <x v="170"/>
    <x v="116"/>
    <x v="2"/>
  </r>
  <r>
    <x v="849"/>
    <x v="37"/>
    <x v="0"/>
    <x v="0"/>
    <x v="1"/>
    <x v="20"/>
    <x v="0"/>
    <x v="2"/>
    <x v="1"/>
    <x v="3"/>
    <x v="6"/>
    <x v="56"/>
    <x v="14"/>
    <x v="15"/>
    <x v="70"/>
    <x v="39"/>
    <x v="2"/>
  </r>
  <r>
    <x v="850"/>
    <x v="37"/>
    <x v="0"/>
    <x v="0"/>
    <x v="1"/>
    <x v="21"/>
    <x v="0"/>
    <x v="2"/>
    <x v="0"/>
    <x v="3"/>
    <x v="4"/>
    <x v="56"/>
    <x v="0"/>
    <x v="0"/>
    <x v="102"/>
    <x v="53"/>
    <x v="2"/>
  </r>
  <r>
    <x v="851"/>
    <x v="37"/>
    <x v="0"/>
    <x v="0"/>
    <x v="1"/>
    <x v="22"/>
    <x v="0"/>
    <x v="2"/>
    <x v="0"/>
    <x v="17"/>
    <x v="25"/>
    <x v="0"/>
    <x v="1"/>
    <x v="0"/>
    <x v="60"/>
    <x v="18"/>
    <x v="2"/>
  </r>
  <r>
    <x v="852"/>
    <x v="37"/>
    <x v="0"/>
    <x v="0"/>
    <x v="1"/>
    <x v="23"/>
    <x v="0"/>
    <x v="2"/>
    <x v="1"/>
    <x v="11"/>
    <x v="6"/>
    <x v="0"/>
    <x v="0"/>
    <x v="15"/>
    <x v="23"/>
    <x v="94"/>
    <x v="2"/>
  </r>
  <r>
    <x v="853"/>
    <x v="38"/>
    <x v="0"/>
    <x v="0"/>
    <x v="1"/>
    <x v="0"/>
    <x v="0"/>
    <x v="3"/>
    <x v="1"/>
    <x v="17"/>
    <x v="21"/>
    <x v="9"/>
    <x v="0"/>
    <x v="17"/>
    <x v="8"/>
    <x v="98"/>
    <x v="3"/>
  </r>
  <r>
    <x v="854"/>
    <x v="38"/>
    <x v="0"/>
    <x v="0"/>
    <x v="1"/>
    <x v="1"/>
    <x v="0"/>
    <x v="3"/>
    <x v="1"/>
    <x v="17"/>
    <x v="21"/>
    <x v="9"/>
    <x v="0"/>
    <x v="3"/>
    <x v="22"/>
    <x v="48"/>
    <x v="3"/>
  </r>
  <r>
    <x v="855"/>
    <x v="38"/>
    <x v="0"/>
    <x v="0"/>
    <x v="1"/>
    <x v="2"/>
    <x v="0"/>
    <x v="3"/>
    <x v="1"/>
    <x v="12"/>
    <x v="1"/>
    <x v="43"/>
    <x v="14"/>
    <x v="5"/>
    <x v="4"/>
    <x v="5"/>
    <x v="3"/>
  </r>
  <r>
    <x v="856"/>
    <x v="38"/>
    <x v="0"/>
    <x v="0"/>
    <x v="1"/>
    <x v="3"/>
    <x v="0"/>
    <x v="3"/>
    <x v="2"/>
    <x v="17"/>
    <x v="1"/>
    <x v="43"/>
    <x v="8"/>
    <x v="3"/>
    <x v="4"/>
    <x v="4"/>
    <x v="3"/>
  </r>
  <r>
    <x v="857"/>
    <x v="38"/>
    <x v="0"/>
    <x v="0"/>
    <x v="1"/>
    <x v="4"/>
    <x v="0"/>
    <x v="3"/>
    <x v="0"/>
    <x v="12"/>
    <x v="2"/>
    <x v="43"/>
    <x v="8"/>
    <x v="3"/>
    <x v="35"/>
    <x v="6"/>
    <x v="3"/>
  </r>
  <r>
    <x v="858"/>
    <x v="38"/>
    <x v="0"/>
    <x v="0"/>
    <x v="1"/>
    <x v="5"/>
    <x v="0"/>
    <x v="3"/>
    <x v="0"/>
    <x v="12"/>
    <x v="11"/>
    <x v="0"/>
    <x v="9"/>
    <x v="3"/>
    <x v="6"/>
    <x v="5"/>
    <x v="3"/>
  </r>
  <r>
    <x v="859"/>
    <x v="38"/>
    <x v="0"/>
    <x v="0"/>
    <x v="1"/>
    <x v="6"/>
    <x v="0"/>
    <x v="3"/>
    <x v="0"/>
    <x v="12"/>
    <x v="11"/>
    <x v="56"/>
    <x v="9"/>
    <x v="3"/>
    <x v="87"/>
    <x v="21"/>
    <x v="3"/>
  </r>
  <r>
    <x v="860"/>
    <x v="38"/>
    <x v="0"/>
    <x v="0"/>
    <x v="1"/>
    <x v="7"/>
    <x v="0"/>
    <x v="3"/>
    <x v="0"/>
    <x v="0"/>
    <x v="13"/>
    <x v="55"/>
    <x v="12"/>
    <x v="0"/>
    <x v="106"/>
    <x v="50"/>
    <x v="3"/>
  </r>
  <r>
    <x v="861"/>
    <x v="38"/>
    <x v="0"/>
    <x v="0"/>
    <x v="1"/>
    <x v="8"/>
    <x v="0"/>
    <x v="3"/>
    <x v="0"/>
    <x v="0"/>
    <x v="13"/>
    <x v="34"/>
    <x v="15"/>
    <x v="18"/>
    <x v="171"/>
    <x v="183"/>
    <x v="3"/>
  </r>
  <r>
    <x v="862"/>
    <x v="38"/>
    <x v="0"/>
    <x v="0"/>
    <x v="1"/>
    <x v="9"/>
    <x v="0"/>
    <x v="3"/>
    <x v="0"/>
    <x v="0"/>
    <x v="13"/>
    <x v="35"/>
    <x v="15"/>
    <x v="18"/>
    <x v="172"/>
    <x v="169"/>
    <x v="3"/>
  </r>
  <r>
    <x v="863"/>
    <x v="38"/>
    <x v="0"/>
    <x v="0"/>
    <x v="1"/>
    <x v="10"/>
    <x v="0"/>
    <x v="3"/>
    <x v="0"/>
    <x v="1"/>
    <x v="18"/>
    <x v="19"/>
    <x v="16"/>
    <x v="17"/>
    <x v="100"/>
    <x v="61"/>
    <x v="3"/>
  </r>
  <r>
    <x v="864"/>
    <x v="38"/>
    <x v="0"/>
    <x v="0"/>
    <x v="1"/>
    <x v="11"/>
    <x v="0"/>
    <x v="3"/>
    <x v="0"/>
    <x v="1"/>
    <x v="18"/>
    <x v="19"/>
    <x v="17"/>
    <x v="5"/>
    <x v="47"/>
    <x v="89"/>
    <x v="3"/>
  </r>
  <r>
    <x v="865"/>
    <x v="38"/>
    <x v="0"/>
    <x v="0"/>
    <x v="1"/>
    <x v="12"/>
    <x v="0"/>
    <x v="3"/>
    <x v="0"/>
    <x v="0"/>
    <x v="13"/>
    <x v="41"/>
    <x v="15"/>
    <x v="4"/>
    <x v="36"/>
    <x v="32"/>
    <x v="3"/>
  </r>
  <r>
    <x v="866"/>
    <x v="38"/>
    <x v="0"/>
    <x v="0"/>
    <x v="1"/>
    <x v="13"/>
    <x v="0"/>
    <x v="3"/>
    <x v="1"/>
    <x v="0"/>
    <x v="13"/>
    <x v="25"/>
    <x v="10"/>
    <x v="4"/>
    <x v="41"/>
    <x v="89"/>
    <x v="3"/>
  </r>
  <r>
    <x v="867"/>
    <x v="38"/>
    <x v="0"/>
    <x v="0"/>
    <x v="1"/>
    <x v="14"/>
    <x v="0"/>
    <x v="3"/>
    <x v="0"/>
    <x v="1"/>
    <x v="13"/>
    <x v="38"/>
    <x v="12"/>
    <x v="0"/>
    <x v="124"/>
    <x v="37"/>
    <x v="3"/>
  </r>
  <r>
    <x v="868"/>
    <x v="38"/>
    <x v="0"/>
    <x v="0"/>
    <x v="1"/>
    <x v="15"/>
    <x v="0"/>
    <x v="3"/>
    <x v="0"/>
    <x v="1"/>
    <x v="13"/>
    <x v="23"/>
    <x v="13"/>
    <x v="15"/>
    <x v="108"/>
    <x v="41"/>
    <x v="3"/>
  </r>
  <r>
    <x v="869"/>
    <x v="38"/>
    <x v="0"/>
    <x v="0"/>
    <x v="1"/>
    <x v="16"/>
    <x v="0"/>
    <x v="3"/>
    <x v="0"/>
    <x v="1"/>
    <x v="18"/>
    <x v="23"/>
    <x v="18"/>
    <x v="17"/>
    <x v="55"/>
    <x v="56"/>
    <x v="3"/>
  </r>
  <r>
    <x v="870"/>
    <x v="38"/>
    <x v="0"/>
    <x v="0"/>
    <x v="1"/>
    <x v="17"/>
    <x v="0"/>
    <x v="3"/>
    <x v="0"/>
    <x v="1"/>
    <x v="18"/>
    <x v="25"/>
    <x v="19"/>
    <x v="17"/>
    <x v="157"/>
    <x v="170"/>
    <x v="3"/>
  </r>
  <r>
    <x v="871"/>
    <x v="38"/>
    <x v="0"/>
    <x v="0"/>
    <x v="1"/>
    <x v="18"/>
    <x v="0"/>
    <x v="3"/>
    <x v="0"/>
    <x v="2"/>
    <x v="18"/>
    <x v="25"/>
    <x v="13"/>
    <x v="5"/>
    <x v="137"/>
    <x v="148"/>
    <x v="3"/>
  </r>
  <r>
    <x v="872"/>
    <x v="38"/>
    <x v="0"/>
    <x v="0"/>
    <x v="1"/>
    <x v="19"/>
    <x v="0"/>
    <x v="3"/>
    <x v="0"/>
    <x v="13"/>
    <x v="16"/>
    <x v="22"/>
    <x v="17"/>
    <x v="5"/>
    <x v="129"/>
    <x v="129"/>
    <x v="3"/>
  </r>
  <r>
    <x v="873"/>
    <x v="38"/>
    <x v="0"/>
    <x v="0"/>
    <x v="1"/>
    <x v="20"/>
    <x v="0"/>
    <x v="3"/>
    <x v="0"/>
    <x v="13"/>
    <x v="14"/>
    <x v="22"/>
    <x v="9"/>
    <x v="0"/>
    <x v="42"/>
    <x v="10"/>
    <x v="3"/>
  </r>
  <r>
    <x v="874"/>
    <x v="38"/>
    <x v="0"/>
    <x v="0"/>
    <x v="1"/>
    <x v="21"/>
    <x v="0"/>
    <x v="3"/>
    <x v="0"/>
    <x v="14"/>
    <x v="15"/>
    <x v="39"/>
    <x v="17"/>
    <x v="1"/>
    <x v="24"/>
    <x v="60"/>
    <x v="3"/>
  </r>
  <r>
    <x v="875"/>
    <x v="38"/>
    <x v="0"/>
    <x v="0"/>
    <x v="1"/>
    <x v="22"/>
    <x v="0"/>
    <x v="3"/>
    <x v="0"/>
    <x v="16"/>
    <x v="15"/>
    <x v="39"/>
    <x v="11"/>
    <x v="3"/>
    <x v="31"/>
    <x v="115"/>
    <x v="3"/>
  </r>
  <r>
    <x v="876"/>
    <x v="38"/>
    <x v="0"/>
    <x v="0"/>
    <x v="1"/>
    <x v="23"/>
    <x v="0"/>
    <x v="3"/>
    <x v="0"/>
    <x v="16"/>
    <x v="15"/>
    <x v="39"/>
    <x v="9"/>
    <x v="0"/>
    <x v="33"/>
    <x v="47"/>
    <x v="3"/>
  </r>
  <r>
    <x v="877"/>
    <x v="39"/>
    <x v="0"/>
    <x v="0"/>
    <x v="1"/>
    <x v="0"/>
    <x v="0"/>
    <x v="4"/>
    <x v="0"/>
    <x v="18"/>
    <x v="23"/>
    <x v="42"/>
    <x v="11"/>
    <x v="3"/>
    <x v="19"/>
    <x v="22"/>
    <x v="4"/>
  </r>
  <r>
    <x v="878"/>
    <x v="39"/>
    <x v="0"/>
    <x v="0"/>
    <x v="1"/>
    <x v="1"/>
    <x v="0"/>
    <x v="4"/>
    <x v="0"/>
    <x v="18"/>
    <x v="15"/>
    <x v="42"/>
    <x v="6"/>
    <x v="3"/>
    <x v="7"/>
    <x v="85"/>
    <x v="4"/>
  </r>
  <r>
    <x v="879"/>
    <x v="39"/>
    <x v="0"/>
    <x v="0"/>
    <x v="1"/>
    <x v="2"/>
    <x v="0"/>
    <x v="4"/>
    <x v="0"/>
    <x v="19"/>
    <x v="23"/>
    <x v="41"/>
    <x v="3"/>
    <x v="5"/>
    <x v="6"/>
    <x v="6"/>
    <x v="4"/>
  </r>
  <r>
    <x v="880"/>
    <x v="39"/>
    <x v="0"/>
    <x v="0"/>
    <x v="1"/>
    <x v="3"/>
    <x v="0"/>
    <x v="4"/>
    <x v="0"/>
    <x v="20"/>
    <x v="23"/>
    <x v="49"/>
    <x v="7"/>
    <x v="3"/>
    <x v="6"/>
    <x v="5"/>
    <x v="4"/>
  </r>
  <r>
    <x v="881"/>
    <x v="39"/>
    <x v="0"/>
    <x v="0"/>
    <x v="1"/>
    <x v="5"/>
    <x v="0"/>
    <x v="4"/>
    <x v="0"/>
    <x v="20"/>
    <x v="15"/>
    <x v="49"/>
    <x v="14"/>
    <x v="3"/>
    <x v="7"/>
    <x v="85"/>
    <x v="4"/>
  </r>
  <r>
    <x v="882"/>
    <x v="39"/>
    <x v="0"/>
    <x v="0"/>
    <x v="1"/>
    <x v="6"/>
    <x v="0"/>
    <x v="4"/>
    <x v="0"/>
    <x v="20"/>
    <x v="20"/>
    <x v="49"/>
    <x v="0"/>
    <x v="3"/>
    <x v="30"/>
    <x v="74"/>
    <x v="4"/>
  </r>
  <r>
    <x v="883"/>
    <x v="39"/>
    <x v="0"/>
    <x v="0"/>
    <x v="1"/>
    <x v="7"/>
    <x v="0"/>
    <x v="4"/>
    <x v="0"/>
    <x v="20"/>
    <x v="15"/>
    <x v="36"/>
    <x v="14"/>
    <x v="17"/>
    <x v="73"/>
    <x v="111"/>
    <x v="4"/>
  </r>
  <r>
    <x v="884"/>
    <x v="39"/>
    <x v="0"/>
    <x v="0"/>
    <x v="1"/>
    <x v="8"/>
    <x v="0"/>
    <x v="4"/>
    <x v="0"/>
    <x v="18"/>
    <x v="14"/>
    <x v="16"/>
    <x v="0"/>
    <x v="5"/>
    <x v="173"/>
    <x v="184"/>
    <x v="4"/>
  </r>
  <r>
    <x v="885"/>
    <x v="39"/>
    <x v="0"/>
    <x v="0"/>
    <x v="1"/>
    <x v="9"/>
    <x v="0"/>
    <x v="4"/>
    <x v="0"/>
    <x v="16"/>
    <x v="14"/>
    <x v="17"/>
    <x v="8"/>
    <x v="17"/>
    <x v="138"/>
    <x v="92"/>
    <x v="4"/>
  </r>
  <r>
    <x v="886"/>
    <x v="39"/>
    <x v="0"/>
    <x v="0"/>
    <x v="1"/>
    <x v="10"/>
    <x v="0"/>
    <x v="4"/>
    <x v="0"/>
    <x v="14"/>
    <x v="18"/>
    <x v="42"/>
    <x v="0"/>
    <x v="1"/>
    <x v="82"/>
    <x v="29"/>
    <x v="4"/>
  </r>
  <r>
    <x v="887"/>
    <x v="39"/>
    <x v="0"/>
    <x v="0"/>
    <x v="1"/>
    <x v="11"/>
    <x v="0"/>
    <x v="4"/>
    <x v="1"/>
    <x v="14"/>
    <x v="20"/>
    <x v="21"/>
    <x v="8"/>
    <x v="5"/>
    <x v="71"/>
    <x v="102"/>
    <x v="4"/>
  </r>
  <r>
    <x v="888"/>
    <x v="39"/>
    <x v="0"/>
    <x v="0"/>
    <x v="1"/>
    <x v="12"/>
    <x v="0"/>
    <x v="4"/>
    <x v="1"/>
    <x v="15"/>
    <x v="18"/>
    <x v="22"/>
    <x v="6"/>
    <x v="17"/>
    <x v="77"/>
    <x v="42"/>
    <x v="4"/>
  </r>
  <r>
    <x v="889"/>
    <x v="39"/>
    <x v="0"/>
    <x v="0"/>
    <x v="1"/>
    <x v="13"/>
    <x v="0"/>
    <x v="4"/>
    <x v="0"/>
    <x v="15"/>
    <x v="17"/>
    <x v="22"/>
    <x v="2"/>
    <x v="4"/>
    <x v="28"/>
    <x v="83"/>
    <x v="4"/>
  </r>
  <r>
    <x v="890"/>
    <x v="39"/>
    <x v="0"/>
    <x v="0"/>
    <x v="1"/>
    <x v="14"/>
    <x v="0"/>
    <x v="4"/>
    <x v="0"/>
    <x v="2"/>
    <x v="18"/>
    <x v="46"/>
    <x v="4"/>
    <x v="4"/>
    <x v="90"/>
    <x v="154"/>
    <x v="4"/>
  </r>
  <r>
    <x v="891"/>
    <x v="39"/>
    <x v="0"/>
    <x v="0"/>
    <x v="1"/>
    <x v="15"/>
    <x v="0"/>
    <x v="4"/>
    <x v="1"/>
    <x v="2"/>
    <x v="18"/>
    <x v="46"/>
    <x v="3"/>
    <x v="0"/>
    <x v="124"/>
    <x v="37"/>
    <x v="4"/>
  </r>
  <r>
    <x v="892"/>
    <x v="39"/>
    <x v="0"/>
    <x v="0"/>
    <x v="1"/>
    <x v="16"/>
    <x v="0"/>
    <x v="4"/>
    <x v="1"/>
    <x v="2"/>
    <x v="13"/>
    <x v="38"/>
    <x v="2"/>
    <x v="18"/>
    <x v="109"/>
    <x v="67"/>
    <x v="4"/>
  </r>
  <r>
    <x v="893"/>
    <x v="39"/>
    <x v="0"/>
    <x v="0"/>
    <x v="1"/>
    <x v="17"/>
    <x v="0"/>
    <x v="4"/>
    <x v="1"/>
    <x v="2"/>
    <x v="13"/>
    <x v="46"/>
    <x v="2"/>
    <x v="14"/>
    <x v="174"/>
    <x v="150"/>
    <x v="4"/>
  </r>
  <r>
    <x v="894"/>
    <x v="39"/>
    <x v="0"/>
    <x v="0"/>
    <x v="1"/>
    <x v="18"/>
    <x v="0"/>
    <x v="4"/>
    <x v="1"/>
    <x v="15"/>
    <x v="17"/>
    <x v="19"/>
    <x v="4"/>
    <x v="4"/>
    <x v="175"/>
    <x v="185"/>
    <x v="4"/>
  </r>
  <r>
    <x v="895"/>
    <x v="39"/>
    <x v="0"/>
    <x v="0"/>
    <x v="1"/>
    <x v="19"/>
    <x v="0"/>
    <x v="4"/>
    <x v="2"/>
    <x v="14"/>
    <x v="16"/>
    <x v="3"/>
    <x v="2"/>
    <x v="5"/>
    <x v="61"/>
    <x v="39"/>
    <x v="4"/>
  </r>
  <r>
    <x v="896"/>
    <x v="39"/>
    <x v="0"/>
    <x v="0"/>
    <x v="1"/>
    <x v="20"/>
    <x v="0"/>
    <x v="4"/>
    <x v="2"/>
    <x v="14"/>
    <x v="20"/>
    <x v="3"/>
    <x v="8"/>
    <x v="3"/>
    <x v="151"/>
    <x v="11"/>
    <x v="4"/>
  </r>
  <r>
    <x v="897"/>
    <x v="39"/>
    <x v="0"/>
    <x v="0"/>
    <x v="1"/>
    <x v="21"/>
    <x v="0"/>
    <x v="4"/>
    <x v="1"/>
    <x v="14"/>
    <x v="20"/>
    <x v="3"/>
    <x v="8"/>
    <x v="3"/>
    <x v="93"/>
    <x v="56"/>
    <x v="4"/>
  </r>
  <r>
    <x v="898"/>
    <x v="39"/>
    <x v="0"/>
    <x v="0"/>
    <x v="1"/>
    <x v="22"/>
    <x v="0"/>
    <x v="4"/>
    <x v="2"/>
    <x v="13"/>
    <x v="17"/>
    <x v="1"/>
    <x v="8"/>
    <x v="17"/>
    <x v="76"/>
    <x v="66"/>
    <x v="4"/>
  </r>
  <r>
    <x v="899"/>
    <x v="39"/>
    <x v="0"/>
    <x v="0"/>
    <x v="1"/>
    <x v="23"/>
    <x v="0"/>
    <x v="4"/>
    <x v="2"/>
    <x v="13"/>
    <x v="20"/>
    <x v="1"/>
    <x v="5"/>
    <x v="3"/>
    <x v="53"/>
    <x v="18"/>
    <x v="4"/>
  </r>
  <r>
    <x v="900"/>
    <x v="40"/>
    <x v="0"/>
    <x v="0"/>
    <x v="1"/>
    <x v="0"/>
    <x v="0"/>
    <x v="5"/>
    <x v="2"/>
    <x v="14"/>
    <x v="14"/>
    <x v="3"/>
    <x v="5"/>
    <x v="3"/>
    <x v="20"/>
    <x v="0"/>
    <x v="5"/>
  </r>
  <r>
    <x v="901"/>
    <x v="40"/>
    <x v="0"/>
    <x v="0"/>
    <x v="1"/>
    <x v="1"/>
    <x v="0"/>
    <x v="5"/>
    <x v="2"/>
    <x v="14"/>
    <x v="20"/>
    <x v="1"/>
    <x v="7"/>
    <x v="3"/>
    <x v="7"/>
    <x v="85"/>
    <x v="5"/>
  </r>
  <r>
    <x v="902"/>
    <x v="40"/>
    <x v="0"/>
    <x v="0"/>
    <x v="1"/>
    <x v="2"/>
    <x v="0"/>
    <x v="5"/>
    <x v="2"/>
    <x v="14"/>
    <x v="20"/>
    <x v="1"/>
    <x v="7"/>
    <x v="3"/>
    <x v="35"/>
    <x v="6"/>
    <x v="5"/>
  </r>
  <r>
    <x v="903"/>
    <x v="40"/>
    <x v="0"/>
    <x v="0"/>
    <x v="1"/>
    <x v="4"/>
    <x v="0"/>
    <x v="5"/>
    <x v="1"/>
    <x v="14"/>
    <x v="14"/>
    <x v="29"/>
    <x v="6"/>
    <x v="3"/>
    <x v="4"/>
    <x v="4"/>
    <x v="5"/>
  </r>
  <r>
    <x v="904"/>
    <x v="40"/>
    <x v="0"/>
    <x v="0"/>
    <x v="1"/>
    <x v="5"/>
    <x v="0"/>
    <x v="5"/>
    <x v="1"/>
    <x v="16"/>
    <x v="16"/>
    <x v="20"/>
    <x v="6"/>
    <x v="3"/>
    <x v="8"/>
    <x v="24"/>
    <x v="5"/>
  </r>
  <r>
    <x v="905"/>
    <x v="40"/>
    <x v="0"/>
    <x v="0"/>
    <x v="1"/>
    <x v="6"/>
    <x v="0"/>
    <x v="5"/>
    <x v="1"/>
    <x v="16"/>
    <x v="16"/>
    <x v="47"/>
    <x v="3"/>
    <x v="3"/>
    <x v="16"/>
    <x v="132"/>
    <x v="5"/>
  </r>
  <r>
    <x v="906"/>
    <x v="40"/>
    <x v="0"/>
    <x v="0"/>
    <x v="1"/>
    <x v="7"/>
    <x v="0"/>
    <x v="5"/>
    <x v="0"/>
    <x v="18"/>
    <x v="23"/>
    <x v="20"/>
    <x v="12"/>
    <x v="3"/>
    <x v="176"/>
    <x v="111"/>
    <x v="5"/>
  </r>
  <r>
    <x v="907"/>
    <x v="40"/>
    <x v="0"/>
    <x v="0"/>
    <x v="1"/>
    <x v="8"/>
    <x v="0"/>
    <x v="5"/>
    <x v="0"/>
    <x v="18"/>
    <x v="23"/>
    <x v="36"/>
    <x v="9"/>
    <x v="2"/>
    <x v="177"/>
    <x v="106"/>
    <x v="5"/>
  </r>
  <r>
    <x v="908"/>
    <x v="40"/>
    <x v="0"/>
    <x v="0"/>
    <x v="1"/>
    <x v="9"/>
    <x v="0"/>
    <x v="5"/>
    <x v="0"/>
    <x v="16"/>
    <x v="15"/>
    <x v="16"/>
    <x v="11"/>
    <x v="5"/>
    <x v="178"/>
    <x v="78"/>
    <x v="5"/>
  </r>
  <r>
    <x v="909"/>
    <x v="40"/>
    <x v="0"/>
    <x v="0"/>
    <x v="1"/>
    <x v="10"/>
    <x v="0"/>
    <x v="5"/>
    <x v="0"/>
    <x v="16"/>
    <x v="15"/>
    <x v="16"/>
    <x v="4"/>
    <x v="5"/>
    <x v="60"/>
    <x v="17"/>
    <x v="5"/>
  </r>
  <r>
    <x v="910"/>
    <x v="40"/>
    <x v="0"/>
    <x v="0"/>
    <x v="1"/>
    <x v="11"/>
    <x v="0"/>
    <x v="5"/>
    <x v="0"/>
    <x v="14"/>
    <x v="16"/>
    <x v="17"/>
    <x v="11"/>
    <x v="5"/>
    <x v="100"/>
    <x v="79"/>
    <x v="5"/>
  </r>
  <r>
    <x v="911"/>
    <x v="40"/>
    <x v="0"/>
    <x v="0"/>
    <x v="1"/>
    <x v="12"/>
    <x v="0"/>
    <x v="5"/>
    <x v="0"/>
    <x v="13"/>
    <x v="14"/>
    <x v="46"/>
    <x v="13"/>
    <x v="17"/>
    <x v="65"/>
    <x v="83"/>
    <x v="5"/>
  </r>
  <r>
    <x v="912"/>
    <x v="40"/>
    <x v="0"/>
    <x v="0"/>
    <x v="1"/>
    <x v="13"/>
    <x v="0"/>
    <x v="5"/>
    <x v="0"/>
    <x v="15"/>
    <x v="17"/>
    <x v="44"/>
    <x v="4"/>
    <x v="0"/>
    <x v="79"/>
    <x v="69"/>
    <x v="5"/>
  </r>
  <r>
    <x v="913"/>
    <x v="40"/>
    <x v="0"/>
    <x v="0"/>
    <x v="1"/>
    <x v="14"/>
    <x v="0"/>
    <x v="5"/>
    <x v="0"/>
    <x v="2"/>
    <x v="18"/>
    <x v="57"/>
    <x v="3"/>
    <x v="15"/>
    <x v="76"/>
    <x v="61"/>
    <x v="5"/>
  </r>
  <r>
    <x v="914"/>
    <x v="40"/>
    <x v="0"/>
    <x v="0"/>
    <x v="1"/>
    <x v="15"/>
    <x v="0"/>
    <x v="5"/>
    <x v="0"/>
    <x v="2"/>
    <x v="13"/>
    <x v="59"/>
    <x v="2"/>
    <x v="3"/>
    <x v="54"/>
    <x v="89"/>
    <x v="5"/>
  </r>
  <r>
    <x v="915"/>
    <x v="40"/>
    <x v="0"/>
    <x v="0"/>
    <x v="1"/>
    <x v="16"/>
    <x v="0"/>
    <x v="5"/>
    <x v="0"/>
    <x v="2"/>
    <x v="18"/>
    <x v="57"/>
    <x v="4"/>
    <x v="17"/>
    <x v="83"/>
    <x v="138"/>
    <x v="5"/>
  </r>
  <r>
    <x v="916"/>
    <x v="40"/>
    <x v="0"/>
    <x v="0"/>
    <x v="1"/>
    <x v="17"/>
    <x v="0"/>
    <x v="5"/>
    <x v="0"/>
    <x v="15"/>
    <x v="18"/>
    <x v="60"/>
    <x v="5"/>
    <x v="15"/>
    <x v="136"/>
    <x v="186"/>
    <x v="5"/>
  </r>
  <r>
    <x v="917"/>
    <x v="40"/>
    <x v="0"/>
    <x v="0"/>
    <x v="1"/>
    <x v="18"/>
    <x v="0"/>
    <x v="5"/>
    <x v="0"/>
    <x v="13"/>
    <x v="18"/>
    <x v="40"/>
    <x v="7"/>
    <x v="0"/>
    <x v="174"/>
    <x v="187"/>
    <x v="5"/>
  </r>
  <r>
    <x v="918"/>
    <x v="40"/>
    <x v="0"/>
    <x v="0"/>
    <x v="1"/>
    <x v="19"/>
    <x v="0"/>
    <x v="5"/>
    <x v="0"/>
    <x v="14"/>
    <x v="17"/>
    <x v="40"/>
    <x v="14"/>
    <x v="4"/>
    <x v="59"/>
    <x v="59"/>
    <x v="5"/>
  </r>
  <r>
    <x v="919"/>
    <x v="40"/>
    <x v="0"/>
    <x v="0"/>
    <x v="1"/>
    <x v="20"/>
    <x v="0"/>
    <x v="5"/>
    <x v="0"/>
    <x v="14"/>
    <x v="18"/>
    <x v="61"/>
    <x v="1"/>
    <x v="17"/>
    <x v="139"/>
    <x v="54"/>
    <x v="5"/>
  </r>
  <r>
    <x v="920"/>
    <x v="40"/>
    <x v="0"/>
    <x v="0"/>
    <x v="1"/>
    <x v="21"/>
    <x v="0"/>
    <x v="5"/>
    <x v="0"/>
    <x v="14"/>
    <x v="12"/>
    <x v="17"/>
    <x v="0"/>
    <x v="4"/>
    <x v="14"/>
    <x v="44"/>
    <x v="5"/>
  </r>
  <r>
    <x v="921"/>
    <x v="40"/>
    <x v="0"/>
    <x v="0"/>
    <x v="1"/>
    <x v="22"/>
    <x v="0"/>
    <x v="5"/>
    <x v="0"/>
    <x v="16"/>
    <x v="13"/>
    <x v="17"/>
    <x v="0"/>
    <x v="17"/>
    <x v="12"/>
    <x v="41"/>
    <x v="5"/>
  </r>
  <r>
    <x v="922"/>
    <x v="40"/>
    <x v="0"/>
    <x v="0"/>
    <x v="1"/>
    <x v="23"/>
    <x v="0"/>
    <x v="5"/>
    <x v="0"/>
    <x v="16"/>
    <x v="20"/>
    <x v="16"/>
    <x v="14"/>
    <x v="5"/>
    <x v="39"/>
    <x v="19"/>
    <x v="5"/>
  </r>
  <r>
    <x v="923"/>
    <x v="41"/>
    <x v="0"/>
    <x v="0"/>
    <x v="1"/>
    <x v="0"/>
    <x v="0"/>
    <x v="6"/>
    <x v="0"/>
    <x v="18"/>
    <x v="14"/>
    <x v="36"/>
    <x v="14"/>
    <x v="4"/>
    <x v="98"/>
    <x v="8"/>
    <x v="6"/>
  </r>
  <r>
    <x v="924"/>
    <x v="41"/>
    <x v="0"/>
    <x v="0"/>
    <x v="1"/>
    <x v="1"/>
    <x v="0"/>
    <x v="6"/>
    <x v="0"/>
    <x v="18"/>
    <x v="14"/>
    <x v="47"/>
    <x v="1"/>
    <x v="5"/>
    <x v="8"/>
    <x v="85"/>
    <x v="6"/>
  </r>
  <r>
    <x v="925"/>
    <x v="41"/>
    <x v="0"/>
    <x v="0"/>
    <x v="1"/>
    <x v="2"/>
    <x v="0"/>
    <x v="6"/>
    <x v="0"/>
    <x v="18"/>
    <x v="14"/>
    <x v="47"/>
    <x v="1"/>
    <x v="3"/>
    <x v="35"/>
    <x v="6"/>
    <x v="6"/>
  </r>
  <r>
    <x v="926"/>
    <x v="41"/>
    <x v="0"/>
    <x v="0"/>
    <x v="1"/>
    <x v="5"/>
    <x v="0"/>
    <x v="6"/>
    <x v="0"/>
    <x v="19"/>
    <x v="16"/>
    <x v="30"/>
    <x v="1"/>
    <x v="3"/>
    <x v="22"/>
    <x v="48"/>
    <x v="6"/>
  </r>
  <r>
    <x v="927"/>
    <x v="41"/>
    <x v="0"/>
    <x v="0"/>
    <x v="1"/>
    <x v="6"/>
    <x v="0"/>
    <x v="6"/>
    <x v="0"/>
    <x v="18"/>
    <x v="18"/>
    <x v="31"/>
    <x v="0"/>
    <x v="5"/>
    <x v="140"/>
    <x v="108"/>
    <x v="6"/>
  </r>
  <r>
    <x v="928"/>
    <x v="41"/>
    <x v="0"/>
    <x v="0"/>
    <x v="1"/>
    <x v="7"/>
    <x v="0"/>
    <x v="6"/>
    <x v="0"/>
    <x v="19"/>
    <x v="17"/>
    <x v="62"/>
    <x v="0"/>
    <x v="5"/>
    <x v="26"/>
    <x v="30"/>
    <x v="6"/>
  </r>
  <r>
    <x v="929"/>
    <x v="41"/>
    <x v="0"/>
    <x v="0"/>
    <x v="1"/>
    <x v="8"/>
    <x v="0"/>
    <x v="6"/>
    <x v="0"/>
    <x v="18"/>
    <x v="16"/>
    <x v="32"/>
    <x v="8"/>
    <x v="17"/>
    <x v="179"/>
    <x v="182"/>
    <x v="6"/>
  </r>
  <r>
    <x v="930"/>
    <x v="41"/>
    <x v="0"/>
    <x v="0"/>
    <x v="1"/>
    <x v="9"/>
    <x v="0"/>
    <x v="6"/>
    <x v="0"/>
    <x v="16"/>
    <x v="16"/>
    <x v="32"/>
    <x v="6"/>
    <x v="1"/>
    <x v="126"/>
    <x v="188"/>
    <x v="6"/>
  </r>
  <r>
    <x v="931"/>
    <x v="41"/>
    <x v="0"/>
    <x v="0"/>
    <x v="1"/>
    <x v="10"/>
    <x v="0"/>
    <x v="6"/>
    <x v="0"/>
    <x v="14"/>
    <x v="14"/>
    <x v="27"/>
    <x v="5"/>
    <x v="2"/>
    <x v="87"/>
    <x v="40"/>
    <x v="6"/>
  </r>
  <r>
    <x v="932"/>
    <x v="41"/>
    <x v="0"/>
    <x v="0"/>
    <x v="1"/>
    <x v="11"/>
    <x v="0"/>
    <x v="6"/>
    <x v="0"/>
    <x v="1"/>
    <x v="11"/>
    <x v="19"/>
    <x v="7"/>
    <x v="6"/>
    <x v="15"/>
    <x v="37"/>
    <x v="6"/>
  </r>
  <r>
    <x v="933"/>
    <x v="41"/>
    <x v="0"/>
    <x v="0"/>
    <x v="1"/>
    <x v="12"/>
    <x v="0"/>
    <x v="6"/>
    <x v="0"/>
    <x v="1"/>
    <x v="11"/>
    <x v="19"/>
    <x v="7"/>
    <x v="18"/>
    <x v="27"/>
    <x v="68"/>
    <x v="6"/>
  </r>
  <r>
    <x v="934"/>
    <x v="41"/>
    <x v="0"/>
    <x v="0"/>
    <x v="1"/>
    <x v="13"/>
    <x v="0"/>
    <x v="6"/>
    <x v="0"/>
    <x v="0"/>
    <x v="11"/>
    <x v="23"/>
    <x v="5"/>
    <x v="27"/>
    <x v="121"/>
    <x v="14"/>
    <x v="6"/>
  </r>
  <r>
    <x v="935"/>
    <x v="41"/>
    <x v="0"/>
    <x v="0"/>
    <x v="1"/>
    <x v="14"/>
    <x v="0"/>
    <x v="6"/>
    <x v="0"/>
    <x v="11"/>
    <x v="0"/>
    <x v="60"/>
    <x v="2"/>
    <x v="26"/>
    <x v="28"/>
    <x v="11"/>
    <x v="6"/>
  </r>
  <r>
    <x v="936"/>
    <x v="41"/>
    <x v="0"/>
    <x v="0"/>
    <x v="1"/>
    <x v="15"/>
    <x v="0"/>
    <x v="6"/>
    <x v="0"/>
    <x v="3"/>
    <x v="21"/>
    <x v="58"/>
    <x v="8"/>
    <x v="6"/>
    <x v="133"/>
    <x v="30"/>
    <x v="6"/>
  </r>
  <r>
    <x v="937"/>
    <x v="41"/>
    <x v="0"/>
    <x v="0"/>
    <x v="1"/>
    <x v="16"/>
    <x v="0"/>
    <x v="6"/>
    <x v="0"/>
    <x v="11"/>
    <x v="0"/>
    <x v="40"/>
    <x v="5"/>
    <x v="24"/>
    <x v="180"/>
    <x v="139"/>
    <x v="6"/>
  </r>
  <r>
    <x v="938"/>
    <x v="41"/>
    <x v="0"/>
    <x v="0"/>
    <x v="1"/>
    <x v="17"/>
    <x v="0"/>
    <x v="6"/>
    <x v="0"/>
    <x v="11"/>
    <x v="6"/>
    <x v="63"/>
    <x v="0"/>
    <x v="25"/>
    <x v="181"/>
    <x v="189"/>
    <x v="6"/>
  </r>
  <r>
    <x v="939"/>
    <x v="41"/>
    <x v="0"/>
    <x v="0"/>
    <x v="1"/>
    <x v="18"/>
    <x v="0"/>
    <x v="6"/>
    <x v="0"/>
    <x v="17"/>
    <x v="21"/>
    <x v="40"/>
    <x v="0"/>
    <x v="14"/>
    <x v="158"/>
    <x v="177"/>
    <x v="6"/>
  </r>
  <r>
    <x v="940"/>
    <x v="41"/>
    <x v="0"/>
    <x v="0"/>
    <x v="1"/>
    <x v="19"/>
    <x v="0"/>
    <x v="6"/>
    <x v="0"/>
    <x v="12"/>
    <x v="25"/>
    <x v="39"/>
    <x v="0"/>
    <x v="18"/>
    <x v="111"/>
    <x v="129"/>
    <x v="6"/>
  </r>
  <r>
    <x v="941"/>
    <x v="41"/>
    <x v="0"/>
    <x v="0"/>
    <x v="1"/>
    <x v="20"/>
    <x v="0"/>
    <x v="6"/>
    <x v="0"/>
    <x v="1"/>
    <x v="11"/>
    <x v="28"/>
    <x v="7"/>
    <x v="4"/>
    <x v="124"/>
    <x v="55"/>
    <x v="6"/>
  </r>
  <r>
    <x v="942"/>
    <x v="41"/>
    <x v="0"/>
    <x v="0"/>
    <x v="1"/>
    <x v="21"/>
    <x v="0"/>
    <x v="6"/>
    <x v="0"/>
    <x v="2"/>
    <x v="12"/>
    <x v="29"/>
    <x v="7"/>
    <x v="5"/>
    <x v="24"/>
    <x v="105"/>
    <x v="6"/>
  </r>
  <r>
    <x v="943"/>
    <x v="41"/>
    <x v="0"/>
    <x v="0"/>
    <x v="1"/>
    <x v="22"/>
    <x v="0"/>
    <x v="6"/>
    <x v="0"/>
    <x v="2"/>
    <x v="11"/>
    <x v="26"/>
    <x v="1"/>
    <x v="4"/>
    <x v="40"/>
    <x v="74"/>
    <x v="6"/>
  </r>
  <r>
    <x v="944"/>
    <x v="41"/>
    <x v="0"/>
    <x v="0"/>
    <x v="1"/>
    <x v="23"/>
    <x v="0"/>
    <x v="6"/>
    <x v="0"/>
    <x v="15"/>
    <x v="19"/>
    <x v="27"/>
    <x v="0"/>
    <x v="2"/>
    <x v="41"/>
    <x v="26"/>
    <x v="6"/>
  </r>
  <r>
    <x v="945"/>
    <x v="42"/>
    <x v="0"/>
    <x v="0"/>
    <x v="1"/>
    <x v="0"/>
    <x v="0"/>
    <x v="0"/>
    <x v="0"/>
    <x v="13"/>
    <x v="13"/>
    <x v="27"/>
    <x v="1"/>
    <x v="0"/>
    <x v="2"/>
    <x v="33"/>
    <x v="0"/>
  </r>
  <r>
    <x v="946"/>
    <x v="42"/>
    <x v="0"/>
    <x v="0"/>
    <x v="1"/>
    <x v="1"/>
    <x v="0"/>
    <x v="0"/>
    <x v="0"/>
    <x v="14"/>
    <x v="12"/>
    <x v="3"/>
    <x v="0"/>
    <x v="4"/>
    <x v="97"/>
    <x v="108"/>
    <x v="0"/>
  </r>
  <r>
    <x v="947"/>
    <x v="42"/>
    <x v="0"/>
    <x v="0"/>
    <x v="1"/>
    <x v="2"/>
    <x v="0"/>
    <x v="0"/>
    <x v="0"/>
    <x v="14"/>
    <x v="12"/>
    <x v="1"/>
    <x v="0"/>
    <x v="4"/>
    <x v="0"/>
    <x v="93"/>
    <x v="0"/>
  </r>
  <r>
    <x v="948"/>
    <x v="42"/>
    <x v="0"/>
    <x v="0"/>
    <x v="1"/>
    <x v="3"/>
    <x v="0"/>
    <x v="0"/>
    <x v="0"/>
    <x v="16"/>
    <x v="13"/>
    <x v="1"/>
    <x v="0"/>
    <x v="0"/>
    <x v="7"/>
    <x v="98"/>
    <x v="0"/>
  </r>
  <r>
    <x v="949"/>
    <x v="42"/>
    <x v="0"/>
    <x v="0"/>
    <x v="1"/>
    <x v="4"/>
    <x v="0"/>
    <x v="0"/>
    <x v="0"/>
    <x v="16"/>
    <x v="17"/>
    <x v="32"/>
    <x v="1"/>
    <x v="3"/>
    <x v="22"/>
    <x v="48"/>
    <x v="0"/>
  </r>
  <r>
    <x v="950"/>
    <x v="42"/>
    <x v="0"/>
    <x v="0"/>
    <x v="1"/>
    <x v="5"/>
    <x v="0"/>
    <x v="0"/>
    <x v="0"/>
    <x v="16"/>
    <x v="17"/>
    <x v="32"/>
    <x v="1"/>
    <x v="3"/>
    <x v="4"/>
    <x v="4"/>
    <x v="0"/>
  </r>
  <r>
    <x v="951"/>
    <x v="42"/>
    <x v="0"/>
    <x v="0"/>
    <x v="1"/>
    <x v="6"/>
    <x v="0"/>
    <x v="0"/>
    <x v="0"/>
    <x v="16"/>
    <x v="14"/>
    <x v="43"/>
    <x v="5"/>
    <x v="5"/>
    <x v="4"/>
    <x v="5"/>
    <x v="0"/>
  </r>
  <r>
    <x v="952"/>
    <x v="42"/>
    <x v="0"/>
    <x v="0"/>
    <x v="1"/>
    <x v="7"/>
    <x v="0"/>
    <x v="0"/>
    <x v="0"/>
    <x v="16"/>
    <x v="20"/>
    <x v="1"/>
    <x v="14"/>
    <x v="4"/>
    <x v="33"/>
    <x v="62"/>
    <x v="0"/>
  </r>
  <r>
    <x v="953"/>
    <x v="42"/>
    <x v="0"/>
    <x v="0"/>
    <x v="1"/>
    <x v="8"/>
    <x v="0"/>
    <x v="0"/>
    <x v="0"/>
    <x v="14"/>
    <x v="20"/>
    <x v="3"/>
    <x v="7"/>
    <x v="4"/>
    <x v="95"/>
    <x v="33"/>
    <x v="0"/>
  </r>
  <r>
    <x v="954"/>
    <x v="42"/>
    <x v="0"/>
    <x v="0"/>
    <x v="1"/>
    <x v="9"/>
    <x v="0"/>
    <x v="0"/>
    <x v="0"/>
    <x v="13"/>
    <x v="18"/>
    <x v="26"/>
    <x v="7"/>
    <x v="2"/>
    <x v="101"/>
    <x v="74"/>
    <x v="0"/>
  </r>
  <r>
    <x v="955"/>
    <x v="42"/>
    <x v="0"/>
    <x v="0"/>
    <x v="1"/>
    <x v="10"/>
    <x v="0"/>
    <x v="0"/>
    <x v="0"/>
    <x v="1"/>
    <x v="12"/>
    <x v="48"/>
    <x v="2"/>
    <x v="23"/>
    <x v="13"/>
    <x v="11"/>
    <x v="0"/>
  </r>
  <r>
    <x v="956"/>
    <x v="42"/>
    <x v="0"/>
    <x v="0"/>
    <x v="1"/>
    <x v="11"/>
    <x v="0"/>
    <x v="0"/>
    <x v="0"/>
    <x v="11"/>
    <x v="1"/>
    <x v="40"/>
    <x v="9"/>
    <x v="36"/>
    <x v="151"/>
    <x v="181"/>
    <x v="0"/>
  </r>
  <r>
    <x v="957"/>
    <x v="42"/>
    <x v="0"/>
    <x v="0"/>
    <x v="1"/>
    <x v="12"/>
    <x v="0"/>
    <x v="0"/>
    <x v="0"/>
    <x v="11"/>
    <x v="1"/>
    <x v="17"/>
    <x v="17"/>
    <x v="37"/>
    <x v="139"/>
    <x v="151"/>
    <x v="0"/>
  </r>
  <r>
    <x v="958"/>
    <x v="42"/>
    <x v="0"/>
    <x v="0"/>
    <x v="1"/>
    <x v="13"/>
    <x v="0"/>
    <x v="0"/>
    <x v="0"/>
    <x v="11"/>
    <x v="1"/>
    <x v="17"/>
    <x v="12"/>
    <x v="38"/>
    <x v="145"/>
    <x v="169"/>
    <x v="0"/>
  </r>
  <r>
    <x v="959"/>
    <x v="42"/>
    <x v="0"/>
    <x v="0"/>
    <x v="1"/>
    <x v="14"/>
    <x v="0"/>
    <x v="0"/>
    <x v="0"/>
    <x v="10"/>
    <x v="21"/>
    <x v="61"/>
    <x v="3"/>
    <x v="36"/>
    <x v="92"/>
    <x v="151"/>
    <x v="0"/>
  </r>
  <r>
    <x v="960"/>
    <x v="42"/>
    <x v="0"/>
    <x v="0"/>
    <x v="1"/>
    <x v="15"/>
    <x v="0"/>
    <x v="0"/>
    <x v="0"/>
    <x v="10"/>
    <x v="25"/>
    <x v="44"/>
    <x v="12"/>
    <x v="9"/>
    <x v="69"/>
    <x v="177"/>
    <x v="0"/>
  </r>
  <r>
    <x v="961"/>
    <x v="42"/>
    <x v="0"/>
    <x v="0"/>
    <x v="1"/>
    <x v="16"/>
    <x v="0"/>
    <x v="0"/>
    <x v="0"/>
    <x v="10"/>
    <x v="25"/>
    <x v="44"/>
    <x v="12"/>
    <x v="35"/>
    <x v="145"/>
    <x v="190"/>
    <x v="0"/>
  </r>
  <r>
    <x v="962"/>
    <x v="42"/>
    <x v="0"/>
    <x v="0"/>
    <x v="1"/>
    <x v="17"/>
    <x v="0"/>
    <x v="0"/>
    <x v="0"/>
    <x v="3"/>
    <x v="0"/>
    <x v="61"/>
    <x v="18"/>
    <x v="31"/>
    <x v="182"/>
    <x v="120"/>
    <x v="0"/>
  </r>
  <r>
    <x v="963"/>
    <x v="42"/>
    <x v="0"/>
    <x v="0"/>
    <x v="1"/>
    <x v="18"/>
    <x v="0"/>
    <x v="0"/>
    <x v="0"/>
    <x v="17"/>
    <x v="2"/>
    <x v="41"/>
    <x v="9"/>
    <x v="17"/>
    <x v="91"/>
    <x v="37"/>
    <x v="0"/>
  </r>
  <r>
    <x v="964"/>
    <x v="42"/>
    <x v="0"/>
    <x v="0"/>
    <x v="1"/>
    <x v="19"/>
    <x v="0"/>
    <x v="0"/>
    <x v="0"/>
    <x v="17"/>
    <x v="1"/>
    <x v="41"/>
    <x v="8"/>
    <x v="4"/>
    <x v="87"/>
    <x v="102"/>
    <x v="0"/>
  </r>
  <r>
    <x v="965"/>
    <x v="42"/>
    <x v="0"/>
    <x v="0"/>
    <x v="1"/>
    <x v="20"/>
    <x v="0"/>
    <x v="0"/>
    <x v="0"/>
    <x v="12"/>
    <x v="2"/>
    <x v="48"/>
    <x v="6"/>
    <x v="5"/>
    <x v="87"/>
    <x v="1"/>
    <x v="0"/>
  </r>
  <r>
    <x v="966"/>
    <x v="42"/>
    <x v="0"/>
    <x v="0"/>
    <x v="1"/>
    <x v="21"/>
    <x v="0"/>
    <x v="0"/>
    <x v="0"/>
    <x v="12"/>
    <x v="25"/>
    <x v="48"/>
    <x v="0"/>
    <x v="14"/>
    <x v="76"/>
    <x v="41"/>
    <x v="0"/>
  </r>
  <r>
    <x v="967"/>
    <x v="42"/>
    <x v="0"/>
    <x v="0"/>
    <x v="1"/>
    <x v="22"/>
    <x v="0"/>
    <x v="0"/>
    <x v="0"/>
    <x v="0"/>
    <x v="2"/>
    <x v="18"/>
    <x v="1"/>
    <x v="15"/>
    <x v="87"/>
    <x v="79"/>
    <x v="0"/>
  </r>
  <r>
    <x v="968"/>
    <x v="42"/>
    <x v="0"/>
    <x v="0"/>
    <x v="1"/>
    <x v="23"/>
    <x v="0"/>
    <x v="0"/>
    <x v="0"/>
    <x v="1"/>
    <x v="11"/>
    <x v="33"/>
    <x v="7"/>
    <x v="5"/>
    <x v="17"/>
    <x v="2"/>
    <x v="0"/>
  </r>
  <r>
    <x v="969"/>
    <x v="43"/>
    <x v="0"/>
    <x v="0"/>
    <x v="1"/>
    <x v="0"/>
    <x v="0"/>
    <x v="1"/>
    <x v="0"/>
    <x v="2"/>
    <x v="11"/>
    <x v="26"/>
    <x v="14"/>
    <x v="2"/>
    <x v="60"/>
    <x v="21"/>
    <x v="1"/>
  </r>
  <r>
    <x v="970"/>
    <x v="43"/>
    <x v="0"/>
    <x v="0"/>
    <x v="1"/>
    <x v="1"/>
    <x v="0"/>
    <x v="1"/>
    <x v="0"/>
    <x v="2"/>
    <x v="11"/>
    <x v="29"/>
    <x v="1"/>
    <x v="5"/>
    <x v="140"/>
    <x v="108"/>
    <x v="1"/>
  </r>
  <r>
    <x v="971"/>
    <x v="43"/>
    <x v="0"/>
    <x v="0"/>
    <x v="1"/>
    <x v="2"/>
    <x v="0"/>
    <x v="1"/>
    <x v="1"/>
    <x v="2"/>
    <x v="11"/>
    <x v="2"/>
    <x v="1"/>
    <x v="5"/>
    <x v="23"/>
    <x v="25"/>
    <x v="1"/>
  </r>
  <r>
    <x v="972"/>
    <x v="43"/>
    <x v="0"/>
    <x v="0"/>
    <x v="1"/>
    <x v="3"/>
    <x v="0"/>
    <x v="1"/>
    <x v="1"/>
    <x v="2"/>
    <x v="11"/>
    <x v="27"/>
    <x v="14"/>
    <x v="17"/>
    <x v="21"/>
    <x v="47"/>
    <x v="1"/>
  </r>
  <r>
    <x v="973"/>
    <x v="43"/>
    <x v="0"/>
    <x v="0"/>
    <x v="1"/>
    <x v="4"/>
    <x v="0"/>
    <x v="1"/>
    <x v="1"/>
    <x v="2"/>
    <x v="12"/>
    <x v="27"/>
    <x v="8"/>
    <x v="3"/>
    <x v="6"/>
    <x v="5"/>
    <x v="1"/>
  </r>
  <r>
    <x v="974"/>
    <x v="43"/>
    <x v="0"/>
    <x v="0"/>
    <x v="1"/>
    <x v="6"/>
    <x v="0"/>
    <x v="1"/>
    <x v="1"/>
    <x v="2"/>
    <x v="12"/>
    <x v="27"/>
    <x v="7"/>
    <x v="4"/>
    <x v="35"/>
    <x v="36"/>
    <x v="1"/>
  </r>
  <r>
    <x v="975"/>
    <x v="43"/>
    <x v="0"/>
    <x v="0"/>
    <x v="1"/>
    <x v="7"/>
    <x v="0"/>
    <x v="1"/>
    <x v="1"/>
    <x v="1"/>
    <x v="1"/>
    <x v="28"/>
    <x v="0"/>
    <x v="3"/>
    <x v="35"/>
    <x v="6"/>
    <x v="1"/>
  </r>
  <r>
    <x v="976"/>
    <x v="43"/>
    <x v="0"/>
    <x v="0"/>
    <x v="1"/>
    <x v="8"/>
    <x v="0"/>
    <x v="1"/>
    <x v="1"/>
    <x v="1"/>
    <x v="11"/>
    <x v="26"/>
    <x v="5"/>
    <x v="5"/>
    <x v="48"/>
    <x v="47"/>
    <x v="1"/>
  </r>
  <r>
    <x v="977"/>
    <x v="43"/>
    <x v="0"/>
    <x v="0"/>
    <x v="1"/>
    <x v="9"/>
    <x v="0"/>
    <x v="1"/>
    <x v="1"/>
    <x v="0"/>
    <x v="11"/>
    <x v="54"/>
    <x v="6"/>
    <x v="6"/>
    <x v="96"/>
    <x v="105"/>
    <x v="1"/>
  </r>
  <r>
    <x v="978"/>
    <x v="43"/>
    <x v="0"/>
    <x v="0"/>
    <x v="1"/>
    <x v="10"/>
    <x v="0"/>
    <x v="1"/>
    <x v="0"/>
    <x v="11"/>
    <x v="1"/>
    <x v="49"/>
    <x v="9"/>
    <x v="21"/>
    <x v="132"/>
    <x v="136"/>
    <x v="1"/>
  </r>
  <r>
    <x v="979"/>
    <x v="43"/>
    <x v="0"/>
    <x v="0"/>
    <x v="1"/>
    <x v="11"/>
    <x v="0"/>
    <x v="1"/>
    <x v="0"/>
    <x v="3"/>
    <x v="0"/>
    <x v="17"/>
    <x v="10"/>
    <x v="7"/>
    <x v="132"/>
    <x v="59"/>
    <x v="1"/>
  </r>
  <r>
    <x v="980"/>
    <x v="43"/>
    <x v="0"/>
    <x v="0"/>
    <x v="1"/>
    <x v="12"/>
    <x v="0"/>
    <x v="1"/>
    <x v="0"/>
    <x v="5"/>
    <x v="21"/>
    <x v="25"/>
    <x v="17"/>
    <x v="39"/>
    <x v="111"/>
    <x v="148"/>
    <x v="1"/>
  </r>
  <r>
    <x v="981"/>
    <x v="43"/>
    <x v="0"/>
    <x v="0"/>
    <x v="1"/>
    <x v="13"/>
    <x v="0"/>
    <x v="1"/>
    <x v="0"/>
    <x v="4"/>
    <x v="5"/>
    <x v="44"/>
    <x v="11"/>
    <x v="40"/>
    <x v="50"/>
    <x v="38"/>
    <x v="1"/>
  </r>
  <r>
    <x v="982"/>
    <x v="43"/>
    <x v="0"/>
    <x v="0"/>
    <x v="1"/>
    <x v="14"/>
    <x v="0"/>
    <x v="1"/>
    <x v="1"/>
    <x v="9"/>
    <x v="10"/>
    <x v="24"/>
    <x v="12"/>
    <x v="41"/>
    <x v="59"/>
    <x v="143"/>
    <x v="1"/>
  </r>
  <r>
    <x v="983"/>
    <x v="43"/>
    <x v="0"/>
    <x v="0"/>
    <x v="1"/>
    <x v="15"/>
    <x v="0"/>
    <x v="1"/>
    <x v="1"/>
    <x v="9"/>
    <x v="10"/>
    <x v="24"/>
    <x v="4"/>
    <x v="11"/>
    <x v="183"/>
    <x v="123"/>
    <x v="1"/>
  </r>
  <r>
    <x v="984"/>
    <x v="43"/>
    <x v="0"/>
    <x v="0"/>
    <x v="1"/>
    <x v="16"/>
    <x v="0"/>
    <x v="1"/>
    <x v="1"/>
    <x v="6"/>
    <x v="7"/>
    <x v="40"/>
    <x v="9"/>
    <x v="32"/>
    <x v="184"/>
    <x v="87"/>
    <x v="1"/>
  </r>
  <r>
    <x v="985"/>
    <x v="43"/>
    <x v="0"/>
    <x v="0"/>
    <x v="1"/>
    <x v="17"/>
    <x v="0"/>
    <x v="1"/>
    <x v="0"/>
    <x v="6"/>
    <x v="7"/>
    <x v="40"/>
    <x v="9"/>
    <x v="36"/>
    <x v="73"/>
    <x v="139"/>
    <x v="1"/>
  </r>
  <r>
    <x v="986"/>
    <x v="43"/>
    <x v="0"/>
    <x v="0"/>
    <x v="1"/>
    <x v="18"/>
    <x v="0"/>
    <x v="1"/>
    <x v="0"/>
    <x v="9"/>
    <x v="10"/>
    <x v="25"/>
    <x v="4"/>
    <x v="26"/>
    <x v="78"/>
    <x v="76"/>
    <x v="1"/>
  </r>
  <r>
    <x v="987"/>
    <x v="43"/>
    <x v="0"/>
    <x v="0"/>
    <x v="1"/>
    <x v="19"/>
    <x v="0"/>
    <x v="1"/>
    <x v="0"/>
    <x v="9"/>
    <x v="10"/>
    <x v="23"/>
    <x v="3"/>
    <x v="16"/>
    <x v="54"/>
    <x v="42"/>
    <x v="1"/>
  </r>
  <r>
    <x v="988"/>
    <x v="43"/>
    <x v="0"/>
    <x v="0"/>
    <x v="1"/>
    <x v="20"/>
    <x v="0"/>
    <x v="1"/>
    <x v="0"/>
    <x v="9"/>
    <x v="10"/>
    <x v="23"/>
    <x v="9"/>
    <x v="13"/>
    <x v="1"/>
    <x v="105"/>
    <x v="1"/>
  </r>
  <r>
    <x v="989"/>
    <x v="43"/>
    <x v="0"/>
    <x v="0"/>
    <x v="1"/>
    <x v="21"/>
    <x v="0"/>
    <x v="1"/>
    <x v="0"/>
    <x v="9"/>
    <x v="10"/>
    <x v="23"/>
    <x v="11"/>
    <x v="15"/>
    <x v="108"/>
    <x v="41"/>
    <x v="1"/>
  </r>
  <r>
    <x v="990"/>
    <x v="43"/>
    <x v="0"/>
    <x v="0"/>
    <x v="1"/>
    <x v="22"/>
    <x v="0"/>
    <x v="1"/>
    <x v="0"/>
    <x v="9"/>
    <x v="10"/>
    <x v="23"/>
    <x v="4"/>
    <x v="2"/>
    <x v="17"/>
    <x v="9"/>
    <x v="1"/>
  </r>
  <r>
    <x v="991"/>
    <x v="43"/>
    <x v="0"/>
    <x v="0"/>
    <x v="1"/>
    <x v="23"/>
    <x v="0"/>
    <x v="1"/>
    <x v="0"/>
    <x v="9"/>
    <x v="10"/>
    <x v="23"/>
    <x v="11"/>
    <x v="0"/>
    <x v="2"/>
    <x v="33"/>
    <x v="1"/>
  </r>
  <r>
    <x v="992"/>
    <x v="44"/>
    <x v="0"/>
    <x v="0"/>
    <x v="1"/>
    <x v="0"/>
    <x v="0"/>
    <x v="2"/>
    <x v="0"/>
    <x v="4"/>
    <x v="5"/>
    <x v="38"/>
    <x v="11"/>
    <x v="0"/>
    <x v="21"/>
    <x v="62"/>
    <x v="2"/>
  </r>
  <r>
    <x v="993"/>
    <x v="44"/>
    <x v="0"/>
    <x v="0"/>
    <x v="1"/>
    <x v="1"/>
    <x v="0"/>
    <x v="2"/>
    <x v="0"/>
    <x v="4"/>
    <x v="5"/>
    <x v="38"/>
    <x v="11"/>
    <x v="5"/>
    <x v="8"/>
    <x v="85"/>
    <x v="2"/>
  </r>
  <r>
    <x v="994"/>
    <x v="44"/>
    <x v="0"/>
    <x v="0"/>
    <x v="1"/>
    <x v="2"/>
    <x v="0"/>
    <x v="2"/>
    <x v="0"/>
    <x v="5"/>
    <x v="6"/>
    <x v="22"/>
    <x v="4"/>
    <x v="3"/>
    <x v="6"/>
    <x v="5"/>
    <x v="2"/>
  </r>
  <r>
    <x v="995"/>
    <x v="44"/>
    <x v="0"/>
    <x v="0"/>
    <x v="1"/>
    <x v="3"/>
    <x v="0"/>
    <x v="2"/>
    <x v="0"/>
    <x v="10"/>
    <x v="21"/>
    <x v="15"/>
    <x v="6"/>
    <x v="5"/>
    <x v="4"/>
    <x v="5"/>
    <x v="2"/>
  </r>
  <r>
    <x v="996"/>
    <x v="44"/>
    <x v="0"/>
    <x v="0"/>
    <x v="1"/>
    <x v="4"/>
    <x v="0"/>
    <x v="2"/>
    <x v="0"/>
    <x v="3"/>
    <x v="25"/>
    <x v="45"/>
    <x v="3"/>
    <x v="3"/>
    <x v="6"/>
    <x v="5"/>
    <x v="2"/>
  </r>
  <r>
    <x v="997"/>
    <x v="44"/>
    <x v="0"/>
    <x v="0"/>
    <x v="1"/>
    <x v="5"/>
    <x v="0"/>
    <x v="2"/>
    <x v="0"/>
    <x v="3"/>
    <x v="25"/>
    <x v="45"/>
    <x v="3"/>
    <x v="3"/>
    <x v="35"/>
    <x v="6"/>
    <x v="2"/>
  </r>
  <r>
    <x v="998"/>
    <x v="44"/>
    <x v="0"/>
    <x v="0"/>
    <x v="1"/>
    <x v="6"/>
    <x v="0"/>
    <x v="2"/>
    <x v="0"/>
    <x v="10"/>
    <x v="25"/>
    <x v="15"/>
    <x v="4"/>
    <x v="5"/>
    <x v="18"/>
    <x v="132"/>
    <x v="2"/>
  </r>
  <r>
    <x v="999"/>
    <x v="44"/>
    <x v="0"/>
    <x v="0"/>
    <x v="1"/>
    <x v="7"/>
    <x v="0"/>
    <x v="2"/>
    <x v="0"/>
    <x v="10"/>
    <x v="25"/>
    <x v="15"/>
    <x v="4"/>
    <x v="4"/>
    <x v="185"/>
    <x v="95"/>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n v="0"/>
    <x v="0"/>
    <n v="6"/>
    <n v="1"/>
    <n v="0.24"/>
    <n v="0.28789999999999999"/>
    <n v="0.81"/>
    <n v="0"/>
    <n v="3"/>
    <n v="13"/>
    <n v="16"/>
    <x v="0"/>
  </r>
  <r>
    <n v="2"/>
    <d v="2011-01-02T00:00:00"/>
    <n v="1"/>
    <n v="0"/>
    <n v="1"/>
    <n v="1"/>
    <x v="0"/>
    <n v="6"/>
    <n v="1"/>
    <n v="0.22"/>
    <n v="0.2727"/>
    <n v="0.8"/>
    <n v="0"/>
    <n v="8"/>
    <n v="32"/>
    <n v="40"/>
    <x v="1"/>
  </r>
  <r>
    <n v="3"/>
    <d v="2011-01-03T00:00:00"/>
    <n v="1"/>
    <n v="0"/>
    <n v="1"/>
    <n v="2"/>
    <x v="0"/>
    <n v="6"/>
    <n v="1"/>
    <n v="0.22"/>
    <n v="0.2727"/>
    <n v="0.8"/>
    <n v="0"/>
    <n v="5"/>
    <n v="27"/>
    <n v="32"/>
    <x v="2"/>
  </r>
  <r>
    <n v="4"/>
    <d v="2011-01-04T00:00:00"/>
    <n v="1"/>
    <n v="0"/>
    <n v="1"/>
    <n v="3"/>
    <x v="0"/>
    <n v="6"/>
    <n v="1"/>
    <n v="0.24"/>
    <n v="0.28789999999999999"/>
    <n v="0.75"/>
    <n v="0"/>
    <n v="3"/>
    <n v="10"/>
    <n v="13"/>
    <x v="3"/>
  </r>
  <r>
    <n v="5"/>
    <d v="2011-01-05T00:00:00"/>
    <n v="1"/>
    <n v="0"/>
    <n v="1"/>
    <n v="4"/>
    <x v="0"/>
    <n v="6"/>
    <n v="1"/>
    <n v="0.24"/>
    <n v="0.28789999999999999"/>
    <n v="0.75"/>
    <n v="0"/>
    <n v="0"/>
    <n v="1"/>
    <n v="1"/>
    <x v="4"/>
  </r>
  <r>
    <n v="6"/>
    <d v="2011-01-06T00:00:00"/>
    <n v="1"/>
    <n v="0"/>
    <n v="1"/>
    <n v="5"/>
    <x v="0"/>
    <n v="6"/>
    <n v="2"/>
    <n v="0.24"/>
    <n v="0.2576"/>
    <n v="0.75"/>
    <n v="8.9599999999999999E-2"/>
    <n v="0"/>
    <n v="1"/>
    <n v="1"/>
    <x v="5"/>
  </r>
  <r>
    <n v="7"/>
    <d v="2011-01-07T00:00:00"/>
    <n v="1"/>
    <n v="0"/>
    <n v="1"/>
    <n v="6"/>
    <x v="0"/>
    <n v="6"/>
    <n v="1"/>
    <n v="0.22"/>
    <n v="0.2727"/>
    <n v="0.8"/>
    <n v="0"/>
    <n v="2"/>
    <n v="0"/>
    <n v="2"/>
    <x v="6"/>
  </r>
  <r>
    <n v="8"/>
    <d v="2011-01-08T00:00:00"/>
    <n v="1"/>
    <n v="0"/>
    <n v="1"/>
    <n v="7"/>
    <x v="0"/>
    <n v="6"/>
    <n v="1"/>
    <n v="0.2"/>
    <n v="0.2576"/>
    <n v="0.86"/>
    <n v="0"/>
    <n v="1"/>
    <n v="2"/>
    <n v="3"/>
    <x v="0"/>
  </r>
  <r>
    <n v="9"/>
    <d v="2011-01-09T00:00:00"/>
    <n v="1"/>
    <n v="0"/>
    <n v="1"/>
    <n v="8"/>
    <x v="0"/>
    <n v="6"/>
    <n v="1"/>
    <n v="0.24"/>
    <n v="0.21179999999999999"/>
    <n v="0.75"/>
    <n v="0"/>
    <n v="1"/>
    <n v="7"/>
    <n v="8"/>
    <x v="1"/>
  </r>
  <r>
    <n v="10"/>
    <d v="2011-01-10T00:00:00"/>
    <n v="1"/>
    <n v="0"/>
    <n v="1"/>
    <n v="9"/>
    <x v="0"/>
    <n v="6"/>
    <n v="1"/>
    <n v="0.32"/>
    <n v="0.34849999999999998"/>
    <n v="0.76"/>
    <n v="0"/>
    <n v="8"/>
    <n v="6"/>
    <n v="14"/>
    <x v="2"/>
  </r>
  <r>
    <n v="11"/>
    <d v="2011-01-11T00:00:00"/>
    <n v="1"/>
    <n v="0"/>
    <n v="1"/>
    <n v="10"/>
    <x v="0"/>
    <n v="6"/>
    <n v="1"/>
    <n v="0.38"/>
    <n v="0.39389999999999997"/>
    <n v="0.76"/>
    <n v="0.25369999999999998"/>
    <n v="12"/>
    <n v="24"/>
    <n v="36"/>
    <x v="3"/>
  </r>
  <r>
    <n v="12"/>
    <d v="2011-01-12T00:00:00"/>
    <n v="1"/>
    <n v="0"/>
    <n v="1"/>
    <n v="11"/>
    <x v="0"/>
    <n v="6"/>
    <n v="1"/>
    <n v="0.36"/>
    <n v="0.33329999999999999"/>
    <n v="0.81"/>
    <n v="0.28360000000000002"/>
    <n v="26"/>
    <n v="30"/>
    <n v="56"/>
    <x v="4"/>
  </r>
  <r>
    <n v="13"/>
    <d v="2011-01-13T00:00:00"/>
    <n v="1"/>
    <n v="0"/>
    <n v="1"/>
    <n v="12"/>
    <x v="0"/>
    <n v="6"/>
    <n v="1"/>
    <n v="0.42"/>
    <n v="0.42420000000000002"/>
    <n v="0.77"/>
    <n v="0.28360000000000002"/>
    <n v="29"/>
    <n v="55"/>
    <n v="84"/>
    <x v="5"/>
  </r>
  <r>
    <n v="14"/>
    <d v="2011-01-14T00:00:00"/>
    <n v="1"/>
    <n v="0"/>
    <n v="1"/>
    <n v="13"/>
    <x v="0"/>
    <n v="6"/>
    <n v="2"/>
    <n v="0.46"/>
    <n v="0.45450000000000002"/>
    <n v="0.72"/>
    <n v="0.29849999999999999"/>
    <n v="47"/>
    <n v="47"/>
    <n v="94"/>
    <x v="6"/>
  </r>
  <r>
    <n v="15"/>
    <d v="2011-01-15T00:00:00"/>
    <n v="1"/>
    <n v="0"/>
    <n v="1"/>
    <n v="14"/>
    <x v="0"/>
    <n v="6"/>
    <n v="2"/>
    <n v="0.46"/>
    <n v="0.45450000000000002"/>
    <n v="0.72"/>
    <n v="0.28360000000000002"/>
    <n v="35"/>
    <n v="71"/>
    <n v="106"/>
    <x v="0"/>
  </r>
  <r>
    <n v="16"/>
    <d v="2011-01-16T00:00:00"/>
    <n v="1"/>
    <n v="0"/>
    <n v="1"/>
    <n v="15"/>
    <x v="0"/>
    <n v="6"/>
    <n v="2"/>
    <n v="0.44"/>
    <n v="0.43940000000000001"/>
    <n v="0.77"/>
    <n v="0.29849999999999999"/>
    <n v="40"/>
    <n v="70"/>
    <n v="110"/>
    <x v="1"/>
  </r>
  <r>
    <n v="17"/>
    <d v="2011-01-17T00:00:00"/>
    <n v="1"/>
    <n v="0"/>
    <n v="1"/>
    <n v="16"/>
    <x v="0"/>
    <n v="6"/>
    <n v="2"/>
    <n v="0.42"/>
    <n v="0.42420000000000002"/>
    <n v="0.82"/>
    <n v="0.29849999999999999"/>
    <n v="41"/>
    <n v="52"/>
    <n v="93"/>
    <x v="2"/>
  </r>
  <r>
    <n v="18"/>
    <d v="2011-01-18T00:00:00"/>
    <n v="1"/>
    <n v="0"/>
    <n v="1"/>
    <n v="17"/>
    <x v="0"/>
    <n v="6"/>
    <n v="2"/>
    <n v="0.44"/>
    <n v="0.21179999999999999"/>
    <n v="0.82"/>
    <n v="0.28360000000000002"/>
    <n v="15"/>
    <n v="52"/>
    <n v="67"/>
    <x v="3"/>
  </r>
  <r>
    <n v="19"/>
    <d v="2011-01-19T00:00:00"/>
    <n v="1"/>
    <n v="0"/>
    <n v="1"/>
    <n v="18"/>
    <x v="0"/>
    <n v="6"/>
    <n v="3"/>
    <n v="0.42"/>
    <n v="0.42420000000000002"/>
    <n v="0.88"/>
    <n v="0.25369999999999998"/>
    <n v="9"/>
    <n v="26"/>
    <n v="35"/>
    <x v="4"/>
  </r>
  <r>
    <n v="20"/>
    <d v="2011-01-20T00:00:00"/>
    <n v="1"/>
    <n v="0"/>
    <n v="1"/>
    <n v="19"/>
    <x v="0"/>
    <n v="6"/>
    <n v="3"/>
    <n v="0.42"/>
    <n v="0.42420000000000002"/>
    <n v="0.88"/>
    <n v="0.25369999999999998"/>
    <n v="6"/>
    <n v="31"/>
    <n v="37"/>
    <x v="5"/>
  </r>
  <r>
    <n v="21"/>
    <d v="2011-01-21T00:00:00"/>
    <n v="1"/>
    <n v="0"/>
    <n v="1"/>
    <n v="20"/>
    <x v="0"/>
    <n v="6"/>
    <n v="2"/>
    <n v="0.4"/>
    <n v="0.40910000000000002"/>
    <n v="0.87"/>
    <n v="0.25369999999999998"/>
    <n v="11"/>
    <n v="25"/>
    <n v="36"/>
    <x v="6"/>
  </r>
  <r>
    <n v="22"/>
    <d v="2011-01-22T00:00:00"/>
    <n v="1"/>
    <n v="0"/>
    <n v="1"/>
    <n v="21"/>
    <x v="0"/>
    <n v="6"/>
    <n v="2"/>
    <n v="0.4"/>
    <n v="0.40910000000000002"/>
    <n v="0.87"/>
    <n v="0.19400000000000001"/>
    <n v="3"/>
    <n v="31"/>
    <n v="34"/>
    <x v="0"/>
  </r>
  <r>
    <n v="23"/>
    <d v="2011-01-23T00:00:00"/>
    <n v="1"/>
    <n v="0"/>
    <n v="1"/>
    <n v="22"/>
    <x v="0"/>
    <n v="6"/>
    <n v="2"/>
    <n v="0.4"/>
    <n v="0.40910000000000002"/>
    <n v="0.94"/>
    <n v="0.22389999999999999"/>
    <n v="11"/>
    <n v="17"/>
    <n v="28"/>
    <x v="1"/>
  </r>
  <r>
    <n v="24"/>
    <d v="2011-01-24T00:00:00"/>
    <n v="1"/>
    <n v="0"/>
    <n v="1"/>
    <n v="23"/>
    <x v="0"/>
    <n v="6"/>
    <n v="2"/>
    <n v="0.46"/>
    <n v="0.21179999999999999"/>
    <n v="0.88"/>
    <n v="0.29849999999999999"/>
    <n v="15"/>
    <n v="24"/>
    <n v="39"/>
    <x v="2"/>
  </r>
  <r>
    <n v="25"/>
    <d v="2011-01-25T00:00:00"/>
    <n v="1"/>
    <n v="0"/>
    <n v="1"/>
    <n v="0"/>
    <x v="0"/>
    <n v="0"/>
    <n v="2"/>
    <n v="0.46"/>
    <n v="0.45450000000000002"/>
    <n v="0.88"/>
    <n v="0.29849999999999999"/>
    <n v="4"/>
    <n v="13"/>
    <n v="17"/>
    <x v="3"/>
  </r>
  <r>
    <n v="26"/>
    <d v="2011-01-26T00:00:00"/>
    <n v="1"/>
    <n v="0"/>
    <n v="1"/>
    <n v="1"/>
    <x v="0"/>
    <n v="0"/>
    <n v="2"/>
    <n v="0.44"/>
    <n v="0.43940000000000001"/>
    <n v="0.94"/>
    <n v="0.25369999999999998"/>
    <n v="1"/>
    <n v="16"/>
    <n v="17"/>
    <x v="4"/>
  </r>
  <r>
    <n v="27"/>
    <d v="2011-01-27T00:00:00"/>
    <n v="1"/>
    <n v="0"/>
    <n v="1"/>
    <n v="2"/>
    <x v="0"/>
    <n v="0"/>
    <n v="2"/>
    <n v="0.42"/>
    <n v="0.42420000000000002"/>
    <n v="1"/>
    <n v="0.28360000000000002"/>
    <n v="1"/>
    <n v="8"/>
    <n v="9"/>
    <x v="5"/>
  </r>
  <r>
    <n v="28"/>
    <d v="2011-01-28T00:00:00"/>
    <n v="1"/>
    <n v="0"/>
    <n v="1"/>
    <n v="3"/>
    <x v="0"/>
    <n v="0"/>
    <n v="2"/>
    <n v="0.46"/>
    <n v="0.45450000000000002"/>
    <n v="0.94"/>
    <n v="0.19400000000000001"/>
    <n v="2"/>
    <n v="4"/>
    <n v="6"/>
    <x v="6"/>
  </r>
  <r>
    <n v="29"/>
    <d v="2011-01-29T00:00:00"/>
    <n v="1"/>
    <n v="0"/>
    <n v="1"/>
    <n v="4"/>
    <x v="0"/>
    <n v="0"/>
    <n v="2"/>
    <n v="0.46"/>
    <n v="0.21179999999999999"/>
    <n v="0.94"/>
    <n v="0.19400000000000001"/>
    <n v="2"/>
    <n v="1"/>
    <n v="3"/>
    <x v="0"/>
  </r>
  <r>
    <n v="30"/>
    <d v="2011-01-30T00:00:00"/>
    <n v="1"/>
    <n v="0"/>
    <n v="1"/>
    <n v="6"/>
    <x v="0"/>
    <n v="0"/>
    <n v="3"/>
    <n v="0.42"/>
    <n v="0.42420000000000002"/>
    <n v="0.77"/>
    <n v="0.29849999999999999"/>
    <n v="0"/>
    <n v="2"/>
    <n v="2"/>
    <x v="1"/>
  </r>
  <r>
    <n v="31"/>
    <d v="2011-01-31T00:00:00"/>
    <n v="1"/>
    <n v="0"/>
    <n v="1"/>
    <n v="7"/>
    <x v="0"/>
    <n v="0"/>
    <n v="2"/>
    <n v="0.4"/>
    <n v="0.40910000000000002"/>
    <n v="0.76"/>
    <n v="0.19400000000000001"/>
    <n v="0"/>
    <n v="1"/>
    <n v="1"/>
    <x v="2"/>
  </r>
  <r>
    <n v="32"/>
    <d v="2011-02-01T00:00:00"/>
    <n v="1"/>
    <n v="0"/>
    <n v="1"/>
    <n v="8"/>
    <x v="0"/>
    <n v="0"/>
    <n v="3"/>
    <n v="0.4"/>
    <n v="0.40910000000000002"/>
    <n v="0.71"/>
    <n v="0.22389999999999999"/>
    <n v="0"/>
    <n v="8"/>
    <n v="8"/>
    <x v="3"/>
  </r>
  <r>
    <n v="33"/>
    <d v="2011-02-02T00:00:00"/>
    <n v="1"/>
    <n v="0"/>
    <n v="1"/>
    <n v="9"/>
    <x v="0"/>
    <n v="0"/>
    <n v="2"/>
    <n v="0.38"/>
    <n v="0.21179999999999999"/>
    <n v="0.76"/>
    <n v="0.22389999999999999"/>
    <n v="1"/>
    <n v="19"/>
    <n v="20"/>
    <x v="4"/>
  </r>
  <r>
    <n v="34"/>
    <d v="2011-02-03T00:00:00"/>
    <n v="1"/>
    <n v="0"/>
    <n v="1"/>
    <n v="10"/>
    <x v="0"/>
    <n v="0"/>
    <n v="2"/>
    <n v="0.36"/>
    <n v="0.34849999999999998"/>
    <n v="0.81"/>
    <n v="0.22389999999999999"/>
    <n v="7"/>
    <n v="46"/>
    <n v="53"/>
    <x v="5"/>
  </r>
  <r>
    <n v="35"/>
    <d v="2011-02-04T00:00:00"/>
    <n v="1"/>
    <n v="0"/>
    <n v="1"/>
    <n v="11"/>
    <x v="0"/>
    <n v="0"/>
    <n v="2"/>
    <n v="0.36"/>
    <n v="0.33329999999999999"/>
    <n v="0.71"/>
    <n v="0.25369999999999998"/>
    <n v="16"/>
    <n v="54"/>
    <n v="70"/>
    <x v="6"/>
  </r>
  <r>
    <n v="36"/>
    <d v="2011-02-05T00:00:00"/>
    <n v="1"/>
    <n v="0"/>
    <n v="1"/>
    <n v="12"/>
    <x v="0"/>
    <n v="0"/>
    <n v="2"/>
    <n v="0.36"/>
    <n v="0.33329999999999999"/>
    <n v="0.66"/>
    <n v="0.29849999999999999"/>
    <n v="20"/>
    <n v="73"/>
    <n v="93"/>
    <x v="0"/>
  </r>
  <r>
    <n v="37"/>
    <d v="2011-02-06T00:00:00"/>
    <n v="1"/>
    <n v="0"/>
    <n v="1"/>
    <n v="13"/>
    <x v="0"/>
    <n v="0"/>
    <n v="2"/>
    <n v="0.36"/>
    <n v="0.34849999999999998"/>
    <n v="0.66"/>
    <n v="0.1343"/>
    <n v="11"/>
    <n v="64"/>
    <n v="75"/>
    <x v="1"/>
  </r>
  <r>
    <n v="38"/>
    <d v="2011-02-07T00:00:00"/>
    <n v="1"/>
    <n v="0"/>
    <n v="1"/>
    <n v="14"/>
    <x v="0"/>
    <n v="0"/>
    <n v="3"/>
    <n v="0.36"/>
    <n v="0.21179999999999999"/>
    <n v="0.76"/>
    <n v="0.19400000000000001"/>
    <n v="4"/>
    <n v="55"/>
    <n v="59"/>
    <x v="2"/>
  </r>
  <r>
    <n v="39"/>
    <d v="2011-02-08T00:00:00"/>
    <n v="1"/>
    <n v="0"/>
    <n v="1"/>
    <n v="15"/>
    <x v="0"/>
    <n v="0"/>
    <n v="3"/>
    <n v="0.34"/>
    <n v="0.33329999999999999"/>
    <n v="0.81"/>
    <n v="0.16420000000000001"/>
    <n v="19"/>
    <n v="55"/>
    <n v="74"/>
    <x v="3"/>
  </r>
  <r>
    <n v="40"/>
    <d v="2011-02-09T00:00:00"/>
    <n v="1"/>
    <n v="0"/>
    <n v="1"/>
    <n v="16"/>
    <x v="0"/>
    <n v="0"/>
    <n v="3"/>
    <n v="0.34"/>
    <n v="0.33329999999999999"/>
    <n v="0.71"/>
    <n v="0.16420000000000001"/>
    <n v="9"/>
    <n v="67"/>
    <n v="76"/>
    <x v="4"/>
  </r>
  <r>
    <n v="41"/>
    <d v="2011-02-10T00:00:00"/>
    <n v="1"/>
    <n v="0"/>
    <n v="1"/>
    <n v="17"/>
    <x v="0"/>
    <n v="0"/>
    <n v="1"/>
    <n v="0.34"/>
    <n v="0.33329999999999999"/>
    <n v="0.56999999999999995"/>
    <n v="0.19400000000000001"/>
    <n v="7"/>
    <n v="58"/>
    <n v="65"/>
    <x v="5"/>
  </r>
  <r>
    <n v="42"/>
    <d v="2011-02-11T00:00:00"/>
    <n v="1"/>
    <n v="0"/>
    <n v="1"/>
    <n v="18"/>
    <x v="0"/>
    <n v="0"/>
    <n v="2"/>
    <n v="0.36"/>
    <n v="0.33329999999999999"/>
    <n v="0.46"/>
    <n v="0.32840000000000003"/>
    <n v="10"/>
    <n v="43"/>
    <n v="53"/>
    <x v="6"/>
  </r>
  <r>
    <n v="43"/>
    <d v="2011-02-12T00:00:00"/>
    <n v="1"/>
    <n v="0"/>
    <n v="1"/>
    <n v="19"/>
    <x v="0"/>
    <n v="0"/>
    <n v="1"/>
    <n v="0.32"/>
    <n v="0.28789999999999999"/>
    <n v="0.42"/>
    <n v="0.44779999999999998"/>
    <n v="1"/>
    <n v="29"/>
    <n v="30"/>
    <x v="0"/>
  </r>
  <r>
    <n v="44"/>
    <d v="2011-02-13T00:00:00"/>
    <n v="1"/>
    <n v="0"/>
    <n v="1"/>
    <n v="20"/>
    <x v="0"/>
    <n v="0"/>
    <n v="1"/>
    <n v="0.3"/>
    <n v="0.21179999999999999"/>
    <n v="0.39"/>
    <n v="0.35820000000000002"/>
    <n v="5"/>
    <n v="17"/>
    <n v="22"/>
    <x v="1"/>
  </r>
  <r>
    <n v="45"/>
    <d v="2011-02-14T00:00:00"/>
    <n v="1"/>
    <n v="0"/>
    <n v="1"/>
    <n v="21"/>
    <x v="0"/>
    <n v="0"/>
    <n v="1"/>
    <n v="0.26"/>
    <n v="0.2273"/>
    <n v="0.44"/>
    <n v="0.32840000000000003"/>
    <n v="11"/>
    <n v="20"/>
    <n v="31"/>
    <x v="2"/>
  </r>
  <r>
    <n v="46"/>
    <d v="2011-02-15T00:00:00"/>
    <n v="1"/>
    <n v="0"/>
    <n v="1"/>
    <n v="22"/>
    <x v="0"/>
    <n v="0"/>
    <n v="1"/>
    <n v="0.24"/>
    <n v="0.21210000000000001"/>
    <n v="0.44"/>
    <n v="0.29849999999999999"/>
    <n v="0"/>
    <n v="9"/>
    <n v="9"/>
    <x v="3"/>
  </r>
  <r>
    <n v="47"/>
    <d v="2011-02-16T00:00:00"/>
    <n v="1"/>
    <n v="0"/>
    <n v="1"/>
    <n v="23"/>
    <x v="0"/>
    <n v="0"/>
    <n v="1"/>
    <n v="0.22"/>
    <n v="0.2273"/>
    <n v="0.47"/>
    <n v="0.16420000000000001"/>
    <n v="0"/>
    <n v="8"/>
    <n v="8"/>
    <x v="4"/>
  </r>
  <r>
    <n v="48"/>
    <d v="2011-02-17T00:00:00"/>
    <n v="1"/>
    <n v="0"/>
    <n v="1"/>
    <n v="0"/>
    <x v="0"/>
    <n v="1"/>
    <n v="1"/>
    <n v="0.22"/>
    <n v="0.19700000000000001"/>
    <n v="0.44"/>
    <n v="0.35820000000000002"/>
    <n v="0"/>
    <n v="5"/>
    <n v="5"/>
    <x v="5"/>
  </r>
  <r>
    <n v="49"/>
    <d v="2011-02-18T00:00:00"/>
    <n v="1"/>
    <n v="0"/>
    <n v="1"/>
    <n v="1"/>
    <x v="0"/>
    <n v="1"/>
    <n v="1"/>
    <n v="0.2"/>
    <n v="0.21179999999999999"/>
    <n v="0.44"/>
    <n v="0.41789999999999999"/>
    <n v="0"/>
    <n v="2"/>
    <n v="2"/>
    <x v="6"/>
  </r>
  <r>
    <n v="50"/>
    <d v="2011-02-19T00:00:00"/>
    <n v="1"/>
    <n v="0"/>
    <n v="1"/>
    <n v="4"/>
    <x v="0"/>
    <n v="1"/>
    <n v="1"/>
    <n v="0.16"/>
    <n v="0.13639999999999999"/>
    <n v="0.47"/>
    <n v="0.3881"/>
    <n v="0"/>
    <n v="1"/>
    <n v="1"/>
    <x v="0"/>
  </r>
  <r>
    <n v="51"/>
    <d v="2011-02-20T00:00:00"/>
    <n v="1"/>
    <n v="0"/>
    <n v="1"/>
    <n v="5"/>
    <x v="0"/>
    <n v="1"/>
    <n v="1"/>
    <n v="0.16"/>
    <n v="0.13639999999999999"/>
    <n v="0.47"/>
    <n v="0.28360000000000002"/>
    <n v="0"/>
    <n v="3"/>
    <n v="3"/>
    <x v="1"/>
  </r>
  <r>
    <n v="52"/>
    <d v="2011-02-21T00:00:00"/>
    <n v="1"/>
    <n v="0"/>
    <n v="1"/>
    <n v="6"/>
    <x v="0"/>
    <n v="1"/>
    <n v="1"/>
    <n v="0.14000000000000001"/>
    <n v="0.1061"/>
    <n v="0.5"/>
    <n v="0.3881"/>
    <n v="0"/>
    <n v="30"/>
    <n v="30"/>
    <x v="2"/>
  </r>
  <r>
    <n v="53"/>
    <d v="2011-02-22T00:00:00"/>
    <n v="1"/>
    <n v="0"/>
    <n v="1"/>
    <n v="7"/>
    <x v="0"/>
    <n v="1"/>
    <n v="1"/>
    <n v="0.14000000000000001"/>
    <n v="0.13639999999999999"/>
    <n v="0.5"/>
    <n v="0.19400000000000001"/>
    <n v="1"/>
    <n v="63"/>
    <n v="64"/>
    <x v="3"/>
  </r>
  <r>
    <n v="54"/>
    <d v="2011-02-23T00:00:00"/>
    <n v="1"/>
    <n v="0"/>
    <n v="1"/>
    <n v="8"/>
    <x v="0"/>
    <n v="1"/>
    <n v="1"/>
    <n v="0.14000000000000001"/>
    <n v="0.1212"/>
    <n v="0.5"/>
    <n v="0.28360000000000002"/>
    <n v="1"/>
    <n v="153"/>
    <n v="154"/>
    <x v="4"/>
  </r>
  <r>
    <n v="55"/>
    <d v="2011-02-24T00:00:00"/>
    <n v="1"/>
    <n v="0"/>
    <n v="1"/>
    <n v="9"/>
    <x v="0"/>
    <n v="1"/>
    <n v="1"/>
    <n v="0.16"/>
    <n v="0.13639999999999999"/>
    <n v="0.43"/>
    <n v="0.3881"/>
    <n v="7"/>
    <n v="81"/>
    <n v="88"/>
    <x v="5"/>
  </r>
  <r>
    <n v="56"/>
    <d v="2011-02-25T00:00:00"/>
    <n v="1"/>
    <n v="0"/>
    <n v="1"/>
    <n v="10"/>
    <x v="0"/>
    <n v="1"/>
    <n v="1"/>
    <n v="0.18"/>
    <n v="0.16669999999999999"/>
    <n v="0.43"/>
    <n v="0.25369999999999998"/>
    <n v="11"/>
    <n v="33"/>
    <n v="44"/>
    <x v="6"/>
  </r>
  <r>
    <n v="57"/>
    <d v="2011-02-26T00:00:00"/>
    <n v="1"/>
    <n v="0"/>
    <n v="1"/>
    <n v="11"/>
    <x v="0"/>
    <n v="1"/>
    <n v="1"/>
    <n v="0.2"/>
    <n v="0.18179999999999999"/>
    <n v="0.4"/>
    <n v="0.32840000000000003"/>
    <n v="10"/>
    <n v="41"/>
    <n v="51"/>
    <x v="0"/>
  </r>
  <r>
    <n v="58"/>
    <d v="2011-02-27T00:00:00"/>
    <n v="1"/>
    <n v="0"/>
    <n v="1"/>
    <n v="12"/>
    <x v="0"/>
    <n v="1"/>
    <n v="1"/>
    <n v="0.22"/>
    <n v="0.21210000000000001"/>
    <n v="0.35"/>
    <n v="0.29849999999999999"/>
    <n v="13"/>
    <n v="48"/>
    <n v="61"/>
    <x v="1"/>
  </r>
  <r>
    <n v="59"/>
    <d v="2011-02-28T00:00:00"/>
    <n v="1"/>
    <n v="0"/>
    <n v="1"/>
    <n v="13"/>
    <x v="0"/>
    <n v="1"/>
    <n v="1"/>
    <n v="0.24"/>
    <n v="0.21179999999999999"/>
    <n v="0.35"/>
    <n v="0.28360000000000002"/>
    <n v="8"/>
    <n v="53"/>
    <n v="61"/>
    <x v="2"/>
  </r>
  <r>
    <n v="60"/>
    <d v="2011-03-01T00:00:00"/>
    <n v="1"/>
    <n v="0"/>
    <n v="1"/>
    <n v="14"/>
    <x v="0"/>
    <n v="1"/>
    <n v="1"/>
    <n v="0.26"/>
    <n v="0.2424"/>
    <n v="0.3"/>
    <n v="0.28360000000000002"/>
    <n v="11"/>
    <n v="66"/>
    <n v="77"/>
    <x v="3"/>
  </r>
  <r>
    <n v="61"/>
    <d v="2011-03-02T00:00:00"/>
    <n v="1"/>
    <n v="0"/>
    <n v="1"/>
    <n v="15"/>
    <x v="0"/>
    <n v="1"/>
    <n v="1"/>
    <n v="0.26"/>
    <n v="0.2424"/>
    <n v="0.3"/>
    <n v="0.25369999999999998"/>
    <n v="14"/>
    <n v="58"/>
    <n v="72"/>
    <x v="4"/>
  </r>
  <r>
    <n v="62"/>
    <d v="2011-03-03T00:00:00"/>
    <n v="1"/>
    <n v="0"/>
    <n v="1"/>
    <n v="16"/>
    <x v="0"/>
    <n v="1"/>
    <n v="1"/>
    <n v="0.26"/>
    <n v="0.2424"/>
    <n v="0.3"/>
    <n v="0.25369999999999998"/>
    <n v="9"/>
    <n v="67"/>
    <n v="76"/>
    <x v="5"/>
  </r>
  <r>
    <n v="63"/>
    <d v="2011-03-04T00:00:00"/>
    <n v="1"/>
    <n v="0"/>
    <n v="1"/>
    <n v="17"/>
    <x v="0"/>
    <n v="1"/>
    <n v="1"/>
    <n v="0.24"/>
    <n v="0.2273"/>
    <n v="0.3"/>
    <n v="0.22389999999999999"/>
    <n v="11"/>
    <n v="146"/>
    <n v="157"/>
    <x v="6"/>
  </r>
  <r>
    <n v="64"/>
    <d v="2011-03-05T00:00:00"/>
    <n v="1"/>
    <n v="0"/>
    <n v="1"/>
    <n v="18"/>
    <x v="0"/>
    <n v="1"/>
    <n v="1"/>
    <n v="0.24"/>
    <n v="0.2576"/>
    <n v="0.32"/>
    <n v="0.1045"/>
    <n v="9"/>
    <n v="148"/>
    <n v="157"/>
    <x v="0"/>
  </r>
  <r>
    <n v="65"/>
    <d v="2011-03-06T00:00:00"/>
    <n v="1"/>
    <n v="0"/>
    <n v="1"/>
    <n v="19"/>
    <x v="0"/>
    <n v="1"/>
    <n v="1"/>
    <n v="0.2"/>
    <n v="0.2576"/>
    <n v="0.47"/>
    <n v="0"/>
    <n v="8"/>
    <n v="102"/>
    <n v="110"/>
    <x v="1"/>
  </r>
  <r>
    <n v="66"/>
    <d v="2011-03-07T00:00:00"/>
    <n v="1"/>
    <n v="0"/>
    <n v="1"/>
    <n v="20"/>
    <x v="0"/>
    <n v="1"/>
    <n v="1"/>
    <n v="0.2"/>
    <n v="0.21179999999999999"/>
    <n v="0.47"/>
    <n v="0.1045"/>
    <n v="3"/>
    <n v="49"/>
    <n v="52"/>
    <x v="2"/>
  </r>
  <r>
    <n v="67"/>
    <d v="2011-03-08T00:00:00"/>
    <n v="1"/>
    <n v="0"/>
    <n v="1"/>
    <n v="21"/>
    <x v="0"/>
    <n v="1"/>
    <n v="1"/>
    <n v="0.18"/>
    <n v="0.19700000000000001"/>
    <n v="0.64"/>
    <n v="0.1343"/>
    <n v="3"/>
    <n v="49"/>
    <n v="52"/>
    <x v="3"/>
  </r>
  <r>
    <n v="68"/>
    <d v="2011-03-09T00:00:00"/>
    <n v="1"/>
    <n v="0"/>
    <n v="1"/>
    <n v="22"/>
    <x v="0"/>
    <n v="1"/>
    <n v="1"/>
    <n v="0.14000000000000001"/>
    <n v="0.1515"/>
    <n v="0.69"/>
    <n v="0.1343"/>
    <n v="0"/>
    <n v="20"/>
    <n v="20"/>
    <x v="4"/>
  </r>
  <r>
    <n v="69"/>
    <d v="2011-03-10T00:00:00"/>
    <n v="1"/>
    <n v="0"/>
    <n v="1"/>
    <n v="23"/>
    <x v="0"/>
    <n v="1"/>
    <n v="1"/>
    <n v="0.18"/>
    <n v="0.21210000000000001"/>
    <n v="0.55000000000000004"/>
    <n v="0.1045"/>
    <n v="1"/>
    <n v="11"/>
    <n v="12"/>
    <x v="5"/>
  </r>
  <r>
    <n v="70"/>
    <d v="2011-03-11T00:00:00"/>
    <n v="1"/>
    <n v="0"/>
    <n v="1"/>
    <n v="0"/>
    <x v="0"/>
    <n v="2"/>
    <n v="1"/>
    <n v="0.16"/>
    <n v="0.21179999999999999"/>
    <n v="0.55000000000000004"/>
    <n v="0.1045"/>
    <n v="0"/>
    <n v="5"/>
    <n v="5"/>
    <x v="6"/>
  </r>
  <r>
    <n v="71"/>
    <d v="2011-03-12T00:00:00"/>
    <n v="1"/>
    <n v="0"/>
    <n v="1"/>
    <n v="1"/>
    <x v="0"/>
    <n v="2"/>
    <n v="1"/>
    <n v="0.16"/>
    <n v="0.18179999999999999"/>
    <n v="0.59"/>
    <n v="0.1045"/>
    <n v="0"/>
    <n v="2"/>
    <n v="2"/>
    <x v="0"/>
  </r>
  <r>
    <n v="72"/>
    <d v="2011-03-13T00:00:00"/>
    <n v="1"/>
    <n v="0"/>
    <n v="1"/>
    <n v="2"/>
    <x v="0"/>
    <n v="2"/>
    <n v="1"/>
    <n v="0.14000000000000001"/>
    <n v="0.1515"/>
    <n v="0.63"/>
    <n v="0.1343"/>
    <n v="0"/>
    <n v="1"/>
    <n v="1"/>
    <x v="1"/>
  </r>
  <r>
    <n v="73"/>
    <d v="2011-03-14T00:00:00"/>
    <n v="1"/>
    <n v="0"/>
    <n v="1"/>
    <n v="4"/>
    <x v="0"/>
    <n v="2"/>
    <n v="1"/>
    <n v="0.14000000000000001"/>
    <n v="0.18179999999999999"/>
    <n v="0.63"/>
    <n v="8.9599999999999999E-2"/>
    <n v="0"/>
    <n v="2"/>
    <n v="2"/>
    <x v="2"/>
  </r>
  <r>
    <n v="74"/>
    <d v="2011-03-15T00:00:00"/>
    <n v="1"/>
    <n v="0"/>
    <n v="1"/>
    <n v="5"/>
    <x v="0"/>
    <n v="2"/>
    <n v="1"/>
    <n v="0.12"/>
    <n v="0.1515"/>
    <n v="0.68"/>
    <n v="0.1045"/>
    <n v="0"/>
    <n v="4"/>
    <n v="4"/>
    <x v="3"/>
  </r>
  <r>
    <n v="75"/>
    <d v="2011-03-16T00:00:00"/>
    <n v="1"/>
    <n v="0"/>
    <n v="1"/>
    <n v="6"/>
    <x v="0"/>
    <n v="2"/>
    <n v="1"/>
    <n v="0.12"/>
    <n v="0.1515"/>
    <n v="0.74"/>
    <n v="0.1045"/>
    <n v="0"/>
    <n v="36"/>
    <n v="36"/>
    <x v="4"/>
  </r>
  <r>
    <n v="76"/>
    <d v="2011-03-17T00:00:00"/>
    <n v="1"/>
    <n v="0"/>
    <n v="1"/>
    <n v="7"/>
    <x v="0"/>
    <n v="2"/>
    <n v="1"/>
    <n v="0.12"/>
    <n v="0.1515"/>
    <n v="0.74"/>
    <n v="0.1343"/>
    <n v="2"/>
    <n v="92"/>
    <n v="94"/>
    <x v="5"/>
  </r>
  <r>
    <n v="77"/>
    <d v="2011-03-18T00:00:00"/>
    <n v="1"/>
    <n v="0"/>
    <n v="1"/>
    <n v="8"/>
    <x v="0"/>
    <n v="2"/>
    <n v="1"/>
    <n v="0.14000000000000001"/>
    <n v="0.1515"/>
    <n v="0.69"/>
    <n v="0.16420000000000001"/>
    <n v="2"/>
    <n v="177"/>
    <n v="179"/>
    <x v="6"/>
  </r>
  <r>
    <n v="78"/>
    <d v="2011-03-19T00:00:00"/>
    <n v="1"/>
    <n v="0"/>
    <n v="1"/>
    <n v="9"/>
    <x v="0"/>
    <n v="2"/>
    <n v="1"/>
    <n v="0.16"/>
    <n v="0.1515"/>
    <n v="0.64"/>
    <n v="0.22389999999999999"/>
    <n v="2"/>
    <n v="98"/>
    <n v="100"/>
    <x v="0"/>
  </r>
  <r>
    <n v="79"/>
    <d v="2011-03-20T00:00:00"/>
    <n v="1"/>
    <n v="0"/>
    <n v="1"/>
    <n v="10"/>
    <x v="0"/>
    <n v="2"/>
    <n v="2"/>
    <n v="0.16"/>
    <n v="0.13639999999999999"/>
    <n v="0.69"/>
    <n v="0.32840000000000003"/>
    <n v="5"/>
    <n v="37"/>
    <n v="42"/>
    <x v="1"/>
  </r>
  <r>
    <n v="80"/>
    <d v="2011-03-21T00:00:00"/>
    <n v="1"/>
    <n v="0"/>
    <n v="1"/>
    <n v="11"/>
    <x v="0"/>
    <n v="2"/>
    <n v="1"/>
    <n v="0.22"/>
    <n v="0.21210000000000001"/>
    <n v="0.51"/>
    <n v="0.29849999999999999"/>
    <n v="7"/>
    <n v="50"/>
    <n v="57"/>
    <x v="2"/>
  </r>
  <r>
    <n v="81"/>
    <d v="2011-03-22T00:00:00"/>
    <n v="1"/>
    <n v="0"/>
    <n v="1"/>
    <n v="12"/>
    <x v="0"/>
    <n v="2"/>
    <n v="1"/>
    <n v="0.22"/>
    <n v="0.2273"/>
    <n v="0.51"/>
    <n v="0.16420000000000001"/>
    <n v="12"/>
    <n v="66"/>
    <n v="78"/>
    <x v="3"/>
  </r>
  <r>
    <n v="82"/>
    <d v="2011-03-23T00:00:00"/>
    <n v="1"/>
    <n v="0"/>
    <n v="1"/>
    <n v="13"/>
    <x v="0"/>
    <n v="2"/>
    <n v="1"/>
    <n v="0.24"/>
    <n v="0.2273"/>
    <n v="0.56000000000000005"/>
    <n v="0.19400000000000001"/>
    <n v="18"/>
    <n v="79"/>
    <n v="97"/>
    <x v="4"/>
  </r>
  <r>
    <n v="83"/>
    <d v="2011-03-24T00:00:00"/>
    <n v="1"/>
    <n v="0"/>
    <n v="1"/>
    <n v="14"/>
    <x v="0"/>
    <n v="2"/>
    <n v="1"/>
    <n v="0.26"/>
    <n v="0.2576"/>
    <n v="0.52"/>
    <n v="0.22389999999999999"/>
    <n v="9"/>
    <n v="54"/>
    <n v="63"/>
    <x v="5"/>
  </r>
  <r>
    <n v="84"/>
    <d v="2011-03-25T00:00:00"/>
    <n v="1"/>
    <n v="0"/>
    <n v="1"/>
    <n v="15"/>
    <x v="0"/>
    <n v="2"/>
    <n v="1"/>
    <n v="0.28000000000000003"/>
    <n v="0.2727"/>
    <n v="0.52"/>
    <n v="0.25369999999999998"/>
    <n v="17"/>
    <n v="48"/>
    <n v="65"/>
    <x v="6"/>
  </r>
  <r>
    <n v="85"/>
    <d v="2011-03-26T00:00:00"/>
    <n v="1"/>
    <n v="0"/>
    <n v="1"/>
    <n v="16"/>
    <x v="0"/>
    <n v="2"/>
    <n v="1"/>
    <n v="0.3"/>
    <n v="0.28789999999999999"/>
    <n v="0.49"/>
    <n v="0.25369999999999998"/>
    <n v="15"/>
    <n v="68"/>
    <n v="83"/>
    <x v="0"/>
  </r>
  <r>
    <n v="86"/>
    <d v="2011-03-27T00:00:00"/>
    <n v="1"/>
    <n v="0"/>
    <n v="1"/>
    <n v="17"/>
    <x v="0"/>
    <n v="2"/>
    <n v="1"/>
    <n v="0.28000000000000003"/>
    <n v="0.2727"/>
    <n v="0.48"/>
    <n v="0.22389999999999999"/>
    <n v="10"/>
    <n v="202"/>
    <n v="212"/>
    <x v="1"/>
  </r>
  <r>
    <n v="87"/>
    <d v="2011-03-28T00:00:00"/>
    <n v="1"/>
    <n v="0"/>
    <n v="1"/>
    <n v="18"/>
    <x v="0"/>
    <n v="2"/>
    <n v="1"/>
    <n v="0.26"/>
    <n v="0.2576"/>
    <n v="0.48"/>
    <n v="0.19400000000000001"/>
    <n v="3"/>
    <n v="179"/>
    <n v="182"/>
    <x v="2"/>
  </r>
  <r>
    <n v="88"/>
    <d v="2011-03-29T00:00:00"/>
    <n v="1"/>
    <n v="0"/>
    <n v="1"/>
    <n v="19"/>
    <x v="0"/>
    <n v="2"/>
    <n v="1"/>
    <n v="0.24"/>
    <n v="0.2576"/>
    <n v="0.48"/>
    <n v="0.1045"/>
    <n v="2"/>
    <n v="110"/>
    <n v="112"/>
    <x v="3"/>
  </r>
  <r>
    <n v="89"/>
    <d v="2011-03-30T00:00:00"/>
    <n v="1"/>
    <n v="0"/>
    <n v="1"/>
    <n v="20"/>
    <x v="0"/>
    <n v="2"/>
    <n v="1"/>
    <n v="0.24"/>
    <n v="0.2576"/>
    <n v="0.48"/>
    <n v="0.1045"/>
    <n v="1"/>
    <n v="53"/>
    <n v="54"/>
    <x v="4"/>
  </r>
  <r>
    <n v="90"/>
    <d v="2011-03-31T00:00:00"/>
    <n v="1"/>
    <n v="0"/>
    <n v="1"/>
    <n v="21"/>
    <x v="0"/>
    <n v="2"/>
    <n v="1"/>
    <n v="0.22"/>
    <n v="0.2727"/>
    <n v="0.64"/>
    <n v="0"/>
    <n v="0"/>
    <n v="48"/>
    <n v="48"/>
    <x v="5"/>
  </r>
  <r>
    <n v="91"/>
    <d v="2011-04-01T00:00:00"/>
    <n v="1"/>
    <n v="0"/>
    <n v="1"/>
    <n v="22"/>
    <x v="0"/>
    <n v="2"/>
    <n v="1"/>
    <n v="0.22"/>
    <n v="0.2576"/>
    <n v="0.64"/>
    <n v="8.9599999999999999E-2"/>
    <n v="1"/>
    <n v="34"/>
    <n v="35"/>
    <x v="6"/>
  </r>
  <r>
    <n v="92"/>
    <d v="2011-04-02T00:00:00"/>
    <n v="1"/>
    <n v="0"/>
    <n v="1"/>
    <n v="23"/>
    <x v="0"/>
    <n v="2"/>
    <n v="1"/>
    <n v="0.2"/>
    <n v="0.2273"/>
    <n v="0.69"/>
    <n v="8.9599999999999999E-2"/>
    <n v="2"/>
    <n v="9"/>
    <n v="11"/>
    <x v="0"/>
  </r>
  <r>
    <n v="93"/>
    <d v="2011-04-03T00:00:00"/>
    <n v="1"/>
    <n v="0"/>
    <n v="1"/>
    <n v="0"/>
    <x v="0"/>
    <n v="3"/>
    <n v="1"/>
    <n v="0.2"/>
    <n v="0.2576"/>
    <n v="0.64"/>
    <n v="0"/>
    <n v="0"/>
    <n v="6"/>
    <n v="6"/>
    <x v="1"/>
  </r>
  <r>
    <n v="94"/>
    <d v="2011-04-04T00:00:00"/>
    <n v="1"/>
    <n v="0"/>
    <n v="1"/>
    <n v="1"/>
    <x v="0"/>
    <n v="3"/>
    <n v="1"/>
    <n v="0.16"/>
    <n v="0.19700000000000001"/>
    <n v="0.74"/>
    <n v="8.9599999999999999E-2"/>
    <n v="0"/>
    <n v="6"/>
    <n v="6"/>
    <x v="2"/>
  </r>
  <r>
    <n v="95"/>
    <d v="2011-04-05T00:00:00"/>
    <n v="1"/>
    <n v="0"/>
    <n v="1"/>
    <n v="2"/>
    <x v="0"/>
    <n v="3"/>
    <n v="1"/>
    <n v="0.16"/>
    <n v="0.19700000000000001"/>
    <n v="0.74"/>
    <n v="8.9599999999999999E-2"/>
    <n v="0"/>
    <n v="2"/>
    <n v="2"/>
    <x v="3"/>
  </r>
  <r>
    <n v="96"/>
    <d v="2011-04-06T00:00:00"/>
    <n v="1"/>
    <n v="0"/>
    <n v="1"/>
    <n v="4"/>
    <x v="0"/>
    <n v="3"/>
    <n v="1"/>
    <n v="0.24"/>
    <n v="0.2273"/>
    <n v="0.48"/>
    <n v="0.22389999999999999"/>
    <n v="0"/>
    <n v="2"/>
    <n v="2"/>
    <x v="4"/>
  </r>
  <r>
    <n v="97"/>
    <d v="2011-04-07T00:00:00"/>
    <n v="1"/>
    <n v="0"/>
    <n v="1"/>
    <n v="5"/>
    <x v="0"/>
    <n v="3"/>
    <n v="1"/>
    <n v="0.22"/>
    <n v="0.2273"/>
    <n v="0.47"/>
    <n v="0.16420000000000001"/>
    <n v="0"/>
    <n v="3"/>
    <n v="3"/>
    <x v="5"/>
  </r>
  <r>
    <n v="98"/>
    <d v="2011-04-08T00:00:00"/>
    <n v="1"/>
    <n v="0"/>
    <n v="1"/>
    <n v="6"/>
    <x v="0"/>
    <n v="3"/>
    <n v="1"/>
    <n v="0.2"/>
    <n v="0.19700000000000001"/>
    <n v="0.47"/>
    <n v="0.22389999999999999"/>
    <n v="0"/>
    <n v="33"/>
    <n v="33"/>
    <x v="6"/>
  </r>
  <r>
    <n v="99"/>
    <d v="2011-04-09T00:00:00"/>
    <n v="1"/>
    <n v="0"/>
    <n v="1"/>
    <n v="7"/>
    <x v="0"/>
    <n v="3"/>
    <n v="1"/>
    <n v="0.18"/>
    <n v="0.18179999999999999"/>
    <n v="0.43"/>
    <n v="0.19400000000000001"/>
    <n v="1"/>
    <n v="87"/>
    <n v="88"/>
    <x v="0"/>
  </r>
  <r>
    <n v="100"/>
    <d v="2011-04-10T00:00:00"/>
    <n v="1"/>
    <n v="0"/>
    <n v="1"/>
    <n v="8"/>
    <x v="0"/>
    <n v="3"/>
    <n v="1"/>
    <n v="0.2"/>
    <n v="0.18179999999999999"/>
    <n v="0.4"/>
    <n v="0.29849999999999999"/>
    <n v="3"/>
    <n v="192"/>
    <n v="195"/>
    <x v="1"/>
  </r>
  <r>
    <n v="101"/>
    <d v="2011-04-11T00:00:00"/>
    <n v="1"/>
    <n v="0"/>
    <n v="1"/>
    <n v="9"/>
    <x v="0"/>
    <n v="3"/>
    <n v="1"/>
    <n v="0.22"/>
    <n v="0.19700000000000001"/>
    <n v="0.37"/>
    <n v="0.32840000000000003"/>
    <n v="6"/>
    <n v="109"/>
    <n v="115"/>
    <x v="2"/>
  </r>
  <r>
    <n v="102"/>
    <d v="2011-04-12T00:00:00"/>
    <n v="1"/>
    <n v="0"/>
    <n v="1"/>
    <n v="10"/>
    <x v="0"/>
    <n v="3"/>
    <n v="1"/>
    <n v="0.22"/>
    <n v="0.19700000000000001"/>
    <n v="0.37"/>
    <n v="0.32840000000000003"/>
    <n v="4"/>
    <n v="53"/>
    <n v="57"/>
    <x v="3"/>
  </r>
  <r>
    <n v="103"/>
    <d v="2011-04-13T00:00:00"/>
    <n v="1"/>
    <n v="0"/>
    <n v="1"/>
    <n v="11"/>
    <x v="0"/>
    <n v="3"/>
    <n v="1"/>
    <n v="0.26"/>
    <n v="0.2273"/>
    <n v="0.33"/>
    <n v="0.32840000000000003"/>
    <n v="12"/>
    <n v="34"/>
    <n v="46"/>
    <x v="4"/>
  </r>
  <r>
    <n v="104"/>
    <d v="2011-04-14T00:00:00"/>
    <n v="1"/>
    <n v="0"/>
    <n v="1"/>
    <n v="12"/>
    <x v="0"/>
    <n v="3"/>
    <n v="1"/>
    <n v="0.26"/>
    <n v="0.2273"/>
    <n v="0.33"/>
    <n v="0.32840000000000003"/>
    <n v="5"/>
    <n v="74"/>
    <n v="79"/>
    <x v="5"/>
  </r>
  <r>
    <n v="105"/>
    <d v="2011-04-15T00:00:00"/>
    <n v="1"/>
    <n v="0"/>
    <n v="1"/>
    <n v="13"/>
    <x v="0"/>
    <n v="3"/>
    <n v="1"/>
    <n v="0.28000000000000003"/>
    <n v="0.2576"/>
    <n v="0.3"/>
    <n v="0.29849999999999999"/>
    <n v="6"/>
    <n v="65"/>
    <n v="71"/>
    <x v="6"/>
  </r>
  <r>
    <n v="106"/>
    <d v="2011-04-16T00:00:00"/>
    <n v="1"/>
    <n v="0"/>
    <n v="1"/>
    <n v="14"/>
    <x v="0"/>
    <n v="3"/>
    <n v="1"/>
    <n v="0.3"/>
    <n v="0.28789999999999999"/>
    <n v="0.28000000000000003"/>
    <n v="0.19400000000000001"/>
    <n v="10"/>
    <n v="52"/>
    <n v="62"/>
    <x v="0"/>
  </r>
  <r>
    <n v="107"/>
    <d v="2011-04-17T00:00:00"/>
    <n v="1"/>
    <n v="0"/>
    <n v="1"/>
    <n v="15"/>
    <x v="0"/>
    <n v="3"/>
    <n v="1"/>
    <n v="0.3"/>
    <n v="0.28789999999999999"/>
    <n v="0.28000000000000003"/>
    <n v="0.19400000000000001"/>
    <n v="7"/>
    <n v="55"/>
    <n v="62"/>
    <x v="1"/>
  </r>
  <r>
    <n v="108"/>
    <d v="2011-04-18T00:00:00"/>
    <n v="1"/>
    <n v="0"/>
    <n v="1"/>
    <n v="16"/>
    <x v="0"/>
    <n v="3"/>
    <n v="1"/>
    <n v="0.3"/>
    <n v="0.31819999999999998"/>
    <n v="0.28000000000000003"/>
    <n v="8.9599999999999999E-2"/>
    <n v="4"/>
    <n v="85"/>
    <n v="89"/>
    <x v="2"/>
  </r>
  <r>
    <n v="109"/>
    <d v="2011-04-19T00:00:00"/>
    <n v="1"/>
    <n v="0"/>
    <n v="1"/>
    <n v="17"/>
    <x v="0"/>
    <n v="3"/>
    <n v="1"/>
    <n v="0.24"/>
    <n v="0.2273"/>
    <n v="0.38"/>
    <n v="0.19400000000000001"/>
    <n v="4"/>
    <n v="186"/>
    <n v="190"/>
    <x v="3"/>
  </r>
  <r>
    <n v="110"/>
    <d v="2011-04-20T00:00:00"/>
    <n v="1"/>
    <n v="0"/>
    <n v="1"/>
    <n v="18"/>
    <x v="0"/>
    <n v="3"/>
    <n v="1"/>
    <n v="0.24"/>
    <n v="0.2424"/>
    <n v="0.38"/>
    <n v="0.1343"/>
    <n v="3"/>
    <n v="166"/>
    <n v="169"/>
    <x v="4"/>
  </r>
  <r>
    <n v="111"/>
    <d v="2011-04-21T00:00:00"/>
    <n v="1"/>
    <n v="0"/>
    <n v="1"/>
    <n v="19"/>
    <x v="0"/>
    <n v="3"/>
    <n v="1"/>
    <n v="0.24"/>
    <n v="0.2576"/>
    <n v="0.38"/>
    <n v="0.1045"/>
    <n v="5"/>
    <n v="127"/>
    <n v="132"/>
    <x v="5"/>
  </r>
  <r>
    <n v="112"/>
    <d v="2011-04-22T00:00:00"/>
    <n v="1"/>
    <n v="0"/>
    <n v="1"/>
    <n v="20"/>
    <x v="0"/>
    <n v="3"/>
    <n v="1"/>
    <n v="0.22"/>
    <n v="0.2273"/>
    <n v="0.47"/>
    <n v="0.16420000000000001"/>
    <n v="7"/>
    <n v="82"/>
    <n v="89"/>
    <x v="6"/>
  </r>
  <r>
    <n v="113"/>
    <d v="2011-04-23T00:00:00"/>
    <n v="1"/>
    <n v="0"/>
    <n v="1"/>
    <n v="21"/>
    <x v="0"/>
    <n v="3"/>
    <n v="1"/>
    <n v="0.2"/>
    <n v="0.19700000000000001"/>
    <n v="0.51"/>
    <n v="0.19400000000000001"/>
    <n v="3"/>
    <n v="40"/>
    <n v="43"/>
    <x v="0"/>
  </r>
  <r>
    <n v="114"/>
    <d v="2011-04-24T00:00:00"/>
    <n v="1"/>
    <n v="0"/>
    <n v="1"/>
    <n v="22"/>
    <x v="0"/>
    <n v="3"/>
    <n v="1"/>
    <n v="0.18"/>
    <n v="0.19700000000000001"/>
    <n v="0.55000000000000004"/>
    <n v="0.1343"/>
    <n v="1"/>
    <n v="41"/>
    <n v="42"/>
    <x v="1"/>
  </r>
  <r>
    <n v="115"/>
    <d v="2011-04-25T00:00:00"/>
    <n v="1"/>
    <n v="0"/>
    <n v="1"/>
    <n v="23"/>
    <x v="0"/>
    <n v="3"/>
    <n v="1"/>
    <n v="0.2"/>
    <n v="0.2576"/>
    <n v="0.47"/>
    <n v="0"/>
    <n v="1"/>
    <n v="18"/>
    <n v="19"/>
    <x v="2"/>
  </r>
  <r>
    <n v="116"/>
    <d v="2011-04-26T00:00:00"/>
    <n v="1"/>
    <n v="0"/>
    <n v="1"/>
    <n v="0"/>
    <x v="0"/>
    <n v="4"/>
    <n v="1"/>
    <n v="0.18"/>
    <n v="0.2424"/>
    <n v="0.55000000000000004"/>
    <n v="0"/>
    <n v="0"/>
    <n v="11"/>
    <n v="11"/>
    <x v="3"/>
  </r>
  <r>
    <n v="117"/>
    <d v="2011-04-27T00:00:00"/>
    <n v="1"/>
    <n v="0"/>
    <n v="1"/>
    <n v="1"/>
    <x v="0"/>
    <n v="4"/>
    <n v="1"/>
    <n v="0.16"/>
    <n v="0.2273"/>
    <n v="0.64"/>
    <n v="0"/>
    <n v="0"/>
    <n v="4"/>
    <n v="4"/>
    <x v="4"/>
  </r>
  <r>
    <n v="118"/>
    <d v="2011-04-28T00:00:00"/>
    <n v="1"/>
    <n v="0"/>
    <n v="1"/>
    <n v="2"/>
    <x v="0"/>
    <n v="4"/>
    <n v="1"/>
    <n v="0.16"/>
    <n v="0.2273"/>
    <n v="0.64"/>
    <n v="0"/>
    <n v="0"/>
    <n v="2"/>
    <n v="2"/>
    <x v="5"/>
  </r>
  <r>
    <n v="119"/>
    <d v="2011-04-29T00:00:00"/>
    <n v="1"/>
    <n v="0"/>
    <n v="1"/>
    <n v="4"/>
    <x v="0"/>
    <n v="4"/>
    <n v="2"/>
    <n v="0.16"/>
    <n v="0.19700000000000001"/>
    <n v="0.64"/>
    <n v="8.9599999999999999E-2"/>
    <n v="0"/>
    <n v="1"/>
    <n v="1"/>
    <x v="6"/>
  </r>
  <r>
    <n v="120"/>
    <d v="2011-04-30T00:00:00"/>
    <n v="1"/>
    <n v="0"/>
    <n v="1"/>
    <n v="5"/>
    <x v="0"/>
    <n v="4"/>
    <n v="2"/>
    <n v="0.14000000000000001"/>
    <n v="0.18179999999999999"/>
    <n v="0.69"/>
    <n v="8.9599999999999999E-2"/>
    <n v="0"/>
    <n v="4"/>
    <n v="4"/>
    <x v="0"/>
  </r>
  <r>
    <n v="121"/>
    <d v="2011-05-01T00:00:00"/>
    <n v="1"/>
    <n v="0"/>
    <n v="1"/>
    <n v="6"/>
    <x v="0"/>
    <n v="4"/>
    <n v="2"/>
    <n v="0.14000000000000001"/>
    <n v="0.16669999999999999"/>
    <n v="0.63"/>
    <n v="0.1045"/>
    <n v="0"/>
    <n v="36"/>
    <n v="36"/>
    <x v="1"/>
  </r>
  <r>
    <n v="122"/>
    <d v="2011-05-02T00:00:00"/>
    <n v="1"/>
    <n v="0"/>
    <n v="1"/>
    <n v="7"/>
    <x v="0"/>
    <n v="4"/>
    <n v="2"/>
    <n v="0.16"/>
    <n v="0.2273"/>
    <n v="0.59"/>
    <n v="0"/>
    <n v="0"/>
    <n v="95"/>
    <n v="95"/>
    <x v="2"/>
  </r>
  <r>
    <n v="123"/>
    <d v="2011-05-03T00:00:00"/>
    <n v="1"/>
    <n v="0"/>
    <n v="1"/>
    <n v="8"/>
    <x v="0"/>
    <n v="4"/>
    <n v="1"/>
    <n v="0.16"/>
    <n v="0.2273"/>
    <n v="0.59"/>
    <n v="0"/>
    <n v="3"/>
    <n v="216"/>
    <n v="219"/>
    <x v="3"/>
  </r>
  <r>
    <n v="124"/>
    <d v="2011-05-04T00:00:00"/>
    <n v="1"/>
    <n v="0"/>
    <n v="1"/>
    <n v="9"/>
    <x v="0"/>
    <n v="4"/>
    <n v="2"/>
    <n v="0.18"/>
    <n v="0.2424"/>
    <n v="0.51"/>
    <n v="0"/>
    <n v="6"/>
    <n v="116"/>
    <n v="122"/>
    <x v="4"/>
  </r>
  <r>
    <n v="125"/>
    <d v="2011-05-05T00:00:00"/>
    <n v="1"/>
    <n v="0"/>
    <n v="1"/>
    <n v="10"/>
    <x v="0"/>
    <n v="4"/>
    <n v="1"/>
    <n v="0.2"/>
    <n v="0.2576"/>
    <n v="0.47"/>
    <n v="0"/>
    <n v="3"/>
    <n v="42"/>
    <n v="45"/>
    <x v="5"/>
  </r>
  <r>
    <n v="126"/>
    <d v="2011-05-06T00:00:00"/>
    <n v="1"/>
    <n v="0"/>
    <n v="1"/>
    <n v="11"/>
    <x v="0"/>
    <n v="4"/>
    <n v="1"/>
    <n v="0.22"/>
    <n v="0.2576"/>
    <n v="0.44"/>
    <n v="8.9599999999999999E-2"/>
    <n v="2"/>
    <n v="57"/>
    <n v="59"/>
    <x v="6"/>
  </r>
  <r>
    <n v="127"/>
    <d v="2011-05-07T00:00:00"/>
    <n v="1"/>
    <n v="0"/>
    <n v="1"/>
    <n v="12"/>
    <x v="0"/>
    <n v="4"/>
    <n v="1"/>
    <n v="0.26"/>
    <n v="0.28789999999999999"/>
    <n v="0.35"/>
    <n v="0"/>
    <n v="6"/>
    <n v="78"/>
    <n v="84"/>
    <x v="0"/>
  </r>
  <r>
    <n v="128"/>
    <d v="2011-05-08T00:00:00"/>
    <n v="1"/>
    <n v="0"/>
    <n v="1"/>
    <n v="13"/>
    <x v="0"/>
    <n v="4"/>
    <n v="1"/>
    <n v="0.26"/>
    <n v="0.2727"/>
    <n v="0.35"/>
    <n v="0.1045"/>
    <n v="12"/>
    <n v="55"/>
    <n v="67"/>
    <x v="1"/>
  </r>
  <r>
    <n v="129"/>
    <d v="2011-05-09T00:00:00"/>
    <n v="1"/>
    <n v="0"/>
    <n v="1"/>
    <n v="14"/>
    <x v="0"/>
    <n v="4"/>
    <n v="1"/>
    <n v="0.28000000000000003"/>
    <n v="0.2727"/>
    <n v="0.36"/>
    <n v="0.16420000000000001"/>
    <n v="11"/>
    <n v="59"/>
    <n v="70"/>
    <x v="2"/>
  </r>
  <r>
    <n v="130"/>
    <d v="2011-05-10T00:00:00"/>
    <n v="1"/>
    <n v="0"/>
    <n v="1"/>
    <n v="15"/>
    <x v="0"/>
    <n v="4"/>
    <n v="1"/>
    <n v="0.28000000000000003"/>
    <n v="0.2727"/>
    <n v="0.36"/>
    <n v="0"/>
    <n v="8"/>
    <n v="54"/>
    <n v="62"/>
    <x v="3"/>
  </r>
  <r>
    <n v="131"/>
    <d v="2011-05-11T00:00:00"/>
    <n v="1"/>
    <n v="0"/>
    <n v="1"/>
    <n v="16"/>
    <x v="0"/>
    <n v="4"/>
    <n v="1"/>
    <n v="0.26"/>
    <n v="0.2576"/>
    <n v="0.38"/>
    <n v="0.16420000000000001"/>
    <n v="12"/>
    <n v="74"/>
    <n v="86"/>
    <x v="4"/>
  </r>
  <r>
    <n v="132"/>
    <d v="2011-05-12T00:00:00"/>
    <n v="1"/>
    <n v="0"/>
    <n v="1"/>
    <n v="17"/>
    <x v="0"/>
    <n v="4"/>
    <n v="1"/>
    <n v="0.22"/>
    <n v="0.2273"/>
    <n v="0.51"/>
    <n v="0.16420000000000001"/>
    <n v="9"/>
    <n v="163"/>
    <n v="172"/>
    <x v="5"/>
  </r>
  <r>
    <n v="133"/>
    <d v="2011-05-13T00:00:00"/>
    <n v="1"/>
    <n v="0"/>
    <n v="1"/>
    <n v="18"/>
    <x v="0"/>
    <n v="4"/>
    <n v="1"/>
    <n v="0.22"/>
    <n v="0.2273"/>
    <n v="0.51"/>
    <n v="0.1343"/>
    <n v="5"/>
    <n v="158"/>
    <n v="163"/>
    <x v="6"/>
  </r>
  <r>
    <n v="134"/>
    <d v="2011-05-14T00:00:00"/>
    <n v="1"/>
    <n v="0"/>
    <n v="1"/>
    <n v="19"/>
    <x v="0"/>
    <n v="4"/>
    <n v="1"/>
    <n v="0.22"/>
    <n v="0.2576"/>
    <n v="0.55000000000000004"/>
    <n v="8.9599999999999999E-2"/>
    <n v="3"/>
    <n v="109"/>
    <n v="112"/>
    <x v="0"/>
  </r>
  <r>
    <n v="135"/>
    <d v="2011-05-15T00:00:00"/>
    <n v="1"/>
    <n v="0"/>
    <n v="1"/>
    <n v="20"/>
    <x v="0"/>
    <n v="4"/>
    <n v="1"/>
    <n v="0.2"/>
    <n v="0.21210000000000001"/>
    <n v="0.51"/>
    <n v="0.16420000000000001"/>
    <n v="3"/>
    <n v="66"/>
    <n v="69"/>
    <x v="1"/>
  </r>
  <r>
    <n v="136"/>
    <d v="2011-05-16T00:00:00"/>
    <n v="1"/>
    <n v="0"/>
    <n v="1"/>
    <n v="21"/>
    <x v="0"/>
    <n v="4"/>
    <n v="2"/>
    <n v="0.22"/>
    <n v="0.21210000000000001"/>
    <n v="0.55000000000000004"/>
    <n v="0.22389999999999999"/>
    <n v="0"/>
    <n v="48"/>
    <n v="48"/>
    <x v="2"/>
  </r>
  <r>
    <n v="137"/>
    <d v="2011-05-17T00:00:00"/>
    <n v="1"/>
    <n v="0"/>
    <n v="1"/>
    <n v="22"/>
    <x v="0"/>
    <n v="4"/>
    <n v="2"/>
    <n v="0.22"/>
    <n v="0.21210000000000001"/>
    <n v="0.51"/>
    <n v="0.28360000000000002"/>
    <n v="1"/>
    <n v="51"/>
    <n v="52"/>
    <x v="3"/>
  </r>
  <r>
    <n v="138"/>
    <d v="2011-05-18T00:00:00"/>
    <n v="1"/>
    <n v="0"/>
    <n v="1"/>
    <n v="23"/>
    <x v="0"/>
    <n v="4"/>
    <n v="2"/>
    <n v="0.2"/>
    <n v="0.19700000000000001"/>
    <n v="0.59"/>
    <n v="0.19400000000000001"/>
    <n v="4"/>
    <n v="19"/>
    <n v="23"/>
    <x v="4"/>
  </r>
  <r>
    <n v="139"/>
    <d v="2011-05-19T00:00:00"/>
    <n v="1"/>
    <n v="0"/>
    <n v="1"/>
    <n v="0"/>
    <x v="0"/>
    <n v="5"/>
    <n v="2"/>
    <n v="0.2"/>
    <n v="0.19700000000000001"/>
    <n v="0.64"/>
    <n v="0.19400000000000001"/>
    <n v="4"/>
    <n v="13"/>
    <n v="17"/>
    <x v="5"/>
  </r>
  <r>
    <n v="140"/>
    <d v="2011-05-20T00:00:00"/>
    <n v="1"/>
    <n v="0"/>
    <n v="1"/>
    <n v="1"/>
    <x v="0"/>
    <n v="5"/>
    <n v="2"/>
    <n v="0.2"/>
    <n v="0.19700000000000001"/>
    <n v="0.69"/>
    <n v="0.22389999999999999"/>
    <n v="2"/>
    <n v="5"/>
    <n v="7"/>
    <x v="6"/>
  </r>
  <r>
    <n v="141"/>
    <d v="2011-05-21T00:00:00"/>
    <n v="1"/>
    <n v="0"/>
    <n v="1"/>
    <n v="2"/>
    <x v="0"/>
    <n v="5"/>
    <n v="2"/>
    <n v="0.2"/>
    <n v="0.19700000000000001"/>
    <n v="0.69"/>
    <n v="0.22389999999999999"/>
    <n v="0"/>
    <n v="1"/>
    <n v="1"/>
    <x v="0"/>
  </r>
  <r>
    <n v="142"/>
    <d v="2011-05-22T00:00:00"/>
    <n v="1"/>
    <n v="0"/>
    <n v="1"/>
    <n v="4"/>
    <x v="0"/>
    <n v="5"/>
    <n v="2"/>
    <n v="0.2"/>
    <n v="0.21210000000000001"/>
    <n v="0.69"/>
    <n v="0.1343"/>
    <n v="0"/>
    <n v="1"/>
    <n v="1"/>
    <x v="1"/>
  </r>
  <r>
    <n v="143"/>
    <d v="2011-05-23T00:00:00"/>
    <n v="1"/>
    <n v="0"/>
    <n v="1"/>
    <n v="5"/>
    <x v="0"/>
    <n v="5"/>
    <n v="3"/>
    <n v="0.22"/>
    <n v="0.2727"/>
    <n v="0.55000000000000004"/>
    <n v="0"/>
    <n v="0"/>
    <n v="5"/>
    <n v="5"/>
    <x v="2"/>
  </r>
  <r>
    <n v="144"/>
    <d v="2011-05-24T00:00:00"/>
    <n v="1"/>
    <n v="0"/>
    <n v="1"/>
    <n v="6"/>
    <x v="0"/>
    <n v="5"/>
    <n v="2"/>
    <n v="0.2"/>
    <n v="0.2576"/>
    <n v="0.69"/>
    <n v="0"/>
    <n v="8"/>
    <n v="26"/>
    <n v="34"/>
    <x v="3"/>
  </r>
  <r>
    <n v="145"/>
    <d v="2011-05-25T00:00:00"/>
    <n v="1"/>
    <n v="0"/>
    <n v="1"/>
    <n v="7"/>
    <x v="0"/>
    <n v="5"/>
    <n v="1"/>
    <n v="0.2"/>
    <n v="0.21210000000000001"/>
    <n v="0.69"/>
    <n v="0.1343"/>
    <n v="8"/>
    <n v="76"/>
    <n v="84"/>
    <x v="4"/>
  </r>
  <r>
    <n v="146"/>
    <d v="2011-05-26T00:00:00"/>
    <n v="1"/>
    <n v="0"/>
    <n v="1"/>
    <n v="8"/>
    <x v="0"/>
    <n v="5"/>
    <n v="1"/>
    <n v="0.2"/>
    <n v="0.19700000000000001"/>
    <n v="0.51"/>
    <n v="0.25369999999999998"/>
    <n v="20"/>
    <n v="190"/>
    <n v="210"/>
    <x v="5"/>
  </r>
  <r>
    <n v="147"/>
    <d v="2011-05-27T00:00:00"/>
    <n v="1"/>
    <n v="0"/>
    <n v="1"/>
    <n v="9"/>
    <x v="0"/>
    <n v="5"/>
    <n v="1"/>
    <n v="0.2"/>
    <n v="0.18179999999999999"/>
    <n v="0.47"/>
    <n v="0.29849999999999999"/>
    <n v="9"/>
    <n v="125"/>
    <n v="134"/>
    <x v="6"/>
  </r>
  <r>
    <n v="148"/>
    <d v="2011-05-28T00:00:00"/>
    <n v="1"/>
    <n v="0"/>
    <n v="1"/>
    <n v="10"/>
    <x v="0"/>
    <n v="5"/>
    <n v="1"/>
    <n v="0.22"/>
    <n v="0.19700000000000001"/>
    <n v="0.37"/>
    <n v="0.32840000000000003"/>
    <n v="16"/>
    <n v="47"/>
    <n v="63"/>
    <x v="0"/>
  </r>
  <r>
    <n v="149"/>
    <d v="2011-05-29T00:00:00"/>
    <n v="1"/>
    <n v="0"/>
    <n v="1"/>
    <n v="11"/>
    <x v="0"/>
    <n v="5"/>
    <n v="2"/>
    <n v="0.2"/>
    <n v="0.19700000000000001"/>
    <n v="0.4"/>
    <n v="0.22389999999999999"/>
    <n v="19"/>
    <n v="48"/>
    <n v="67"/>
    <x v="1"/>
  </r>
  <r>
    <n v="150"/>
    <d v="2011-05-30T00:00:00"/>
    <n v="1"/>
    <n v="0"/>
    <n v="1"/>
    <n v="12"/>
    <x v="0"/>
    <n v="5"/>
    <n v="2"/>
    <n v="0.2"/>
    <n v="0.19700000000000001"/>
    <n v="0.37"/>
    <n v="0.25369999999999998"/>
    <n v="9"/>
    <n v="50"/>
    <n v="59"/>
    <x v="2"/>
  </r>
  <r>
    <n v="151"/>
    <d v="2011-05-31T00:00:00"/>
    <n v="1"/>
    <n v="0"/>
    <n v="1"/>
    <n v="13"/>
    <x v="0"/>
    <n v="5"/>
    <n v="2"/>
    <n v="0.2"/>
    <n v="0.18179999999999999"/>
    <n v="0.37"/>
    <n v="0.28360000000000002"/>
    <n v="9"/>
    <n v="64"/>
    <n v="73"/>
    <x v="3"/>
  </r>
  <r>
    <n v="152"/>
    <d v="2011-06-01T00:00:00"/>
    <n v="1"/>
    <n v="0"/>
    <n v="1"/>
    <n v="14"/>
    <x v="0"/>
    <n v="5"/>
    <n v="2"/>
    <n v="0.2"/>
    <n v="0.19700000000000001"/>
    <n v="0.4"/>
    <n v="0.25369999999999998"/>
    <n v="7"/>
    <n v="43"/>
    <n v="50"/>
    <x v="4"/>
  </r>
  <r>
    <n v="153"/>
    <d v="2011-06-02T00:00:00"/>
    <n v="1"/>
    <n v="0"/>
    <n v="1"/>
    <n v="15"/>
    <x v="0"/>
    <n v="5"/>
    <n v="2"/>
    <n v="0.2"/>
    <n v="0.21210000000000001"/>
    <n v="0.37"/>
    <n v="0.16420000000000001"/>
    <n v="9"/>
    <n v="63"/>
    <n v="72"/>
    <x v="5"/>
  </r>
  <r>
    <n v="154"/>
    <d v="2011-06-03T00:00:00"/>
    <n v="1"/>
    <n v="0"/>
    <n v="1"/>
    <n v="16"/>
    <x v="0"/>
    <n v="5"/>
    <n v="2"/>
    <n v="0.2"/>
    <n v="0.21210000000000001"/>
    <n v="0.37"/>
    <n v="0.16420000000000001"/>
    <n v="5"/>
    <n v="82"/>
    <n v="87"/>
    <x v="6"/>
  </r>
  <r>
    <n v="155"/>
    <d v="2011-06-04T00:00:00"/>
    <n v="1"/>
    <n v="0"/>
    <n v="1"/>
    <n v="17"/>
    <x v="0"/>
    <n v="5"/>
    <n v="2"/>
    <n v="0.2"/>
    <n v="0.2576"/>
    <n v="0.37"/>
    <n v="0"/>
    <n v="9"/>
    <n v="178"/>
    <n v="187"/>
    <x v="0"/>
  </r>
  <r>
    <n v="156"/>
    <d v="2011-06-05T00:00:00"/>
    <n v="1"/>
    <n v="0"/>
    <n v="1"/>
    <n v="18"/>
    <x v="0"/>
    <n v="5"/>
    <n v="1"/>
    <n v="0.2"/>
    <n v="0.2273"/>
    <n v="0.4"/>
    <n v="8.9599999999999999E-2"/>
    <n v="7"/>
    <n v="116"/>
    <n v="123"/>
    <x v="1"/>
  </r>
  <r>
    <n v="157"/>
    <d v="2011-06-06T00:00:00"/>
    <n v="1"/>
    <n v="0"/>
    <n v="1"/>
    <n v="19"/>
    <x v="0"/>
    <n v="5"/>
    <n v="1"/>
    <n v="0.16"/>
    <n v="0.19700000000000001"/>
    <n v="0.55000000000000004"/>
    <n v="8.9599999999999999E-2"/>
    <n v="3"/>
    <n v="92"/>
    <n v="95"/>
    <x v="2"/>
  </r>
  <r>
    <n v="158"/>
    <d v="2011-06-07T00:00:00"/>
    <n v="1"/>
    <n v="0"/>
    <n v="1"/>
    <n v="20"/>
    <x v="0"/>
    <n v="5"/>
    <n v="1"/>
    <n v="0.18"/>
    <n v="0.21210000000000001"/>
    <n v="0.47"/>
    <n v="0.1045"/>
    <n v="1"/>
    <n v="50"/>
    <n v="51"/>
    <x v="3"/>
  </r>
  <r>
    <n v="159"/>
    <d v="2011-06-08T00:00:00"/>
    <n v="1"/>
    <n v="0"/>
    <n v="1"/>
    <n v="21"/>
    <x v="0"/>
    <n v="5"/>
    <n v="1"/>
    <n v="0.18"/>
    <n v="0.19700000000000001"/>
    <n v="0.47"/>
    <n v="0.1343"/>
    <n v="0"/>
    <n v="39"/>
    <n v="39"/>
    <x v="4"/>
  </r>
  <r>
    <n v="160"/>
    <d v="2011-06-09T00:00:00"/>
    <n v="1"/>
    <n v="0"/>
    <n v="1"/>
    <n v="22"/>
    <x v="0"/>
    <n v="5"/>
    <n v="2"/>
    <n v="0.18"/>
    <n v="0.19700000000000001"/>
    <n v="0.43"/>
    <n v="0.16420000000000001"/>
    <n v="2"/>
    <n v="34"/>
    <n v="36"/>
    <x v="5"/>
  </r>
  <r>
    <n v="161"/>
    <d v="2011-06-10T00:00:00"/>
    <n v="1"/>
    <n v="0"/>
    <n v="1"/>
    <n v="23"/>
    <x v="0"/>
    <n v="5"/>
    <n v="2"/>
    <n v="0.18"/>
    <n v="0.19700000000000001"/>
    <n v="0.51"/>
    <n v="0.16420000000000001"/>
    <n v="1"/>
    <n v="14"/>
    <n v="15"/>
    <x v="6"/>
  </r>
  <r>
    <n v="162"/>
    <d v="2011-06-11T00:00:00"/>
    <n v="1"/>
    <n v="0"/>
    <n v="1"/>
    <n v="0"/>
    <x v="0"/>
    <n v="6"/>
    <n v="2"/>
    <n v="0.18"/>
    <n v="0.19700000000000001"/>
    <n v="0.51"/>
    <n v="0.16420000000000001"/>
    <n v="1"/>
    <n v="24"/>
    <n v="25"/>
    <x v="0"/>
  </r>
  <r>
    <n v="163"/>
    <d v="2011-06-12T00:00:00"/>
    <n v="1"/>
    <n v="0"/>
    <n v="1"/>
    <n v="1"/>
    <x v="0"/>
    <n v="6"/>
    <n v="2"/>
    <n v="0.18"/>
    <n v="0.21210000000000001"/>
    <n v="0.55000000000000004"/>
    <n v="8.9599999999999999E-2"/>
    <n v="1"/>
    <n v="15"/>
    <n v="16"/>
    <x v="1"/>
  </r>
  <r>
    <n v="164"/>
    <d v="2011-06-13T00:00:00"/>
    <n v="1"/>
    <n v="0"/>
    <n v="1"/>
    <n v="2"/>
    <x v="0"/>
    <n v="6"/>
    <n v="2"/>
    <n v="0.18"/>
    <n v="0.2424"/>
    <n v="0.55000000000000004"/>
    <n v="0"/>
    <n v="3"/>
    <n v="13"/>
    <n v="16"/>
    <x v="2"/>
  </r>
  <r>
    <n v="165"/>
    <d v="2011-06-14T00:00:00"/>
    <n v="1"/>
    <n v="0"/>
    <n v="1"/>
    <n v="3"/>
    <x v="0"/>
    <n v="6"/>
    <n v="3"/>
    <n v="0.18"/>
    <n v="0.19700000000000001"/>
    <n v="0.55000000000000004"/>
    <n v="0.16420000000000001"/>
    <n v="0"/>
    <n v="7"/>
    <n v="7"/>
    <x v="3"/>
  </r>
  <r>
    <n v="166"/>
    <d v="2011-06-15T00:00:00"/>
    <n v="1"/>
    <n v="0"/>
    <n v="1"/>
    <n v="4"/>
    <x v="0"/>
    <n v="6"/>
    <n v="3"/>
    <n v="0.18"/>
    <n v="0.19700000000000001"/>
    <n v="0.55000000000000004"/>
    <n v="0.16420000000000001"/>
    <n v="0"/>
    <n v="1"/>
    <n v="1"/>
    <x v="4"/>
  </r>
  <r>
    <n v="167"/>
    <d v="2011-06-16T00:00:00"/>
    <n v="1"/>
    <n v="0"/>
    <n v="1"/>
    <n v="5"/>
    <x v="0"/>
    <n v="6"/>
    <n v="2"/>
    <n v="0.16"/>
    <n v="0.16669999999999999"/>
    <n v="0.74"/>
    <n v="0.16420000000000001"/>
    <n v="0"/>
    <n v="5"/>
    <n v="5"/>
    <x v="5"/>
  </r>
  <r>
    <n v="168"/>
    <d v="2011-06-17T00:00:00"/>
    <n v="1"/>
    <n v="0"/>
    <n v="1"/>
    <n v="6"/>
    <x v="0"/>
    <n v="6"/>
    <n v="2"/>
    <n v="0.16"/>
    <n v="0.16669999999999999"/>
    <n v="0.74"/>
    <n v="0.16420000000000001"/>
    <n v="0"/>
    <n v="2"/>
    <n v="2"/>
    <x v="6"/>
  </r>
  <r>
    <n v="169"/>
    <d v="2011-06-18T00:00:00"/>
    <n v="1"/>
    <n v="0"/>
    <n v="1"/>
    <n v="7"/>
    <x v="0"/>
    <n v="6"/>
    <n v="2"/>
    <n v="0.16"/>
    <n v="0.18179999999999999"/>
    <n v="0.74"/>
    <n v="0.1045"/>
    <n v="1"/>
    <n v="8"/>
    <n v="9"/>
    <x v="0"/>
  </r>
  <r>
    <n v="170"/>
    <d v="2011-06-19T00:00:00"/>
    <n v="1"/>
    <n v="0"/>
    <n v="1"/>
    <n v="8"/>
    <x v="0"/>
    <n v="6"/>
    <n v="3"/>
    <n v="0.16"/>
    <n v="0.18179999999999999"/>
    <n v="0.93"/>
    <n v="0.1045"/>
    <n v="0"/>
    <n v="15"/>
    <n v="15"/>
    <x v="1"/>
  </r>
  <r>
    <n v="171"/>
    <d v="2011-06-20T00:00:00"/>
    <n v="1"/>
    <n v="0"/>
    <n v="1"/>
    <n v="9"/>
    <x v="0"/>
    <n v="6"/>
    <n v="3"/>
    <n v="0.16"/>
    <n v="0.18179999999999999"/>
    <n v="0.93"/>
    <n v="0.1045"/>
    <n v="0"/>
    <n v="20"/>
    <n v="20"/>
    <x v="2"/>
  </r>
  <r>
    <n v="172"/>
    <d v="2011-06-21T00:00:00"/>
    <n v="1"/>
    <n v="0"/>
    <n v="1"/>
    <n v="10"/>
    <x v="0"/>
    <n v="6"/>
    <n v="2"/>
    <n v="0.18"/>
    <n v="0.19700000000000001"/>
    <n v="0.8"/>
    <n v="0.16420000000000001"/>
    <n v="5"/>
    <n v="56"/>
    <n v="61"/>
    <x v="3"/>
  </r>
  <r>
    <n v="173"/>
    <d v="2011-06-22T00:00:00"/>
    <n v="1"/>
    <n v="0"/>
    <n v="1"/>
    <n v="11"/>
    <x v="0"/>
    <n v="6"/>
    <n v="2"/>
    <n v="0.2"/>
    <n v="0.18179999999999999"/>
    <n v="0.69"/>
    <n v="0.3881"/>
    <n v="2"/>
    <n v="60"/>
    <n v="62"/>
    <x v="4"/>
  </r>
  <r>
    <n v="174"/>
    <d v="2011-06-23T00:00:00"/>
    <n v="1"/>
    <n v="0"/>
    <n v="1"/>
    <n v="12"/>
    <x v="0"/>
    <n v="6"/>
    <n v="2"/>
    <n v="0.2"/>
    <n v="0.18179999999999999"/>
    <n v="0.59"/>
    <n v="0.35820000000000002"/>
    <n v="8"/>
    <n v="90"/>
    <n v="98"/>
    <x v="5"/>
  </r>
  <r>
    <n v="175"/>
    <d v="2011-06-24T00:00:00"/>
    <n v="1"/>
    <n v="0"/>
    <n v="1"/>
    <n v="13"/>
    <x v="0"/>
    <n v="6"/>
    <n v="1"/>
    <n v="0.2"/>
    <n v="0.18179999999999999"/>
    <n v="0.44"/>
    <n v="0.32840000000000003"/>
    <n v="7"/>
    <n v="95"/>
    <n v="102"/>
    <x v="6"/>
  </r>
  <r>
    <n v="176"/>
    <d v="2011-06-25T00:00:00"/>
    <n v="1"/>
    <n v="0"/>
    <n v="1"/>
    <n v="14"/>
    <x v="0"/>
    <n v="6"/>
    <n v="1"/>
    <n v="0.2"/>
    <n v="0.16669999999999999"/>
    <n v="0.32"/>
    <n v="0.49249999999999999"/>
    <n v="12"/>
    <n v="83"/>
    <n v="95"/>
    <x v="0"/>
  </r>
  <r>
    <n v="177"/>
    <d v="2011-06-26T00:00:00"/>
    <n v="1"/>
    <n v="0"/>
    <n v="1"/>
    <n v="15"/>
    <x v="0"/>
    <n v="6"/>
    <n v="1"/>
    <n v="0.2"/>
    <n v="0.16669999999999999"/>
    <n v="0.32"/>
    <n v="0.44779999999999998"/>
    <n v="5"/>
    <n v="69"/>
    <n v="74"/>
    <x v="1"/>
  </r>
  <r>
    <n v="178"/>
    <d v="2011-06-27T00:00:00"/>
    <n v="1"/>
    <n v="0"/>
    <n v="1"/>
    <n v="16"/>
    <x v="0"/>
    <n v="6"/>
    <n v="1"/>
    <n v="0.18"/>
    <n v="0.13639999999999999"/>
    <n v="0.28999999999999998"/>
    <n v="0.44779999999999998"/>
    <n v="8"/>
    <n v="68"/>
    <n v="76"/>
    <x v="2"/>
  </r>
  <r>
    <n v="179"/>
    <d v="2011-06-28T00:00:00"/>
    <n v="1"/>
    <n v="0"/>
    <n v="1"/>
    <n v="17"/>
    <x v="0"/>
    <n v="6"/>
    <n v="1"/>
    <n v="0.16"/>
    <n v="0.1212"/>
    <n v="0.37"/>
    <n v="0.55220000000000002"/>
    <n v="5"/>
    <n v="64"/>
    <n v="69"/>
    <x v="3"/>
  </r>
  <r>
    <n v="180"/>
    <d v="2011-06-29T00:00:00"/>
    <n v="1"/>
    <n v="0"/>
    <n v="1"/>
    <n v="18"/>
    <x v="0"/>
    <n v="6"/>
    <n v="1"/>
    <n v="0.14000000000000001"/>
    <n v="0.1212"/>
    <n v="0.39"/>
    <n v="0.29849999999999999"/>
    <n v="3"/>
    <n v="52"/>
    <n v="55"/>
    <x v="4"/>
  </r>
  <r>
    <n v="181"/>
    <d v="2011-06-30T00:00:00"/>
    <n v="1"/>
    <n v="0"/>
    <n v="1"/>
    <n v="19"/>
    <x v="0"/>
    <n v="6"/>
    <n v="1"/>
    <n v="0.14000000000000001"/>
    <n v="0.1212"/>
    <n v="0.36"/>
    <n v="0.25369999999999998"/>
    <n v="4"/>
    <n v="26"/>
    <n v="30"/>
    <x v="5"/>
  </r>
  <r>
    <n v="182"/>
    <d v="2011-07-01T00:00:00"/>
    <n v="1"/>
    <n v="0"/>
    <n v="1"/>
    <n v="20"/>
    <x v="0"/>
    <n v="6"/>
    <n v="1"/>
    <n v="0.12"/>
    <n v="0.1212"/>
    <n v="0.36"/>
    <n v="0.25369999999999998"/>
    <n v="0"/>
    <n v="28"/>
    <n v="28"/>
    <x v="6"/>
  </r>
  <r>
    <n v="183"/>
    <d v="2011-07-02T00:00:00"/>
    <n v="1"/>
    <n v="0"/>
    <n v="1"/>
    <n v="21"/>
    <x v="0"/>
    <n v="6"/>
    <n v="1"/>
    <n v="0.12"/>
    <n v="0.1061"/>
    <n v="0.39"/>
    <n v="0.35820000000000002"/>
    <n v="2"/>
    <n v="35"/>
    <n v="37"/>
    <x v="0"/>
  </r>
  <r>
    <n v="184"/>
    <d v="2011-07-03T00:00:00"/>
    <n v="1"/>
    <n v="0"/>
    <n v="1"/>
    <n v="22"/>
    <x v="0"/>
    <n v="6"/>
    <n v="1"/>
    <n v="0.12"/>
    <n v="0.1061"/>
    <n v="0.36"/>
    <n v="0.3881"/>
    <n v="1"/>
    <n v="33"/>
    <n v="34"/>
    <x v="1"/>
  </r>
  <r>
    <n v="185"/>
    <d v="2011-07-04T00:00:00"/>
    <n v="1"/>
    <n v="0"/>
    <n v="1"/>
    <n v="23"/>
    <x v="0"/>
    <n v="6"/>
    <n v="1"/>
    <n v="0.1"/>
    <n v="6.0600000000000001E-2"/>
    <n v="0.39"/>
    <n v="0.44779999999999998"/>
    <n v="0"/>
    <n v="22"/>
    <n v="22"/>
    <x v="2"/>
  </r>
  <r>
    <n v="186"/>
    <d v="2011-07-05T00:00:00"/>
    <n v="1"/>
    <n v="0"/>
    <n v="1"/>
    <n v="0"/>
    <x v="0"/>
    <n v="0"/>
    <n v="1"/>
    <n v="0.1"/>
    <n v="7.5800000000000006E-2"/>
    <n v="0.42"/>
    <n v="0.3881"/>
    <n v="1"/>
    <n v="24"/>
    <n v="25"/>
    <x v="3"/>
  </r>
  <r>
    <n v="187"/>
    <d v="2011-07-06T00:00:00"/>
    <n v="1"/>
    <n v="0"/>
    <n v="1"/>
    <n v="1"/>
    <x v="0"/>
    <n v="0"/>
    <n v="1"/>
    <n v="0.1"/>
    <n v="6.0600000000000001E-2"/>
    <n v="0.42"/>
    <n v="0.4627"/>
    <n v="0"/>
    <n v="12"/>
    <n v="12"/>
    <x v="4"/>
  </r>
  <r>
    <n v="188"/>
    <d v="2011-07-07T00:00:00"/>
    <n v="1"/>
    <n v="0"/>
    <n v="1"/>
    <n v="2"/>
    <x v="0"/>
    <n v="0"/>
    <n v="1"/>
    <n v="0.1"/>
    <n v="6.0600000000000001E-2"/>
    <n v="0.46"/>
    <n v="0.4627"/>
    <n v="0"/>
    <n v="11"/>
    <n v="11"/>
    <x v="5"/>
  </r>
  <r>
    <n v="189"/>
    <d v="2011-07-08T00:00:00"/>
    <n v="1"/>
    <n v="0"/>
    <n v="1"/>
    <n v="3"/>
    <x v="0"/>
    <n v="0"/>
    <n v="1"/>
    <n v="0.1"/>
    <n v="7.5800000000000006E-2"/>
    <n v="0.46"/>
    <n v="0.41789999999999999"/>
    <n v="0"/>
    <n v="4"/>
    <n v="4"/>
    <x v="6"/>
  </r>
  <r>
    <n v="190"/>
    <d v="2011-07-09T00:00:00"/>
    <n v="1"/>
    <n v="0"/>
    <n v="1"/>
    <n v="4"/>
    <x v="0"/>
    <n v="0"/>
    <n v="1"/>
    <n v="0.08"/>
    <n v="9.0899999999999995E-2"/>
    <n v="0.53"/>
    <n v="0.19400000000000001"/>
    <n v="0"/>
    <n v="1"/>
    <n v="1"/>
    <x v="0"/>
  </r>
  <r>
    <n v="191"/>
    <d v="2011-07-10T00:00:00"/>
    <n v="1"/>
    <n v="0"/>
    <n v="1"/>
    <n v="5"/>
    <x v="0"/>
    <n v="0"/>
    <n v="1"/>
    <n v="0.08"/>
    <n v="9.0899999999999995E-2"/>
    <n v="0.53"/>
    <n v="0.19400000000000001"/>
    <n v="0"/>
    <n v="1"/>
    <n v="1"/>
    <x v="1"/>
  </r>
  <r>
    <n v="192"/>
    <d v="2011-07-11T00:00:00"/>
    <n v="1"/>
    <n v="0"/>
    <n v="1"/>
    <n v="6"/>
    <x v="0"/>
    <n v="0"/>
    <n v="1"/>
    <n v="0.1"/>
    <n v="9.0899999999999995E-2"/>
    <n v="0.49"/>
    <n v="0.28360000000000002"/>
    <n v="0"/>
    <n v="1"/>
    <n v="1"/>
    <x v="2"/>
  </r>
  <r>
    <n v="193"/>
    <d v="2011-07-12T00:00:00"/>
    <n v="1"/>
    <n v="0"/>
    <n v="1"/>
    <n v="7"/>
    <x v="0"/>
    <n v="0"/>
    <n v="1"/>
    <n v="0.08"/>
    <n v="9.0899999999999995E-2"/>
    <n v="0.53"/>
    <n v="0.19400000000000001"/>
    <n v="1"/>
    <n v="5"/>
    <n v="6"/>
    <x v="3"/>
  </r>
  <r>
    <n v="194"/>
    <d v="2011-07-13T00:00:00"/>
    <n v="1"/>
    <n v="0"/>
    <n v="1"/>
    <n v="8"/>
    <x v="0"/>
    <n v="0"/>
    <n v="1"/>
    <n v="0.1"/>
    <n v="9.0899999999999995E-2"/>
    <n v="0.49"/>
    <n v="0.28360000000000002"/>
    <n v="0"/>
    <n v="10"/>
    <n v="10"/>
    <x v="4"/>
  </r>
  <r>
    <n v="195"/>
    <d v="2011-07-14T00:00:00"/>
    <n v="1"/>
    <n v="0"/>
    <n v="1"/>
    <n v="9"/>
    <x v="0"/>
    <n v="0"/>
    <n v="1"/>
    <n v="0.12"/>
    <n v="7.5800000000000006E-2"/>
    <n v="0.46"/>
    <n v="0.52239999999999998"/>
    <n v="0"/>
    <n v="19"/>
    <n v="19"/>
    <x v="5"/>
  </r>
  <r>
    <n v="196"/>
    <d v="2011-07-15T00:00:00"/>
    <n v="1"/>
    <n v="0"/>
    <n v="1"/>
    <n v="10"/>
    <x v="0"/>
    <n v="0"/>
    <n v="1"/>
    <n v="0.14000000000000001"/>
    <n v="0.1061"/>
    <n v="0.43"/>
    <n v="0.3881"/>
    <n v="0"/>
    <n v="49"/>
    <n v="49"/>
    <x v="6"/>
  </r>
  <r>
    <n v="197"/>
    <d v="2011-07-16T00:00:00"/>
    <n v="1"/>
    <n v="0"/>
    <n v="1"/>
    <n v="11"/>
    <x v="0"/>
    <n v="0"/>
    <n v="1"/>
    <n v="0.16"/>
    <n v="0.1212"/>
    <n v="0.4"/>
    <n v="0.52239999999999998"/>
    <n v="2"/>
    <n v="47"/>
    <n v="49"/>
    <x v="0"/>
  </r>
  <r>
    <n v="198"/>
    <d v="2011-07-17T00:00:00"/>
    <n v="1"/>
    <n v="0"/>
    <n v="1"/>
    <n v="12"/>
    <x v="0"/>
    <n v="0"/>
    <n v="1"/>
    <n v="0.18"/>
    <n v="0.13639999999999999"/>
    <n v="0.37"/>
    <n v="0.44779999999999998"/>
    <n v="4"/>
    <n v="79"/>
    <n v="83"/>
    <x v="1"/>
  </r>
  <r>
    <n v="199"/>
    <d v="2011-07-18T00:00:00"/>
    <n v="1"/>
    <n v="0"/>
    <n v="1"/>
    <n v="13"/>
    <x v="0"/>
    <n v="0"/>
    <n v="1"/>
    <n v="0.2"/>
    <n v="0.16669999999999999"/>
    <n v="0.34"/>
    <n v="0.44779999999999998"/>
    <n v="6"/>
    <n v="69"/>
    <n v="75"/>
    <x v="2"/>
  </r>
  <r>
    <n v="200"/>
    <d v="2011-07-19T00:00:00"/>
    <n v="1"/>
    <n v="0"/>
    <n v="1"/>
    <n v="14"/>
    <x v="0"/>
    <n v="0"/>
    <n v="1"/>
    <n v="0.22"/>
    <n v="0.18179999999999999"/>
    <n v="0.32"/>
    <n v="0.4627"/>
    <n v="8"/>
    <n v="64"/>
    <n v="72"/>
    <x v="3"/>
  </r>
  <r>
    <n v="201"/>
    <d v="2011-07-20T00:00:00"/>
    <n v="1"/>
    <n v="0"/>
    <n v="1"/>
    <n v="15"/>
    <x v="0"/>
    <n v="0"/>
    <n v="1"/>
    <n v="0.22"/>
    <n v="0.19700000000000001"/>
    <n v="0.35"/>
    <n v="0.35820000000000002"/>
    <n v="5"/>
    <n v="77"/>
    <n v="82"/>
    <x v="4"/>
  </r>
  <r>
    <n v="202"/>
    <d v="2011-07-21T00:00:00"/>
    <n v="1"/>
    <n v="0"/>
    <n v="1"/>
    <n v="16"/>
    <x v="0"/>
    <n v="0"/>
    <n v="1"/>
    <n v="0.2"/>
    <n v="0.16669999999999999"/>
    <n v="0.34"/>
    <n v="0.44779999999999998"/>
    <n v="13"/>
    <n v="79"/>
    <n v="92"/>
    <x v="5"/>
  </r>
  <r>
    <n v="203"/>
    <d v="2011-07-22T00:00:00"/>
    <n v="1"/>
    <n v="0"/>
    <n v="1"/>
    <n v="17"/>
    <x v="0"/>
    <n v="0"/>
    <n v="1"/>
    <n v="0.18"/>
    <n v="0.1515"/>
    <n v="0.37"/>
    <n v="0.3881"/>
    <n v="3"/>
    <n v="59"/>
    <n v="62"/>
    <x v="6"/>
  </r>
  <r>
    <n v="204"/>
    <d v="2011-07-23T00:00:00"/>
    <n v="1"/>
    <n v="0"/>
    <n v="1"/>
    <n v="18"/>
    <x v="0"/>
    <n v="0"/>
    <n v="1"/>
    <n v="0.16"/>
    <n v="0.13639999999999999"/>
    <n v="0.4"/>
    <n v="0.32840000000000003"/>
    <n v="4"/>
    <n v="44"/>
    <n v="48"/>
    <x v="0"/>
  </r>
  <r>
    <n v="205"/>
    <d v="2011-07-24T00:00:00"/>
    <n v="1"/>
    <n v="0"/>
    <n v="1"/>
    <n v="19"/>
    <x v="0"/>
    <n v="0"/>
    <n v="1"/>
    <n v="0.16"/>
    <n v="0.13639999999999999"/>
    <n v="0.43"/>
    <n v="0.32840000000000003"/>
    <n v="1"/>
    <n v="40"/>
    <n v="41"/>
    <x v="1"/>
  </r>
  <r>
    <n v="206"/>
    <d v="2011-07-25T00:00:00"/>
    <n v="1"/>
    <n v="0"/>
    <n v="1"/>
    <n v="20"/>
    <x v="0"/>
    <n v="0"/>
    <n v="1"/>
    <n v="0.14000000000000001"/>
    <n v="0.1212"/>
    <n v="0.46"/>
    <n v="0.25369999999999998"/>
    <n v="0"/>
    <n v="38"/>
    <n v="38"/>
    <x v="2"/>
  </r>
  <r>
    <n v="207"/>
    <d v="2011-07-26T00:00:00"/>
    <n v="1"/>
    <n v="0"/>
    <n v="1"/>
    <n v="21"/>
    <x v="0"/>
    <n v="0"/>
    <n v="1"/>
    <n v="0.14000000000000001"/>
    <n v="0.1061"/>
    <n v="0.46"/>
    <n v="0.41789999999999999"/>
    <n v="1"/>
    <n v="19"/>
    <n v="20"/>
    <x v="3"/>
  </r>
  <r>
    <n v="208"/>
    <d v="2011-07-27T00:00:00"/>
    <n v="1"/>
    <n v="0"/>
    <n v="1"/>
    <n v="22"/>
    <x v="0"/>
    <n v="0"/>
    <n v="1"/>
    <n v="0.14000000000000001"/>
    <n v="0.1212"/>
    <n v="0.46"/>
    <n v="0.29849999999999999"/>
    <n v="5"/>
    <n v="10"/>
    <n v="15"/>
    <x v="4"/>
  </r>
  <r>
    <n v="209"/>
    <d v="2011-07-28T00:00:00"/>
    <n v="1"/>
    <n v="0"/>
    <n v="1"/>
    <n v="23"/>
    <x v="0"/>
    <n v="0"/>
    <n v="1"/>
    <n v="0.12"/>
    <n v="0.13639999999999999"/>
    <n v="0.5"/>
    <n v="0.19400000000000001"/>
    <n v="0"/>
    <n v="6"/>
    <n v="6"/>
    <x v="5"/>
  </r>
  <r>
    <n v="210"/>
    <d v="2011-07-29T00:00:00"/>
    <n v="1"/>
    <n v="0"/>
    <n v="1"/>
    <n v="0"/>
    <x v="0"/>
    <n v="1"/>
    <n v="1"/>
    <n v="0.12"/>
    <n v="0.1212"/>
    <n v="0.5"/>
    <n v="0.28360000000000002"/>
    <n v="2"/>
    <n v="3"/>
    <n v="5"/>
    <x v="6"/>
  </r>
  <r>
    <n v="211"/>
    <d v="2011-07-30T00:00:00"/>
    <n v="1"/>
    <n v="0"/>
    <n v="1"/>
    <n v="1"/>
    <x v="0"/>
    <n v="1"/>
    <n v="1"/>
    <n v="0.12"/>
    <n v="0.1212"/>
    <n v="0.5"/>
    <n v="0.28360000000000002"/>
    <n v="1"/>
    <n v="0"/>
    <n v="1"/>
    <x v="0"/>
  </r>
  <r>
    <n v="212"/>
    <d v="2011-07-31T00:00:00"/>
    <n v="1"/>
    <n v="0"/>
    <n v="1"/>
    <n v="2"/>
    <x v="0"/>
    <n v="1"/>
    <n v="1"/>
    <n v="0.12"/>
    <n v="0.1212"/>
    <n v="0.5"/>
    <n v="0.22389999999999999"/>
    <n v="0"/>
    <n v="3"/>
    <n v="3"/>
    <x v="1"/>
  </r>
  <r>
    <n v="213"/>
    <d v="2011-08-01T00:00:00"/>
    <n v="1"/>
    <n v="0"/>
    <n v="1"/>
    <n v="3"/>
    <x v="0"/>
    <n v="1"/>
    <n v="1"/>
    <n v="0.12"/>
    <n v="0.1212"/>
    <n v="0.5"/>
    <n v="0.22389999999999999"/>
    <n v="0"/>
    <n v="1"/>
    <n v="1"/>
    <x v="2"/>
  </r>
  <r>
    <n v="214"/>
    <d v="2011-08-02T00:00:00"/>
    <n v="1"/>
    <n v="0"/>
    <n v="1"/>
    <n v="4"/>
    <x v="0"/>
    <n v="1"/>
    <n v="1"/>
    <n v="0.1"/>
    <n v="0.1212"/>
    <n v="0.54"/>
    <n v="0.1343"/>
    <n v="1"/>
    <n v="2"/>
    <n v="3"/>
    <x v="3"/>
  </r>
  <r>
    <n v="215"/>
    <d v="2011-08-03T00:00:00"/>
    <n v="1"/>
    <n v="0"/>
    <n v="1"/>
    <n v="5"/>
    <x v="0"/>
    <n v="1"/>
    <n v="1"/>
    <n v="0.1"/>
    <n v="0.1061"/>
    <n v="0.54"/>
    <n v="0.25369999999999998"/>
    <n v="0"/>
    <n v="3"/>
    <n v="3"/>
    <x v="4"/>
  </r>
  <r>
    <n v="216"/>
    <d v="2011-08-04T00:00:00"/>
    <n v="1"/>
    <n v="0"/>
    <n v="1"/>
    <n v="6"/>
    <x v="0"/>
    <n v="1"/>
    <n v="1"/>
    <n v="0.12"/>
    <n v="0.1212"/>
    <n v="0.5"/>
    <n v="0.28360000000000002"/>
    <n v="0"/>
    <n v="31"/>
    <n v="31"/>
    <x v="5"/>
  </r>
  <r>
    <n v="217"/>
    <d v="2011-08-05T00:00:00"/>
    <n v="1"/>
    <n v="0"/>
    <n v="1"/>
    <n v="7"/>
    <x v="0"/>
    <n v="1"/>
    <n v="1"/>
    <n v="0.12"/>
    <n v="0.1212"/>
    <n v="0.5"/>
    <n v="0.22389999999999999"/>
    <n v="2"/>
    <n v="75"/>
    <n v="77"/>
    <x v="6"/>
  </r>
  <r>
    <n v="218"/>
    <d v="2011-08-06T00:00:00"/>
    <n v="1"/>
    <n v="0"/>
    <n v="1"/>
    <n v="8"/>
    <x v="0"/>
    <n v="1"/>
    <n v="2"/>
    <n v="0.12"/>
    <n v="0.1212"/>
    <n v="0.5"/>
    <n v="0.28360000000000002"/>
    <n v="4"/>
    <n v="184"/>
    <n v="188"/>
    <x v="0"/>
  </r>
  <r>
    <n v="219"/>
    <d v="2011-08-07T00:00:00"/>
    <n v="1"/>
    <n v="0"/>
    <n v="1"/>
    <n v="9"/>
    <x v="0"/>
    <n v="1"/>
    <n v="2"/>
    <n v="0.14000000000000001"/>
    <n v="0.1212"/>
    <n v="0.5"/>
    <n v="0.25369999999999998"/>
    <n v="2"/>
    <n v="92"/>
    <n v="94"/>
    <x v="1"/>
  </r>
  <r>
    <n v="220"/>
    <d v="2011-08-08T00:00:00"/>
    <n v="1"/>
    <n v="0"/>
    <n v="1"/>
    <n v="10"/>
    <x v="0"/>
    <n v="1"/>
    <n v="2"/>
    <n v="0.14000000000000001"/>
    <n v="0.1212"/>
    <n v="0.5"/>
    <n v="0.29849999999999999"/>
    <n v="0"/>
    <n v="31"/>
    <n v="31"/>
    <x v="2"/>
  </r>
  <r>
    <n v="221"/>
    <d v="2011-08-09T00:00:00"/>
    <n v="1"/>
    <n v="0"/>
    <n v="1"/>
    <n v="11"/>
    <x v="0"/>
    <n v="1"/>
    <n v="2"/>
    <n v="0.16"/>
    <n v="0.13639999999999999"/>
    <n v="0.47"/>
    <n v="0.28360000000000002"/>
    <n v="2"/>
    <n v="28"/>
    <n v="30"/>
    <x v="3"/>
  </r>
  <r>
    <n v="222"/>
    <d v="2011-08-10T00:00:00"/>
    <n v="1"/>
    <n v="0"/>
    <n v="1"/>
    <n v="12"/>
    <x v="0"/>
    <n v="1"/>
    <n v="2"/>
    <n v="0.2"/>
    <n v="0.18179999999999999"/>
    <n v="0.4"/>
    <n v="0.28360000000000002"/>
    <n v="5"/>
    <n v="47"/>
    <n v="52"/>
    <x v="4"/>
  </r>
  <r>
    <n v="223"/>
    <d v="2011-08-11T00:00:00"/>
    <n v="1"/>
    <n v="0"/>
    <n v="1"/>
    <n v="13"/>
    <x v="0"/>
    <n v="1"/>
    <n v="2"/>
    <n v="0.2"/>
    <n v="0.18179999999999999"/>
    <n v="0.4"/>
    <n v="0.28360000000000002"/>
    <n v="4"/>
    <n v="50"/>
    <n v="54"/>
    <x v="5"/>
  </r>
  <r>
    <n v="224"/>
    <d v="2011-08-12T00:00:00"/>
    <n v="1"/>
    <n v="0"/>
    <n v="1"/>
    <n v="14"/>
    <x v="0"/>
    <n v="1"/>
    <n v="2"/>
    <n v="0.2"/>
    <n v="0.19700000000000001"/>
    <n v="0.4"/>
    <n v="0.22389999999999999"/>
    <n v="0"/>
    <n v="47"/>
    <n v="47"/>
    <x v="6"/>
  </r>
  <r>
    <n v="225"/>
    <d v="2011-08-13T00:00:00"/>
    <n v="1"/>
    <n v="0"/>
    <n v="1"/>
    <n v="15"/>
    <x v="0"/>
    <n v="1"/>
    <n v="2"/>
    <n v="0.2"/>
    <n v="0.19700000000000001"/>
    <n v="0.4"/>
    <n v="0.22389999999999999"/>
    <n v="2"/>
    <n v="43"/>
    <n v="45"/>
    <x v="0"/>
  </r>
  <r>
    <n v="226"/>
    <d v="2011-08-14T00:00:00"/>
    <n v="1"/>
    <n v="0"/>
    <n v="1"/>
    <n v="16"/>
    <x v="0"/>
    <n v="1"/>
    <n v="1"/>
    <n v="0.2"/>
    <n v="0.21210000000000001"/>
    <n v="0.4"/>
    <n v="0.1343"/>
    <n v="4"/>
    <n v="70"/>
    <n v="74"/>
    <x v="1"/>
  </r>
  <r>
    <n v="227"/>
    <d v="2011-08-15T00:00:00"/>
    <n v="1"/>
    <n v="0"/>
    <n v="1"/>
    <n v="17"/>
    <x v="0"/>
    <n v="1"/>
    <n v="1"/>
    <n v="0.2"/>
    <n v="0.2273"/>
    <n v="0.4"/>
    <n v="0.1045"/>
    <n v="4"/>
    <n v="174"/>
    <n v="178"/>
    <x v="2"/>
  </r>
  <r>
    <n v="228"/>
    <d v="2011-08-16T00:00:00"/>
    <n v="1"/>
    <n v="0"/>
    <n v="1"/>
    <n v="18"/>
    <x v="0"/>
    <n v="1"/>
    <n v="1"/>
    <n v="0.2"/>
    <n v="0.19700000000000001"/>
    <n v="0.4"/>
    <n v="0.22389999999999999"/>
    <n v="1"/>
    <n v="154"/>
    <n v="155"/>
    <x v="3"/>
  </r>
  <r>
    <n v="229"/>
    <d v="2011-08-17T00:00:00"/>
    <n v="1"/>
    <n v="0"/>
    <n v="1"/>
    <n v="19"/>
    <x v="0"/>
    <n v="1"/>
    <n v="1"/>
    <n v="0.16"/>
    <n v="0.16669999999999999"/>
    <n v="0.47"/>
    <n v="0.16420000000000001"/>
    <n v="3"/>
    <n v="92"/>
    <n v="95"/>
    <x v="4"/>
  </r>
  <r>
    <n v="230"/>
    <d v="2011-08-18T00:00:00"/>
    <n v="1"/>
    <n v="0"/>
    <n v="1"/>
    <n v="20"/>
    <x v="0"/>
    <n v="1"/>
    <n v="1"/>
    <n v="0.16"/>
    <n v="0.16669999999999999"/>
    <n v="0.5"/>
    <n v="0.16420000000000001"/>
    <n v="1"/>
    <n v="73"/>
    <n v="74"/>
    <x v="5"/>
  </r>
  <r>
    <n v="231"/>
    <d v="2011-08-19T00:00:00"/>
    <n v="1"/>
    <n v="0"/>
    <n v="1"/>
    <n v="21"/>
    <x v="0"/>
    <n v="1"/>
    <n v="1"/>
    <n v="0.14000000000000001"/>
    <n v="0.13639999999999999"/>
    <n v="0.59"/>
    <n v="0.19400000000000001"/>
    <n v="1"/>
    <n v="37"/>
    <n v="38"/>
    <x v="6"/>
  </r>
  <r>
    <n v="232"/>
    <d v="2011-08-20T00:00:00"/>
    <n v="1"/>
    <n v="0"/>
    <n v="1"/>
    <n v="22"/>
    <x v="0"/>
    <n v="1"/>
    <n v="1"/>
    <n v="0.14000000000000001"/>
    <n v="0.1515"/>
    <n v="0.59"/>
    <n v="0.16420000000000001"/>
    <n v="2"/>
    <n v="22"/>
    <n v="24"/>
    <x v="0"/>
  </r>
  <r>
    <n v="233"/>
    <d v="2011-08-21T00:00:00"/>
    <n v="1"/>
    <n v="0"/>
    <n v="1"/>
    <n v="23"/>
    <x v="0"/>
    <n v="1"/>
    <n v="1"/>
    <n v="0.14000000000000001"/>
    <n v="0.1515"/>
    <n v="0.59"/>
    <n v="0.16420000000000001"/>
    <n v="0"/>
    <n v="18"/>
    <n v="18"/>
    <x v="1"/>
  </r>
  <r>
    <n v="234"/>
    <d v="2011-08-22T00:00:00"/>
    <n v="1"/>
    <n v="0"/>
    <n v="1"/>
    <n v="0"/>
    <x v="0"/>
    <n v="2"/>
    <n v="1"/>
    <n v="0.14000000000000001"/>
    <n v="0.16669999999999999"/>
    <n v="0.59"/>
    <n v="0.1045"/>
    <n v="2"/>
    <n v="10"/>
    <n v="12"/>
    <x v="2"/>
  </r>
  <r>
    <n v="235"/>
    <d v="2011-08-23T00:00:00"/>
    <n v="1"/>
    <n v="0"/>
    <n v="1"/>
    <n v="1"/>
    <x v="0"/>
    <n v="2"/>
    <n v="1"/>
    <n v="0.14000000000000001"/>
    <n v="0.1515"/>
    <n v="0.59"/>
    <n v="0.16420000000000001"/>
    <n v="0"/>
    <n v="3"/>
    <n v="3"/>
    <x v="3"/>
  </r>
  <r>
    <n v="236"/>
    <d v="2011-08-24T00:00:00"/>
    <n v="1"/>
    <n v="0"/>
    <n v="1"/>
    <n v="2"/>
    <x v="0"/>
    <n v="2"/>
    <n v="2"/>
    <n v="0.16"/>
    <n v="0.1515"/>
    <n v="0.55000000000000004"/>
    <n v="0.19400000000000001"/>
    <n v="0"/>
    <n v="3"/>
    <n v="3"/>
    <x v="4"/>
  </r>
  <r>
    <n v="237"/>
    <d v="2011-08-25T00:00:00"/>
    <n v="1"/>
    <n v="0"/>
    <n v="1"/>
    <n v="5"/>
    <x v="0"/>
    <n v="2"/>
    <n v="2"/>
    <n v="0.16"/>
    <n v="0.18179999999999999"/>
    <n v="0.55000000000000004"/>
    <n v="0.1343"/>
    <n v="0"/>
    <n v="6"/>
    <n v="6"/>
    <x v="5"/>
  </r>
  <r>
    <n v="238"/>
    <d v="2011-08-26T00:00:00"/>
    <n v="1"/>
    <n v="0"/>
    <n v="1"/>
    <n v="6"/>
    <x v="0"/>
    <n v="2"/>
    <n v="2"/>
    <n v="0.16"/>
    <n v="0.18179999999999999"/>
    <n v="0.55000000000000004"/>
    <n v="0.1343"/>
    <n v="0"/>
    <n v="27"/>
    <n v="27"/>
    <x v="6"/>
  </r>
  <r>
    <n v="239"/>
    <d v="2011-08-27T00:00:00"/>
    <n v="1"/>
    <n v="0"/>
    <n v="1"/>
    <n v="7"/>
    <x v="0"/>
    <n v="2"/>
    <n v="2"/>
    <n v="0.16"/>
    <n v="0.2273"/>
    <n v="0.55000000000000004"/>
    <n v="0"/>
    <n v="2"/>
    <n v="97"/>
    <n v="99"/>
    <x v="0"/>
  </r>
  <r>
    <n v="240"/>
    <d v="2011-08-28T00:00:00"/>
    <n v="1"/>
    <n v="0"/>
    <n v="1"/>
    <n v="8"/>
    <x v="0"/>
    <n v="2"/>
    <n v="2"/>
    <n v="0.18"/>
    <n v="0.21210000000000001"/>
    <n v="0.51"/>
    <n v="8.9599999999999999E-2"/>
    <n v="3"/>
    <n v="214"/>
    <n v="217"/>
    <x v="1"/>
  </r>
  <r>
    <n v="241"/>
    <d v="2011-08-29T00:00:00"/>
    <n v="1"/>
    <n v="0"/>
    <n v="1"/>
    <n v="9"/>
    <x v="0"/>
    <n v="2"/>
    <n v="2"/>
    <n v="0.18"/>
    <n v="0.19700000000000001"/>
    <n v="0.51"/>
    <n v="0.16420000000000001"/>
    <n v="3"/>
    <n v="127"/>
    <n v="130"/>
    <x v="2"/>
  </r>
  <r>
    <n v="242"/>
    <d v="2011-08-30T00:00:00"/>
    <n v="1"/>
    <n v="0"/>
    <n v="1"/>
    <n v="10"/>
    <x v="0"/>
    <n v="2"/>
    <n v="2"/>
    <n v="0.2"/>
    <n v="0.21210000000000001"/>
    <n v="0.51"/>
    <n v="0.16420000000000001"/>
    <n v="3"/>
    <n v="51"/>
    <n v="54"/>
    <x v="3"/>
  </r>
  <r>
    <n v="243"/>
    <d v="2011-08-31T00:00:00"/>
    <n v="1"/>
    <n v="0"/>
    <n v="1"/>
    <n v="11"/>
    <x v="0"/>
    <n v="2"/>
    <n v="2"/>
    <n v="0.2"/>
    <n v="0.21210000000000001"/>
    <n v="0.47"/>
    <n v="0.1343"/>
    <n v="4"/>
    <n v="31"/>
    <n v="35"/>
    <x v="4"/>
  </r>
  <r>
    <n v="244"/>
    <d v="2011-09-01T00:00:00"/>
    <n v="1"/>
    <n v="0"/>
    <n v="1"/>
    <n v="12"/>
    <x v="0"/>
    <n v="2"/>
    <n v="2"/>
    <n v="0.2"/>
    <n v="0.2273"/>
    <n v="0.51"/>
    <n v="0.1045"/>
    <n v="2"/>
    <n v="55"/>
    <n v="57"/>
    <x v="5"/>
  </r>
  <r>
    <n v="245"/>
    <d v="2011-09-02T00:00:00"/>
    <n v="1"/>
    <n v="0"/>
    <n v="1"/>
    <n v="13"/>
    <x v="0"/>
    <n v="2"/>
    <n v="2"/>
    <n v="0.2"/>
    <n v="0.2273"/>
    <n v="0.59"/>
    <n v="8.9599999999999999E-2"/>
    <n v="6"/>
    <n v="46"/>
    <n v="52"/>
    <x v="6"/>
  </r>
  <r>
    <n v="246"/>
    <d v="2011-09-03T00:00:00"/>
    <n v="1"/>
    <n v="0"/>
    <n v="1"/>
    <n v="14"/>
    <x v="0"/>
    <n v="2"/>
    <n v="2"/>
    <n v="0.2"/>
    <n v="0.2273"/>
    <n v="0.59"/>
    <n v="8.9599999999999999E-2"/>
    <n v="3"/>
    <n v="60"/>
    <n v="63"/>
    <x v="0"/>
  </r>
  <r>
    <n v="247"/>
    <d v="2011-09-04T00:00:00"/>
    <n v="1"/>
    <n v="0"/>
    <n v="1"/>
    <n v="15"/>
    <x v="0"/>
    <n v="2"/>
    <n v="2"/>
    <n v="0.16"/>
    <n v="0.19700000000000001"/>
    <n v="0.8"/>
    <n v="8.9599999999999999E-2"/>
    <n v="2"/>
    <n v="45"/>
    <n v="47"/>
    <x v="1"/>
  </r>
  <r>
    <n v="248"/>
    <d v="2011-09-05T00:00:00"/>
    <n v="1"/>
    <n v="0"/>
    <n v="1"/>
    <n v="16"/>
    <x v="0"/>
    <n v="2"/>
    <n v="2"/>
    <n v="0.16"/>
    <n v="0.1515"/>
    <n v="0.86"/>
    <n v="0.22389999999999999"/>
    <n v="4"/>
    <n v="72"/>
    <n v="76"/>
    <x v="2"/>
  </r>
  <r>
    <n v="249"/>
    <d v="2011-09-06T00:00:00"/>
    <n v="1"/>
    <n v="0"/>
    <n v="1"/>
    <n v="17"/>
    <x v="0"/>
    <n v="2"/>
    <n v="2"/>
    <n v="0.16"/>
    <n v="0.1515"/>
    <n v="0.86"/>
    <n v="0.22389999999999999"/>
    <n v="6"/>
    <n v="130"/>
    <n v="136"/>
    <x v="3"/>
  </r>
  <r>
    <n v="250"/>
    <d v="2011-09-07T00:00:00"/>
    <n v="1"/>
    <n v="0"/>
    <n v="1"/>
    <n v="18"/>
    <x v="0"/>
    <n v="2"/>
    <n v="3"/>
    <n v="0.16"/>
    <n v="0.18179999999999999"/>
    <n v="0.93"/>
    <n v="0.1045"/>
    <n v="1"/>
    <n v="94"/>
    <n v="95"/>
    <x v="4"/>
  </r>
  <r>
    <n v="251"/>
    <d v="2011-09-08T00:00:00"/>
    <n v="1"/>
    <n v="0"/>
    <n v="1"/>
    <n v="19"/>
    <x v="0"/>
    <n v="2"/>
    <n v="3"/>
    <n v="0.16"/>
    <n v="0.2273"/>
    <n v="0.93"/>
    <n v="0"/>
    <n v="0"/>
    <n v="51"/>
    <n v="51"/>
    <x v="5"/>
  </r>
  <r>
    <n v="252"/>
    <d v="2011-09-09T00:00:00"/>
    <n v="1"/>
    <n v="0"/>
    <n v="1"/>
    <n v="20"/>
    <x v="0"/>
    <n v="2"/>
    <n v="3"/>
    <n v="0.16"/>
    <n v="0.1515"/>
    <n v="0.93"/>
    <n v="0.19400000000000001"/>
    <n v="0"/>
    <n v="32"/>
    <n v="32"/>
    <x v="6"/>
  </r>
  <r>
    <n v="253"/>
    <d v="2011-09-10T00:00:00"/>
    <n v="1"/>
    <n v="0"/>
    <n v="1"/>
    <n v="21"/>
    <x v="0"/>
    <n v="2"/>
    <n v="3"/>
    <n v="0.16"/>
    <n v="0.19700000000000001"/>
    <n v="0.86"/>
    <n v="8.9599999999999999E-2"/>
    <n v="0"/>
    <n v="20"/>
    <n v="20"/>
    <x v="0"/>
  </r>
  <r>
    <n v="254"/>
    <d v="2011-09-11T00:00:00"/>
    <n v="1"/>
    <n v="0"/>
    <n v="1"/>
    <n v="22"/>
    <x v="0"/>
    <n v="2"/>
    <n v="3"/>
    <n v="0.16"/>
    <n v="0.18179999999999999"/>
    <n v="0.93"/>
    <n v="0.1045"/>
    <n v="1"/>
    <n v="28"/>
    <n v="29"/>
    <x v="1"/>
  </r>
  <r>
    <n v="255"/>
    <d v="2011-09-12T00:00:00"/>
    <n v="1"/>
    <n v="0"/>
    <n v="1"/>
    <n v="23"/>
    <x v="0"/>
    <n v="2"/>
    <n v="3"/>
    <n v="0.16"/>
    <n v="0.19700000000000001"/>
    <n v="0.93"/>
    <n v="8.9599999999999999E-2"/>
    <n v="1"/>
    <n v="18"/>
    <n v="19"/>
    <x v="2"/>
  </r>
  <r>
    <n v="256"/>
    <d v="2011-09-13T00:00:00"/>
    <n v="1"/>
    <n v="0"/>
    <n v="1"/>
    <n v="0"/>
    <x v="0"/>
    <n v="3"/>
    <n v="2"/>
    <n v="0.16"/>
    <n v="0.19700000000000001"/>
    <n v="0.86"/>
    <n v="8.9599999999999999E-2"/>
    <n v="0"/>
    <n v="7"/>
    <n v="7"/>
    <x v="3"/>
  </r>
  <r>
    <n v="257"/>
    <d v="2011-09-14T00:00:00"/>
    <n v="1"/>
    <n v="0"/>
    <n v="1"/>
    <n v="1"/>
    <x v="0"/>
    <n v="3"/>
    <n v="2"/>
    <n v="0.16"/>
    <n v="0.18179999999999999"/>
    <n v="0.86"/>
    <n v="0.1045"/>
    <n v="0"/>
    <n v="6"/>
    <n v="6"/>
    <x v="4"/>
  </r>
  <r>
    <n v="258"/>
    <d v="2011-09-15T00:00:00"/>
    <n v="1"/>
    <n v="0"/>
    <n v="1"/>
    <n v="2"/>
    <x v="0"/>
    <n v="3"/>
    <n v="1"/>
    <n v="0.14000000000000001"/>
    <n v="0.1515"/>
    <n v="0.86"/>
    <n v="0.1343"/>
    <n v="0"/>
    <n v="1"/>
    <n v="1"/>
    <x v="5"/>
  </r>
  <r>
    <n v="259"/>
    <d v="2011-09-16T00:00:00"/>
    <n v="1"/>
    <n v="0"/>
    <n v="1"/>
    <n v="5"/>
    <x v="0"/>
    <n v="3"/>
    <n v="1"/>
    <n v="0.14000000000000001"/>
    <n v="0.1515"/>
    <n v="0.86"/>
    <n v="0.16420000000000001"/>
    <n v="0"/>
    <n v="5"/>
    <n v="5"/>
    <x v="6"/>
  </r>
  <r>
    <n v="260"/>
    <d v="2011-09-17T00:00:00"/>
    <n v="1"/>
    <n v="0"/>
    <n v="1"/>
    <n v="6"/>
    <x v="0"/>
    <n v="3"/>
    <n v="1"/>
    <n v="0.12"/>
    <n v="0.1515"/>
    <n v="0.93"/>
    <n v="0.1343"/>
    <n v="0"/>
    <n v="16"/>
    <n v="16"/>
    <x v="0"/>
  </r>
  <r>
    <n v="261"/>
    <d v="2011-09-18T00:00:00"/>
    <n v="1"/>
    <n v="0"/>
    <n v="1"/>
    <n v="7"/>
    <x v="0"/>
    <n v="3"/>
    <n v="1"/>
    <n v="0.14000000000000001"/>
    <n v="0.1515"/>
    <n v="0.69"/>
    <n v="0.1343"/>
    <n v="0"/>
    <n v="54"/>
    <n v="54"/>
    <x v="1"/>
  </r>
  <r>
    <n v="262"/>
    <d v="2011-09-19T00:00:00"/>
    <n v="1"/>
    <n v="0"/>
    <n v="1"/>
    <n v="8"/>
    <x v="0"/>
    <n v="3"/>
    <n v="1"/>
    <n v="0.16"/>
    <n v="0.16669999999999999"/>
    <n v="0.59"/>
    <n v="0.16420000000000001"/>
    <n v="3"/>
    <n v="125"/>
    <n v="128"/>
    <x v="2"/>
  </r>
  <r>
    <n v="263"/>
    <d v="2011-09-20T00:00:00"/>
    <n v="1"/>
    <n v="0"/>
    <n v="1"/>
    <n v="9"/>
    <x v="0"/>
    <n v="3"/>
    <n v="1"/>
    <n v="0.16"/>
    <n v="0.13639999999999999"/>
    <n v="0.59"/>
    <n v="0.32840000000000003"/>
    <n v="3"/>
    <n v="78"/>
    <n v="81"/>
    <x v="3"/>
  </r>
  <r>
    <n v="264"/>
    <d v="2011-09-21T00:00:00"/>
    <n v="1"/>
    <n v="0"/>
    <n v="1"/>
    <n v="10"/>
    <x v="0"/>
    <n v="3"/>
    <n v="1"/>
    <n v="0.18"/>
    <n v="0.18179999999999999"/>
    <n v="0.55000000000000004"/>
    <n v="0.22389999999999999"/>
    <n v="0"/>
    <n v="39"/>
    <n v="39"/>
    <x v="4"/>
  </r>
  <r>
    <n v="265"/>
    <d v="2011-09-22T00:00:00"/>
    <n v="1"/>
    <n v="0"/>
    <n v="1"/>
    <n v="11"/>
    <x v="0"/>
    <n v="3"/>
    <n v="1"/>
    <n v="0.2"/>
    <n v="0.18179999999999999"/>
    <n v="0.51"/>
    <n v="0.3881"/>
    <n v="3"/>
    <n v="32"/>
    <n v="35"/>
    <x v="5"/>
  </r>
  <r>
    <n v="266"/>
    <d v="2011-09-23T00:00:00"/>
    <n v="1"/>
    <n v="0"/>
    <n v="1"/>
    <n v="12"/>
    <x v="0"/>
    <n v="3"/>
    <n v="1"/>
    <n v="0.2"/>
    <n v="0.1515"/>
    <n v="0.47"/>
    <n v="0.58209999999999995"/>
    <n v="3"/>
    <n v="52"/>
    <n v="55"/>
    <x v="6"/>
  </r>
  <r>
    <n v="267"/>
    <d v="2011-09-24T00:00:00"/>
    <n v="1"/>
    <n v="0"/>
    <n v="1"/>
    <n v="13"/>
    <x v="0"/>
    <n v="3"/>
    <n v="1"/>
    <n v="0.22"/>
    <n v="0.19700000000000001"/>
    <n v="0.44"/>
    <n v="0.35820000000000002"/>
    <n v="0"/>
    <n v="49"/>
    <n v="49"/>
    <x v="0"/>
  </r>
  <r>
    <n v="268"/>
    <d v="2011-09-25T00:00:00"/>
    <n v="1"/>
    <n v="0"/>
    <n v="1"/>
    <n v="14"/>
    <x v="0"/>
    <n v="3"/>
    <n v="1"/>
    <n v="0.2"/>
    <n v="0.18179999999999999"/>
    <n v="0.47"/>
    <n v="0.32840000000000003"/>
    <n v="0"/>
    <n v="44"/>
    <n v="44"/>
    <x v="1"/>
  </r>
  <r>
    <n v="269"/>
    <d v="2011-09-26T00:00:00"/>
    <n v="1"/>
    <n v="0"/>
    <n v="1"/>
    <n v="15"/>
    <x v="0"/>
    <n v="3"/>
    <n v="1"/>
    <n v="0.2"/>
    <n v="0.16669999999999999"/>
    <n v="0.47"/>
    <n v="0.41789999999999999"/>
    <n v="1"/>
    <n v="48"/>
    <n v="49"/>
    <x v="2"/>
  </r>
  <r>
    <n v="270"/>
    <d v="2011-09-27T00:00:00"/>
    <n v="1"/>
    <n v="0"/>
    <n v="1"/>
    <n v="16"/>
    <x v="0"/>
    <n v="3"/>
    <n v="1"/>
    <n v="0.22"/>
    <n v="0.19700000000000001"/>
    <n v="0.44"/>
    <n v="0.32840000000000003"/>
    <n v="5"/>
    <n v="63"/>
    <n v="68"/>
    <x v="3"/>
  </r>
  <r>
    <n v="271"/>
    <d v="2011-09-28T00:00:00"/>
    <n v="1"/>
    <n v="0"/>
    <n v="1"/>
    <n v="17"/>
    <x v="0"/>
    <n v="3"/>
    <n v="1"/>
    <n v="0.2"/>
    <n v="0.18179999999999999"/>
    <n v="0.47"/>
    <n v="0.35820000000000002"/>
    <n v="0"/>
    <n v="139"/>
    <n v="139"/>
    <x v="4"/>
  </r>
  <r>
    <n v="272"/>
    <d v="2011-09-29T00:00:00"/>
    <n v="1"/>
    <n v="0"/>
    <n v="1"/>
    <n v="18"/>
    <x v="0"/>
    <n v="3"/>
    <n v="1"/>
    <n v="0.2"/>
    <n v="0.1515"/>
    <n v="0.47"/>
    <n v="0.52239999999999998"/>
    <n v="2"/>
    <n v="135"/>
    <n v="137"/>
    <x v="5"/>
  </r>
  <r>
    <n v="273"/>
    <d v="2011-09-30T00:00:00"/>
    <n v="1"/>
    <n v="0"/>
    <n v="1"/>
    <n v="19"/>
    <x v="0"/>
    <n v="3"/>
    <n v="1"/>
    <n v="0.18"/>
    <n v="0.1515"/>
    <n v="0.47"/>
    <n v="0.41789999999999999"/>
    <n v="1"/>
    <n v="82"/>
    <n v="83"/>
    <x v="6"/>
  </r>
  <r>
    <n v="274"/>
    <d v="2011-10-01T00:00:00"/>
    <n v="1"/>
    <n v="0"/>
    <n v="1"/>
    <n v="20"/>
    <x v="0"/>
    <n v="3"/>
    <n v="1"/>
    <n v="0.16"/>
    <n v="0.13639999999999999"/>
    <n v="0.5"/>
    <n v="0.32840000000000003"/>
    <n v="2"/>
    <n v="54"/>
    <n v="56"/>
    <x v="0"/>
  </r>
  <r>
    <n v="275"/>
    <d v="2011-10-02T00:00:00"/>
    <n v="1"/>
    <n v="0"/>
    <n v="1"/>
    <n v="21"/>
    <x v="0"/>
    <n v="3"/>
    <n v="1"/>
    <n v="0.16"/>
    <n v="0.13639999999999999"/>
    <n v="0.55000000000000004"/>
    <n v="0.32840000000000003"/>
    <n v="0"/>
    <n v="57"/>
    <n v="57"/>
    <x v="1"/>
  </r>
  <r>
    <n v="276"/>
    <d v="2011-10-03T00:00:00"/>
    <n v="1"/>
    <n v="0"/>
    <n v="1"/>
    <n v="22"/>
    <x v="0"/>
    <n v="3"/>
    <n v="1"/>
    <n v="0.16"/>
    <n v="0.1212"/>
    <n v="0.55000000000000004"/>
    <n v="0.44779999999999998"/>
    <n v="1"/>
    <n v="32"/>
    <n v="33"/>
    <x v="2"/>
  </r>
  <r>
    <n v="277"/>
    <d v="2011-10-04T00:00:00"/>
    <n v="1"/>
    <n v="0"/>
    <n v="1"/>
    <n v="23"/>
    <x v="0"/>
    <n v="3"/>
    <n v="1"/>
    <n v="0.14000000000000001"/>
    <n v="0.1061"/>
    <n v="0.59"/>
    <n v="0.41789999999999999"/>
    <n v="1"/>
    <n v="19"/>
    <n v="20"/>
    <x v="3"/>
  </r>
  <r>
    <n v="278"/>
    <d v="2011-10-05T00:00:00"/>
    <n v="1"/>
    <n v="0"/>
    <n v="1"/>
    <n v="0"/>
    <x v="0"/>
    <n v="4"/>
    <n v="1"/>
    <n v="0.14000000000000001"/>
    <n v="0.1212"/>
    <n v="0.59"/>
    <n v="0.28360000000000002"/>
    <n v="1"/>
    <n v="6"/>
    <n v="7"/>
    <x v="4"/>
  </r>
  <r>
    <n v="279"/>
    <d v="2011-10-06T00:00:00"/>
    <n v="1"/>
    <n v="0"/>
    <n v="1"/>
    <n v="1"/>
    <x v="0"/>
    <n v="4"/>
    <n v="1"/>
    <n v="0.14000000000000001"/>
    <n v="0.1212"/>
    <n v="0.5"/>
    <n v="0.28360000000000002"/>
    <n v="0"/>
    <n v="2"/>
    <n v="2"/>
    <x v="5"/>
  </r>
  <r>
    <n v="280"/>
    <d v="2011-10-07T00:00:00"/>
    <n v="1"/>
    <n v="0"/>
    <n v="1"/>
    <n v="2"/>
    <x v="0"/>
    <n v="4"/>
    <n v="1"/>
    <n v="0.14000000000000001"/>
    <n v="0.1212"/>
    <n v="0.5"/>
    <n v="0.35820000000000002"/>
    <n v="0"/>
    <n v="2"/>
    <n v="2"/>
    <x v="6"/>
  </r>
  <r>
    <n v="281"/>
    <d v="2011-10-08T00:00:00"/>
    <n v="1"/>
    <n v="0"/>
    <n v="1"/>
    <n v="3"/>
    <x v="0"/>
    <n v="4"/>
    <n v="1"/>
    <n v="0.14000000000000001"/>
    <n v="0.1212"/>
    <n v="0.5"/>
    <n v="0.32840000000000003"/>
    <n v="0"/>
    <n v="3"/>
    <n v="3"/>
    <x v="0"/>
  </r>
  <r>
    <n v="282"/>
    <d v="2011-10-09T00:00:00"/>
    <n v="1"/>
    <n v="0"/>
    <n v="1"/>
    <n v="4"/>
    <x v="0"/>
    <n v="4"/>
    <n v="1"/>
    <n v="0.14000000000000001"/>
    <n v="0.1212"/>
    <n v="0.5"/>
    <n v="0.25369999999999998"/>
    <n v="0"/>
    <n v="4"/>
    <n v="4"/>
    <x v="1"/>
  </r>
  <r>
    <n v="283"/>
    <d v="2011-10-10T00:00:00"/>
    <n v="1"/>
    <n v="0"/>
    <n v="1"/>
    <n v="5"/>
    <x v="0"/>
    <n v="4"/>
    <n v="1"/>
    <n v="0.14000000000000001"/>
    <n v="0.1212"/>
    <n v="0.5"/>
    <n v="0.29849999999999999"/>
    <n v="0"/>
    <n v="3"/>
    <n v="3"/>
    <x v="2"/>
  </r>
  <r>
    <n v="284"/>
    <d v="2011-10-11T00:00:00"/>
    <n v="1"/>
    <n v="0"/>
    <n v="1"/>
    <n v="6"/>
    <x v="0"/>
    <n v="4"/>
    <n v="1"/>
    <n v="0.12"/>
    <n v="0.1515"/>
    <n v="0.54"/>
    <n v="0.1343"/>
    <n v="0"/>
    <n v="28"/>
    <n v="28"/>
    <x v="3"/>
  </r>
  <r>
    <n v="285"/>
    <d v="2011-10-12T00:00:00"/>
    <n v="1"/>
    <n v="0"/>
    <n v="1"/>
    <n v="7"/>
    <x v="0"/>
    <n v="4"/>
    <n v="1"/>
    <n v="0.12"/>
    <n v="0.1515"/>
    <n v="0.54"/>
    <n v="0.1343"/>
    <n v="0"/>
    <n v="72"/>
    <n v="72"/>
    <x v="4"/>
  </r>
  <r>
    <n v="286"/>
    <d v="2011-10-13T00:00:00"/>
    <n v="1"/>
    <n v="0"/>
    <n v="1"/>
    <n v="8"/>
    <x v="0"/>
    <n v="4"/>
    <n v="1"/>
    <n v="0.14000000000000001"/>
    <n v="0.13639999999999999"/>
    <n v="0.5"/>
    <n v="0.19400000000000001"/>
    <n v="5"/>
    <n v="197"/>
    <n v="202"/>
    <x v="5"/>
  </r>
  <r>
    <n v="287"/>
    <d v="2011-10-14T00:00:00"/>
    <n v="1"/>
    <n v="0"/>
    <n v="1"/>
    <n v="9"/>
    <x v="0"/>
    <n v="4"/>
    <n v="1"/>
    <n v="0.14000000000000001"/>
    <n v="0.1212"/>
    <n v="0.5"/>
    <n v="0.32840000000000003"/>
    <n v="2"/>
    <n v="137"/>
    <n v="139"/>
    <x v="6"/>
  </r>
  <r>
    <n v="288"/>
    <d v="2011-10-15T00:00:00"/>
    <n v="1"/>
    <n v="0"/>
    <n v="1"/>
    <n v="10"/>
    <x v="0"/>
    <n v="4"/>
    <n v="2"/>
    <n v="0.16"/>
    <n v="0.13639999999999999"/>
    <n v="0.5"/>
    <n v="0.35820000000000002"/>
    <n v="2"/>
    <n v="36"/>
    <n v="38"/>
    <x v="0"/>
  </r>
  <r>
    <n v="289"/>
    <d v="2011-10-16T00:00:00"/>
    <n v="1"/>
    <n v="0"/>
    <n v="1"/>
    <n v="11"/>
    <x v="0"/>
    <n v="4"/>
    <n v="2"/>
    <n v="0.2"/>
    <n v="0.16669999999999999"/>
    <n v="0.44"/>
    <n v="0.44779999999999998"/>
    <n v="4"/>
    <n v="33"/>
    <n v="37"/>
    <x v="1"/>
  </r>
  <r>
    <n v="290"/>
    <d v="2011-10-17T00:00:00"/>
    <n v="1"/>
    <n v="0"/>
    <n v="1"/>
    <n v="12"/>
    <x v="0"/>
    <n v="4"/>
    <n v="1"/>
    <n v="0.2"/>
    <n v="0.16669999999999999"/>
    <n v="0.44"/>
    <n v="0.41789999999999999"/>
    <n v="3"/>
    <n v="49"/>
    <n v="52"/>
    <x v="2"/>
  </r>
  <r>
    <n v="291"/>
    <d v="2011-10-18T00:00:00"/>
    <n v="1"/>
    <n v="0"/>
    <n v="1"/>
    <n v="13"/>
    <x v="0"/>
    <n v="4"/>
    <n v="1"/>
    <n v="0.22"/>
    <n v="0.19700000000000001"/>
    <n v="0.41"/>
    <n v="0.44779999999999998"/>
    <n v="2"/>
    <n v="81"/>
    <n v="83"/>
    <x v="3"/>
  </r>
  <r>
    <n v="292"/>
    <d v="2011-10-19T00:00:00"/>
    <n v="1"/>
    <n v="0"/>
    <n v="1"/>
    <n v="14"/>
    <x v="0"/>
    <n v="4"/>
    <n v="1"/>
    <n v="0.22"/>
    <n v="0.19700000000000001"/>
    <n v="0.41"/>
    <n v="0.3881"/>
    <n v="3"/>
    <n v="39"/>
    <n v="42"/>
    <x v="4"/>
  </r>
  <r>
    <n v="293"/>
    <d v="2011-10-20T00:00:00"/>
    <n v="1"/>
    <n v="0"/>
    <n v="1"/>
    <n v="15"/>
    <x v="0"/>
    <n v="4"/>
    <n v="1"/>
    <n v="0.24"/>
    <n v="0.21210000000000001"/>
    <n v="0.38"/>
    <n v="0.29849999999999999"/>
    <n v="5"/>
    <n v="55"/>
    <n v="60"/>
    <x v="5"/>
  </r>
  <r>
    <n v="294"/>
    <d v="2011-10-21T00:00:00"/>
    <n v="1"/>
    <n v="0"/>
    <n v="1"/>
    <n v="16"/>
    <x v="0"/>
    <n v="4"/>
    <n v="1"/>
    <n v="0.24"/>
    <n v="0.21210000000000001"/>
    <n v="0.38"/>
    <n v="0.35820000000000002"/>
    <n v="2"/>
    <n v="76"/>
    <n v="78"/>
    <x v="6"/>
  </r>
  <r>
    <n v="295"/>
    <d v="2011-10-22T00:00:00"/>
    <n v="1"/>
    <n v="0"/>
    <n v="1"/>
    <n v="17"/>
    <x v="0"/>
    <n v="4"/>
    <n v="1"/>
    <n v="0.2"/>
    <n v="0.18179999999999999"/>
    <n v="0.4"/>
    <n v="0.28360000000000002"/>
    <n v="4"/>
    <n v="158"/>
    <n v="162"/>
    <x v="0"/>
  </r>
  <r>
    <n v="296"/>
    <d v="2011-10-23T00:00:00"/>
    <n v="1"/>
    <n v="0"/>
    <n v="1"/>
    <n v="18"/>
    <x v="0"/>
    <n v="4"/>
    <n v="1"/>
    <n v="0.2"/>
    <n v="0.18179999999999999"/>
    <n v="0.4"/>
    <n v="0.32840000000000003"/>
    <n v="3"/>
    <n v="141"/>
    <n v="144"/>
    <x v="1"/>
  </r>
  <r>
    <n v="297"/>
    <d v="2011-10-24T00:00:00"/>
    <n v="1"/>
    <n v="0"/>
    <n v="1"/>
    <n v="19"/>
    <x v="0"/>
    <n v="4"/>
    <n v="1"/>
    <n v="0.16"/>
    <n v="0.1515"/>
    <n v="0.47"/>
    <n v="0.25369999999999998"/>
    <n v="1"/>
    <n v="98"/>
    <n v="99"/>
    <x v="2"/>
  </r>
  <r>
    <n v="298"/>
    <d v="2011-10-25T00:00:00"/>
    <n v="1"/>
    <n v="0"/>
    <n v="1"/>
    <n v="20"/>
    <x v="0"/>
    <n v="4"/>
    <n v="1"/>
    <n v="0.16"/>
    <n v="0.1515"/>
    <n v="0.47"/>
    <n v="0.22389999999999999"/>
    <n v="0"/>
    <n v="64"/>
    <n v="64"/>
    <x v="3"/>
  </r>
  <r>
    <n v="299"/>
    <d v="2011-10-26T00:00:00"/>
    <n v="1"/>
    <n v="0"/>
    <n v="1"/>
    <n v="21"/>
    <x v="0"/>
    <n v="4"/>
    <n v="1"/>
    <n v="0.14000000000000001"/>
    <n v="0.1212"/>
    <n v="0.46"/>
    <n v="0.29849999999999999"/>
    <n v="0"/>
    <n v="40"/>
    <n v="40"/>
    <x v="4"/>
  </r>
  <r>
    <n v="300"/>
    <d v="2011-10-27T00:00:00"/>
    <n v="1"/>
    <n v="0"/>
    <n v="1"/>
    <n v="22"/>
    <x v="0"/>
    <n v="4"/>
    <n v="1"/>
    <n v="0.14000000000000001"/>
    <n v="0.1212"/>
    <n v="0.46"/>
    <n v="0.32840000000000003"/>
    <n v="0"/>
    <n v="30"/>
    <n v="30"/>
    <x v="5"/>
  </r>
  <r>
    <n v="301"/>
    <d v="2011-10-28T00:00:00"/>
    <n v="1"/>
    <n v="0"/>
    <n v="1"/>
    <n v="23"/>
    <x v="0"/>
    <n v="4"/>
    <n v="1"/>
    <n v="0.12"/>
    <n v="0.13639999999999999"/>
    <n v="0.5"/>
    <n v="0.19400000000000001"/>
    <n v="1"/>
    <n v="14"/>
    <n v="15"/>
    <x v="6"/>
  </r>
  <r>
    <n v="302"/>
    <d v="2011-10-29T00:00:00"/>
    <n v="1"/>
    <n v="0"/>
    <n v="1"/>
    <n v="0"/>
    <x v="0"/>
    <n v="5"/>
    <n v="1"/>
    <n v="0.12"/>
    <n v="0.13639999999999999"/>
    <n v="0.5"/>
    <n v="0.19400000000000001"/>
    <n v="0"/>
    <n v="14"/>
    <n v="14"/>
    <x v="0"/>
  </r>
  <r>
    <n v="303"/>
    <d v="2011-10-30T00:00:00"/>
    <n v="1"/>
    <n v="0"/>
    <n v="1"/>
    <n v="1"/>
    <x v="0"/>
    <n v="5"/>
    <n v="1"/>
    <n v="0.1"/>
    <n v="0.1212"/>
    <n v="0.54"/>
    <n v="0.16420000000000001"/>
    <n v="0"/>
    <n v="5"/>
    <n v="5"/>
    <x v="1"/>
  </r>
  <r>
    <n v="304"/>
    <d v="2011-10-31T00:00:00"/>
    <n v="1"/>
    <n v="0"/>
    <n v="1"/>
    <n v="2"/>
    <x v="0"/>
    <n v="5"/>
    <n v="1"/>
    <n v="0.1"/>
    <n v="0.1212"/>
    <n v="0.54"/>
    <n v="0.1343"/>
    <n v="0"/>
    <n v="1"/>
    <n v="1"/>
    <x v="2"/>
  </r>
  <r>
    <n v="305"/>
    <d v="2011-11-01T00:00:00"/>
    <n v="1"/>
    <n v="0"/>
    <n v="1"/>
    <n v="3"/>
    <x v="0"/>
    <n v="5"/>
    <n v="1"/>
    <n v="0.1"/>
    <n v="0.13639999999999999"/>
    <n v="0.54"/>
    <n v="0.1045"/>
    <n v="0"/>
    <n v="1"/>
    <n v="1"/>
    <x v="3"/>
  </r>
  <r>
    <n v="306"/>
    <d v="2011-11-02T00:00:00"/>
    <n v="1"/>
    <n v="0"/>
    <n v="1"/>
    <n v="5"/>
    <x v="0"/>
    <n v="5"/>
    <n v="1"/>
    <n v="0.1"/>
    <n v="0.13639999999999999"/>
    <n v="0.54"/>
    <n v="8.9599999999999999E-2"/>
    <n v="0"/>
    <n v="8"/>
    <n v="8"/>
    <x v="4"/>
  </r>
  <r>
    <n v="307"/>
    <d v="2011-11-03T00:00:00"/>
    <n v="1"/>
    <n v="0"/>
    <n v="1"/>
    <n v="6"/>
    <x v="0"/>
    <n v="5"/>
    <n v="1"/>
    <n v="0.1"/>
    <n v="0.18179999999999999"/>
    <n v="0.54"/>
    <n v="0"/>
    <n v="0"/>
    <n v="17"/>
    <n v="17"/>
    <x v="5"/>
  </r>
  <r>
    <n v="308"/>
    <d v="2011-11-04T00:00:00"/>
    <n v="1"/>
    <n v="0"/>
    <n v="1"/>
    <n v="7"/>
    <x v="0"/>
    <n v="5"/>
    <n v="1"/>
    <n v="0.1"/>
    <n v="0.1212"/>
    <n v="0.74"/>
    <n v="0.16420000000000001"/>
    <n v="0"/>
    <n v="70"/>
    <n v="70"/>
    <x v="6"/>
  </r>
  <r>
    <n v="309"/>
    <d v="2011-11-05T00:00:00"/>
    <n v="1"/>
    <n v="0"/>
    <n v="1"/>
    <n v="8"/>
    <x v="0"/>
    <n v="5"/>
    <n v="1"/>
    <n v="0.12"/>
    <n v="0.16669999999999999"/>
    <n v="0.68"/>
    <n v="0"/>
    <n v="2"/>
    <n v="156"/>
    <n v="158"/>
    <x v="0"/>
  </r>
  <r>
    <n v="310"/>
    <d v="2011-11-06T00:00:00"/>
    <n v="1"/>
    <n v="0"/>
    <n v="1"/>
    <n v="9"/>
    <x v="0"/>
    <n v="5"/>
    <n v="1"/>
    <n v="0.14000000000000001"/>
    <n v="0.1515"/>
    <n v="0.69"/>
    <n v="0.1343"/>
    <n v="0"/>
    <n v="117"/>
    <n v="117"/>
    <x v="1"/>
  </r>
  <r>
    <n v="311"/>
    <d v="2011-11-07T00:00:00"/>
    <n v="1"/>
    <n v="0"/>
    <n v="1"/>
    <n v="10"/>
    <x v="0"/>
    <n v="5"/>
    <n v="1"/>
    <n v="0.18"/>
    <n v="0.18179999999999999"/>
    <n v="0.55000000000000004"/>
    <n v="0.19400000000000001"/>
    <n v="4"/>
    <n v="40"/>
    <n v="44"/>
    <x v="2"/>
  </r>
  <r>
    <n v="312"/>
    <d v="2011-11-08T00:00:00"/>
    <n v="1"/>
    <n v="0"/>
    <n v="1"/>
    <n v="11"/>
    <x v="0"/>
    <n v="5"/>
    <n v="1"/>
    <n v="0.18"/>
    <n v="0.16669999999999999"/>
    <n v="0.51"/>
    <n v="0.28360000000000002"/>
    <n v="6"/>
    <n v="47"/>
    <n v="53"/>
    <x v="3"/>
  </r>
  <r>
    <n v="313"/>
    <d v="2011-11-09T00:00:00"/>
    <n v="1"/>
    <n v="0"/>
    <n v="1"/>
    <n v="12"/>
    <x v="0"/>
    <n v="5"/>
    <n v="1"/>
    <n v="0.2"/>
    <n v="0.19700000000000001"/>
    <n v="0.44"/>
    <n v="0.25369999999999998"/>
    <n v="2"/>
    <n v="59"/>
    <n v="61"/>
    <x v="4"/>
  </r>
  <r>
    <n v="314"/>
    <d v="2011-11-10T00:00:00"/>
    <n v="1"/>
    <n v="0"/>
    <n v="1"/>
    <n v="13"/>
    <x v="0"/>
    <n v="5"/>
    <n v="1"/>
    <n v="0.22"/>
    <n v="0.19700000000000001"/>
    <n v="0.37"/>
    <n v="0.3881"/>
    <n v="4"/>
    <n v="73"/>
    <n v="77"/>
    <x v="5"/>
  </r>
  <r>
    <n v="315"/>
    <d v="2011-11-11T00:00:00"/>
    <n v="1"/>
    <n v="0"/>
    <n v="1"/>
    <n v="14"/>
    <x v="0"/>
    <n v="5"/>
    <n v="1"/>
    <n v="0.22"/>
    <n v="0.21210000000000001"/>
    <n v="0.41"/>
    <n v="0.28360000000000002"/>
    <n v="5"/>
    <n v="59"/>
    <n v="64"/>
    <x v="6"/>
  </r>
  <r>
    <n v="316"/>
    <d v="2011-11-12T00:00:00"/>
    <n v="1"/>
    <n v="0"/>
    <n v="1"/>
    <n v="15"/>
    <x v="0"/>
    <n v="5"/>
    <n v="1"/>
    <n v="0.24"/>
    <n v="0.2424"/>
    <n v="0.38"/>
    <n v="0.16420000000000001"/>
    <n v="9"/>
    <n v="59"/>
    <n v="68"/>
    <x v="0"/>
  </r>
  <r>
    <n v="317"/>
    <d v="2011-11-13T00:00:00"/>
    <n v="1"/>
    <n v="0"/>
    <n v="1"/>
    <n v="16"/>
    <x v="0"/>
    <n v="5"/>
    <n v="1"/>
    <n v="0.22"/>
    <n v="0.2424"/>
    <n v="0.41"/>
    <n v="0.1045"/>
    <n v="3"/>
    <n v="87"/>
    <n v="90"/>
    <x v="1"/>
  </r>
  <r>
    <n v="318"/>
    <d v="2011-11-14T00:00:00"/>
    <n v="1"/>
    <n v="0"/>
    <n v="1"/>
    <n v="17"/>
    <x v="0"/>
    <n v="5"/>
    <n v="1"/>
    <n v="0.22"/>
    <n v="0.2273"/>
    <n v="0.41"/>
    <n v="0.16420000000000001"/>
    <n v="4"/>
    <n v="155"/>
    <n v="159"/>
    <x v="2"/>
  </r>
  <r>
    <n v="319"/>
    <d v="2011-11-15T00:00:00"/>
    <n v="1"/>
    <n v="0"/>
    <n v="1"/>
    <n v="18"/>
    <x v="0"/>
    <n v="5"/>
    <n v="1"/>
    <n v="0.2"/>
    <n v="0.2576"/>
    <n v="0.47"/>
    <n v="0"/>
    <n v="5"/>
    <n v="134"/>
    <n v="139"/>
    <x v="3"/>
  </r>
  <r>
    <n v="320"/>
    <d v="2011-11-16T00:00:00"/>
    <n v="1"/>
    <n v="0"/>
    <n v="1"/>
    <n v="19"/>
    <x v="0"/>
    <n v="5"/>
    <n v="1"/>
    <n v="0.16"/>
    <n v="0.19700000000000001"/>
    <n v="0.59"/>
    <n v="8.9599999999999999E-2"/>
    <n v="3"/>
    <n v="89"/>
    <n v="92"/>
    <x v="4"/>
  </r>
  <r>
    <n v="321"/>
    <d v="2011-11-17T00:00:00"/>
    <n v="1"/>
    <n v="0"/>
    <n v="1"/>
    <n v="20"/>
    <x v="0"/>
    <n v="5"/>
    <n v="1"/>
    <n v="0.18"/>
    <n v="0.2424"/>
    <n v="0.59"/>
    <n v="0"/>
    <n v="0"/>
    <n v="68"/>
    <n v="68"/>
    <x v="5"/>
  </r>
  <r>
    <n v="322"/>
    <d v="2011-11-18T00:00:00"/>
    <n v="1"/>
    <n v="0"/>
    <n v="1"/>
    <n v="21"/>
    <x v="0"/>
    <n v="5"/>
    <n v="1"/>
    <n v="0.16"/>
    <n v="0.2273"/>
    <n v="0.69"/>
    <n v="0"/>
    <n v="4"/>
    <n v="48"/>
    <n v="52"/>
    <x v="6"/>
  </r>
  <r>
    <n v="323"/>
    <d v="2011-11-19T00:00:00"/>
    <n v="1"/>
    <n v="0"/>
    <n v="1"/>
    <n v="22"/>
    <x v="0"/>
    <n v="5"/>
    <n v="2"/>
    <n v="0.16"/>
    <n v="0.2273"/>
    <n v="0.69"/>
    <n v="0"/>
    <n v="2"/>
    <n v="34"/>
    <n v="36"/>
    <x v="0"/>
  </r>
  <r>
    <n v="324"/>
    <d v="2011-11-20T00:00:00"/>
    <n v="1"/>
    <n v="0"/>
    <n v="1"/>
    <n v="23"/>
    <x v="0"/>
    <n v="5"/>
    <n v="2"/>
    <n v="0.18"/>
    <n v="0.2424"/>
    <n v="0.55000000000000004"/>
    <n v="0"/>
    <n v="1"/>
    <n v="26"/>
    <n v="27"/>
    <x v="1"/>
  </r>
  <r>
    <n v="325"/>
    <d v="2011-11-21T00:00:00"/>
    <n v="1"/>
    <n v="0"/>
    <n v="1"/>
    <n v="0"/>
    <x v="0"/>
    <n v="6"/>
    <n v="1"/>
    <n v="0.18"/>
    <n v="0.2424"/>
    <n v="0.55000000000000004"/>
    <n v="0"/>
    <n v="3"/>
    <n v="25"/>
    <n v="28"/>
    <x v="2"/>
  </r>
  <r>
    <n v="326"/>
    <d v="2011-11-22T00:00:00"/>
    <n v="1"/>
    <n v="0"/>
    <n v="1"/>
    <n v="1"/>
    <x v="0"/>
    <n v="6"/>
    <n v="2"/>
    <n v="0.16"/>
    <n v="0.19700000000000001"/>
    <n v="0.59"/>
    <n v="8.9599999999999999E-2"/>
    <n v="2"/>
    <n v="18"/>
    <n v="20"/>
    <x v="3"/>
  </r>
  <r>
    <n v="327"/>
    <d v="2011-11-23T00:00:00"/>
    <n v="1"/>
    <n v="0"/>
    <n v="1"/>
    <n v="2"/>
    <x v="0"/>
    <n v="6"/>
    <n v="2"/>
    <n v="0.16"/>
    <n v="0.19700000000000001"/>
    <n v="0.59"/>
    <n v="8.9599999999999999E-2"/>
    <n v="0"/>
    <n v="12"/>
    <n v="12"/>
    <x v="4"/>
  </r>
  <r>
    <n v="328"/>
    <d v="2011-11-24T00:00:00"/>
    <n v="1"/>
    <n v="0"/>
    <n v="1"/>
    <n v="3"/>
    <x v="0"/>
    <n v="6"/>
    <n v="2"/>
    <n v="0.16"/>
    <n v="0.2273"/>
    <n v="0.59"/>
    <n v="0"/>
    <n v="1"/>
    <n v="7"/>
    <n v="8"/>
    <x v="5"/>
  </r>
  <r>
    <n v="329"/>
    <d v="2011-11-25T00:00:00"/>
    <n v="1"/>
    <n v="0"/>
    <n v="1"/>
    <n v="4"/>
    <x v="0"/>
    <n v="6"/>
    <n v="2"/>
    <n v="0.16"/>
    <n v="0.2273"/>
    <n v="0.59"/>
    <n v="0"/>
    <n v="0"/>
    <n v="5"/>
    <n v="5"/>
    <x v="6"/>
  </r>
  <r>
    <n v="330"/>
    <d v="2011-11-26T00:00:00"/>
    <n v="1"/>
    <n v="0"/>
    <n v="1"/>
    <n v="5"/>
    <x v="0"/>
    <n v="6"/>
    <n v="1"/>
    <n v="0.16"/>
    <n v="0.2273"/>
    <n v="0.59"/>
    <n v="0"/>
    <n v="0"/>
    <n v="1"/>
    <n v="1"/>
    <x v="0"/>
  </r>
  <r>
    <n v="331"/>
    <d v="2011-11-27T00:00:00"/>
    <n v="1"/>
    <n v="0"/>
    <n v="1"/>
    <n v="6"/>
    <x v="0"/>
    <n v="6"/>
    <n v="1"/>
    <n v="0.14000000000000001"/>
    <n v="0.16669999999999999"/>
    <n v="0.63"/>
    <n v="0.1045"/>
    <n v="1"/>
    <n v="2"/>
    <n v="3"/>
    <x v="1"/>
  </r>
  <r>
    <n v="332"/>
    <d v="2011-11-28T00:00:00"/>
    <n v="1"/>
    <n v="0"/>
    <n v="1"/>
    <n v="7"/>
    <x v="0"/>
    <n v="6"/>
    <n v="1"/>
    <n v="0.14000000000000001"/>
    <n v="0.21210000000000001"/>
    <n v="0.63"/>
    <n v="0"/>
    <n v="1"/>
    <n v="9"/>
    <n v="10"/>
    <x v="2"/>
  </r>
  <r>
    <n v="333"/>
    <d v="2011-11-29T00:00:00"/>
    <n v="1"/>
    <n v="0"/>
    <n v="1"/>
    <n v="8"/>
    <x v="0"/>
    <n v="6"/>
    <n v="1"/>
    <n v="0.14000000000000001"/>
    <n v="0.1515"/>
    <n v="0.63"/>
    <n v="0.1343"/>
    <n v="1"/>
    <n v="22"/>
    <n v="23"/>
    <x v="3"/>
  </r>
  <r>
    <n v="334"/>
    <d v="2011-11-30T00:00:00"/>
    <n v="1"/>
    <n v="0"/>
    <n v="1"/>
    <n v="9"/>
    <x v="0"/>
    <n v="6"/>
    <n v="1"/>
    <n v="0.16"/>
    <n v="0.18179999999999999"/>
    <n v="0.64"/>
    <n v="0.1343"/>
    <n v="2"/>
    <n v="31"/>
    <n v="33"/>
    <x v="4"/>
  </r>
  <r>
    <n v="335"/>
    <d v="2011-12-01T00:00:00"/>
    <n v="1"/>
    <n v="0"/>
    <n v="1"/>
    <n v="10"/>
    <x v="0"/>
    <n v="6"/>
    <n v="1"/>
    <n v="0.18"/>
    <n v="0.19700000000000001"/>
    <n v="0.59"/>
    <n v="0.16420000000000001"/>
    <n v="2"/>
    <n v="57"/>
    <n v="59"/>
    <x v="5"/>
  </r>
  <r>
    <n v="336"/>
    <d v="2011-12-02T00:00:00"/>
    <n v="1"/>
    <n v="0"/>
    <n v="1"/>
    <n v="11"/>
    <x v="0"/>
    <n v="6"/>
    <n v="1"/>
    <n v="0.2"/>
    <n v="0.19700000000000001"/>
    <n v="0.55000000000000004"/>
    <n v="0.22389999999999999"/>
    <n v="18"/>
    <n v="54"/>
    <n v="72"/>
    <x v="6"/>
  </r>
  <r>
    <n v="337"/>
    <d v="2011-12-03T00:00:00"/>
    <n v="1"/>
    <n v="0"/>
    <n v="1"/>
    <n v="12"/>
    <x v="0"/>
    <n v="6"/>
    <n v="1"/>
    <n v="0.24"/>
    <n v="0.2273"/>
    <n v="0.48"/>
    <n v="0.22389999999999999"/>
    <n v="15"/>
    <n v="74"/>
    <n v="89"/>
    <x v="0"/>
  </r>
  <r>
    <n v="338"/>
    <d v="2011-12-04T00:00:00"/>
    <n v="1"/>
    <n v="0"/>
    <n v="1"/>
    <n v="13"/>
    <x v="0"/>
    <n v="6"/>
    <n v="1"/>
    <n v="0.28000000000000003"/>
    <n v="0.2576"/>
    <n v="0.38"/>
    <n v="0.29849999999999999"/>
    <n v="21"/>
    <n v="80"/>
    <n v="101"/>
    <x v="1"/>
  </r>
  <r>
    <n v="339"/>
    <d v="2011-12-05T00:00:00"/>
    <n v="1"/>
    <n v="0"/>
    <n v="1"/>
    <n v="14"/>
    <x v="0"/>
    <n v="6"/>
    <n v="1"/>
    <n v="0.3"/>
    <n v="0.28789999999999999"/>
    <n v="0.39"/>
    <n v="0.28360000000000002"/>
    <n v="26"/>
    <n v="92"/>
    <n v="118"/>
    <x v="2"/>
  </r>
  <r>
    <n v="340"/>
    <d v="2011-12-06T00:00:00"/>
    <n v="1"/>
    <n v="0"/>
    <n v="1"/>
    <n v="15"/>
    <x v="0"/>
    <n v="6"/>
    <n v="2"/>
    <n v="0.32"/>
    <n v="0.31819999999999998"/>
    <n v="0.36"/>
    <n v="0.19400000000000001"/>
    <n v="21"/>
    <n v="108"/>
    <n v="129"/>
    <x v="3"/>
  </r>
  <r>
    <n v="341"/>
    <d v="2011-12-07T00:00:00"/>
    <n v="1"/>
    <n v="0"/>
    <n v="1"/>
    <n v="16"/>
    <x v="0"/>
    <n v="6"/>
    <n v="2"/>
    <n v="0.34"/>
    <n v="0.33329999999999999"/>
    <n v="0.34"/>
    <n v="0.19400000000000001"/>
    <n v="33"/>
    <n v="95"/>
    <n v="128"/>
    <x v="4"/>
  </r>
  <r>
    <n v="342"/>
    <d v="2011-12-08T00:00:00"/>
    <n v="1"/>
    <n v="0"/>
    <n v="1"/>
    <n v="17"/>
    <x v="0"/>
    <n v="6"/>
    <n v="2"/>
    <n v="0.32"/>
    <n v="0.30299999999999999"/>
    <n v="0.36"/>
    <n v="0.28360000000000002"/>
    <n v="29"/>
    <n v="54"/>
    <n v="83"/>
    <x v="5"/>
  </r>
  <r>
    <n v="343"/>
    <d v="2011-12-09T00:00:00"/>
    <n v="1"/>
    <n v="0"/>
    <n v="1"/>
    <n v="18"/>
    <x v="0"/>
    <n v="6"/>
    <n v="2"/>
    <n v="0.3"/>
    <n v="0.28789999999999999"/>
    <n v="0.45"/>
    <n v="0.25369999999999998"/>
    <n v="15"/>
    <n v="69"/>
    <n v="84"/>
    <x v="6"/>
  </r>
  <r>
    <n v="344"/>
    <d v="2011-12-10T00:00:00"/>
    <n v="1"/>
    <n v="0"/>
    <n v="1"/>
    <n v="19"/>
    <x v="0"/>
    <n v="6"/>
    <n v="2"/>
    <n v="0.32"/>
    <n v="0.30299999999999999"/>
    <n v="0.39"/>
    <n v="0.25369999999999998"/>
    <n v="14"/>
    <n v="60"/>
    <n v="74"/>
    <x v="0"/>
  </r>
  <r>
    <n v="345"/>
    <d v="2011-12-11T00:00:00"/>
    <n v="1"/>
    <n v="0"/>
    <n v="1"/>
    <n v="20"/>
    <x v="0"/>
    <n v="6"/>
    <n v="2"/>
    <n v="0.32"/>
    <n v="0.30299999999999999"/>
    <n v="0.39"/>
    <n v="0.25369999999999998"/>
    <n v="6"/>
    <n v="35"/>
    <n v="41"/>
    <x v="1"/>
  </r>
  <r>
    <n v="346"/>
    <d v="2011-12-12T00:00:00"/>
    <n v="1"/>
    <n v="0"/>
    <n v="1"/>
    <n v="21"/>
    <x v="0"/>
    <n v="6"/>
    <n v="2"/>
    <n v="0.32"/>
    <n v="0.30299999999999999"/>
    <n v="0.39"/>
    <n v="0.22389999999999999"/>
    <n v="6"/>
    <n v="51"/>
    <n v="57"/>
    <x v="2"/>
  </r>
  <r>
    <n v="347"/>
    <d v="2011-12-13T00:00:00"/>
    <n v="1"/>
    <n v="0"/>
    <n v="1"/>
    <n v="22"/>
    <x v="0"/>
    <n v="6"/>
    <n v="2"/>
    <n v="0.3"/>
    <n v="0.31819999999999998"/>
    <n v="0.42"/>
    <n v="0.1045"/>
    <n v="0"/>
    <n v="26"/>
    <n v="26"/>
    <x v="3"/>
  </r>
  <r>
    <n v="348"/>
    <d v="2011-12-14T00:00:00"/>
    <n v="1"/>
    <n v="0"/>
    <n v="1"/>
    <n v="23"/>
    <x v="0"/>
    <n v="6"/>
    <n v="1"/>
    <n v="0.3"/>
    <n v="0.28789999999999999"/>
    <n v="0.45"/>
    <n v="0.28360000000000002"/>
    <n v="5"/>
    <n v="39"/>
    <n v="44"/>
    <x v="4"/>
  </r>
  <r>
    <n v="349"/>
    <d v="2011-12-15T00:00:00"/>
    <n v="1"/>
    <n v="0"/>
    <n v="1"/>
    <n v="0"/>
    <x v="0"/>
    <n v="0"/>
    <n v="1"/>
    <n v="0.26"/>
    <n v="0.30299999999999999"/>
    <n v="0.56000000000000005"/>
    <n v="0"/>
    <n v="6"/>
    <n v="33"/>
    <n v="39"/>
    <x v="5"/>
  </r>
  <r>
    <n v="350"/>
    <d v="2011-12-16T00:00:00"/>
    <n v="1"/>
    <n v="0"/>
    <n v="1"/>
    <n v="1"/>
    <x v="0"/>
    <n v="0"/>
    <n v="1"/>
    <n v="0.26"/>
    <n v="0.2727"/>
    <n v="0.56000000000000005"/>
    <n v="0.1343"/>
    <n v="4"/>
    <n v="19"/>
    <n v="23"/>
    <x v="6"/>
  </r>
  <r>
    <n v="351"/>
    <d v="2011-12-17T00:00:00"/>
    <n v="1"/>
    <n v="0"/>
    <n v="1"/>
    <n v="2"/>
    <x v="0"/>
    <n v="0"/>
    <n v="1"/>
    <n v="0.26"/>
    <n v="0.28789999999999999"/>
    <n v="0.56000000000000005"/>
    <n v="8.9599999999999999E-2"/>
    <n v="3"/>
    <n v="13"/>
    <n v="16"/>
    <x v="0"/>
  </r>
  <r>
    <n v="352"/>
    <d v="2011-12-18T00:00:00"/>
    <n v="1"/>
    <n v="0"/>
    <n v="1"/>
    <n v="3"/>
    <x v="0"/>
    <n v="0"/>
    <n v="1"/>
    <n v="0.22"/>
    <n v="0.2727"/>
    <n v="0.69"/>
    <n v="0"/>
    <n v="9"/>
    <n v="6"/>
    <n v="15"/>
    <x v="1"/>
  </r>
  <r>
    <n v="353"/>
    <d v="2011-12-19T00:00:00"/>
    <n v="1"/>
    <n v="0"/>
    <n v="1"/>
    <n v="4"/>
    <x v="0"/>
    <n v="0"/>
    <n v="1"/>
    <n v="0.26"/>
    <n v="0.2576"/>
    <n v="0.56000000000000005"/>
    <n v="0.16420000000000001"/>
    <n v="0"/>
    <n v="1"/>
    <n v="1"/>
    <x v="2"/>
  </r>
  <r>
    <n v="354"/>
    <d v="2011-12-20T00:00:00"/>
    <n v="1"/>
    <n v="0"/>
    <n v="1"/>
    <n v="5"/>
    <x v="0"/>
    <n v="0"/>
    <n v="2"/>
    <n v="0.26"/>
    <n v="0.2576"/>
    <n v="0.56000000000000005"/>
    <n v="0.16420000000000001"/>
    <n v="1"/>
    <n v="1"/>
    <n v="2"/>
    <x v="3"/>
  </r>
  <r>
    <n v="355"/>
    <d v="2011-12-21T00:00:00"/>
    <n v="1"/>
    <n v="0"/>
    <n v="1"/>
    <n v="6"/>
    <x v="0"/>
    <n v="0"/>
    <n v="2"/>
    <n v="0.26"/>
    <n v="0.2576"/>
    <n v="0.56000000000000005"/>
    <n v="0.16420000000000001"/>
    <n v="0"/>
    <n v="1"/>
    <n v="1"/>
    <x v="4"/>
  </r>
  <r>
    <n v="356"/>
    <d v="2011-12-22T00:00:00"/>
    <n v="1"/>
    <n v="0"/>
    <n v="1"/>
    <n v="7"/>
    <x v="0"/>
    <n v="0"/>
    <n v="2"/>
    <n v="0.24"/>
    <n v="0.21210000000000001"/>
    <n v="0.56000000000000005"/>
    <n v="0.29849999999999999"/>
    <n v="0"/>
    <n v="3"/>
    <n v="3"/>
    <x v="5"/>
  </r>
  <r>
    <n v="357"/>
    <d v="2011-12-23T00:00:00"/>
    <n v="1"/>
    <n v="0"/>
    <n v="1"/>
    <n v="8"/>
    <x v="0"/>
    <n v="0"/>
    <n v="1"/>
    <n v="0.22"/>
    <n v="0.21210000000000001"/>
    <n v="0.55000000000000004"/>
    <n v="0.28360000000000002"/>
    <n v="0"/>
    <n v="18"/>
    <n v="18"/>
    <x v="6"/>
  </r>
  <r>
    <n v="358"/>
    <d v="2011-12-24T00:00:00"/>
    <n v="1"/>
    <n v="0"/>
    <n v="1"/>
    <n v="9"/>
    <x v="0"/>
    <n v="0"/>
    <n v="1"/>
    <n v="0.22"/>
    <n v="0.21210000000000001"/>
    <n v="0.51"/>
    <n v="0.25369999999999998"/>
    <n v="3"/>
    <n v="29"/>
    <n v="32"/>
    <x v="0"/>
  </r>
  <r>
    <n v="359"/>
    <d v="2011-12-25T00:00:00"/>
    <n v="1"/>
    <n v="0"/>
    <n v="1"/>
    <n v="10"/>
    <x v="0"/>
    <n v="0"/>
    <n v="1"/>
    <n v="0.22"/>
    <n v="0.21210000000000001"/>
    <n v="0.51"/>
    <n v="0.28360000000000002"/>
    <n v="8"/>
    <n v="71"/>
    <n v="79"/>
    <x v="1"/>
  </r>
  <r>
    <n v="360"/>
    <d v="2011-12-26T00:00:00"/>
    <n v="1"/>
    <n v="0"/>
    <n v="1"/>
    <n v="11"/>
    <x v="0"/>
    <n v="0"/>
    <n v="1"/>
    <n v="0.24"/>
    <n v="0.2273"/>
    <n v="0.44"/>
    <n v="0.25369999999999998"/>
    <n v="23"/>
    <n v="70"/>
    <n v="93"/>
    <x v="2"/>
  </r>
  <r>
    <n v="361"/>
    <d v="2011-12-27T00:00:00"/>
    <n v="1"/>
    <n v="0"/>
    <n v="1"/>
    <n v="12"/>
    <x v="0"/>
    <n v="0"/>
    <n v="1"/>
    <n v="0.24"/>
    <n v="0.21210000000000001"/>
    <n v="0.41"/>
    <n v="0.28360000000000002"/>
    <n v="29"/>
    <n v="75"/>
    <n v="104"/>
    <x v="3"/>
  </r>
  <r>
    <n v="362"/>
    <d v="2011-12-28T00:00:00"/>
    <n v="1"/>
    <n v="0"/>
    <n v="1"/>
    <n v="13"/>
    <x v="0"/>
    <n v="0"/>
    <n v="1"/>
    <n v="0.26"/>
    <n v="0.2273"/>
    <n v="0.35"/>
    <n v="0.29849999999999999"/>
    <n v="23"/>
    <n v="95"/>
    <n v="118"/>
    <x v="4"/>
  </r>
  <r>
    <n v="363"/>
    <d v="2011-12-29T00:00:00"/>
    <n v="1"/>
    <n v="0"/>
    <n v="1"/>
    <n v="14"/>
    <x v="0"/>
    <n v="0"/>
    <n v="1"/>
    <n v="0.28000000000000003"/>
    <n v="0.2727"/>
    <n v="0.36"/>
    <n v="0.25369999999999998"/>
    <n v="22"/>
    <n v="69"/>
    <n v="91"/>
    <x v="5"/>
  </r>
  <r>
    <n v="364"/>
    <d v="2011-12-30T00:00:00"/>
    <n v="1"/>
    <n v="0"/>
    <n v="1"/>
    <n v="15"/>
    <x v="0"/>
    <n v="0"/>
    <n v="1"/>
    <n v="0.26"/>
    <n v="0.2424"/>
    <n v="0.38"/>
    <n v="0.25369999999999998"/>
    <n v="35"/>
    <n v="78"/>
    <n v="113"/>
    <x v="6"/>
  </r>
  <r>
    <n v="365"/>
    <d v="2011-12-31T00:00:00"/>
    <n v="1"/>
    <n v="0"/>
    <n v="1"/>
    <n v="16"/>
    <x v="0"/>
    <n v="0"/>
    <n v="1"/>
    <n v="0.24"/>
    <n v="0.2273"/>
    <n v="0.38"/>
    <n v="0.22389999999999999"/>
    <n v="22"/>
    <n v="77"/>
    <n v="99"/>
    <x v="0"/>
  </r>
  <r>
    <n v="366"/>
    <d v="2012-01-01T00:00:00"/>
    <n v="1"/>
    <n v="0"/>
    <n v="1"/>
    <n v="17"/>
    <x v="0"/>
    <n v="0"/>
    <n v="1"/>
    <n v="0.22"/>
    <n v="0.21210000000000001"/>
    <n v="0.37"/>
    <n v="0.25369999999999998"/>
    <n v="23"/>
    <n v="82"/>
    <n v="105"/>
    <x v="1"/>
  </r>
  <r>
    <n v="367"/>
    <d v="2012-01-02T00:00:00"/>
    <n v="1"/>
    <n v="0"/>
    <n v="1"/>
    <n v="18"/>
    <x v="0"/>
    <n v="0"/>
    <n v="1"/>
    <n v="0.2"/>
    <n v="0.21210000000000001"/>
    <n v="0.4"/>
    <n v="0.16420000000000001"/>
    <n v="11"/>
    <n v="56"/>
    <n v="67"/>
    <x v="2"/>
  </r>
  <r>
    <n v="368"/>
    <d v="2012-01-03T00:00:00"/>
    <n v="1"/>
    <n v="0"/>
    <n v="1"/>
    <n v="19"/>
    <x v="0"/>
    <n v="0"/>
    <n v="1"/>
    <n v="0.18"/>
    <n v="0.19700000000000001"/>
    <n v="0.47"/>
    <n v="0.1343"/>
    <n v="14"/>
    <n v="47"/>
    <n v="61"/>
    <x v="3"/>
  </r>
  <r>
    <n v="369"/>
    <d v="2012-01-04T00:00:00"/>
    <n v="1"/>
    <n v="0"/>
    <n v="1"/>
    <n v="20"/>
    <x v="0"/>
    <n v="0"/>
    <n v="1"/>
    <n v="0.18"/>
    <n v="0.19700000000000001"/>
    <n v="0.47"/>
    <n v="0.16420000000000001"/>
    <n v="7"/>
    <n v="50"/>
    <n v="57"/>
    <x v="4"/>
  </r>
  <r>
    <n v="370"/>
    <d v="2012-01-05T00:00:00"/>
    <n v="1"/>
    <n v="0"/>
    <n v="1"/>
    <n v="21"/>
    <x v="0"/>
    <n v="0"/>
    <n v="1"/>
    <n v="0.18"/>
    <n v="0.19700000000000001"/>
    <n v="0.51"/>
    <n v="0.16420000000000001"/>
    <n v="6"/>
    <n v="22"/>
    <n v="28"/>
    <x v="5"/>
  </r>
  <r>
    <n v="371"/>
    <d v="2012-01-06T00:00:00"/>
    <n v="1"/>
    <n v="0"/>
    <n v="1"/>
    <n v="22"/>
    <x v="0"/>
    <n v="0"/>
    <n v="2"/>
    <n v="0.2"/>
    <n v="0.21210000000000001"/>
    <n v="0.49"/>
    <n v="0.1343"/>
    <n v="2"/>
    <n v="19"/>
    <n v="21"/>
    <x v="6"/>
  </r>
  <r>
    <n v="372"/>
    <d v="2012-01-07T00:00:00"/>
    <n v="1"/>
    <n v="0"/>
    <n v="1"/>
    <n v="23"/>
    <x v="0"/>
    <n v="0"/>
    <n v="2"/>
    <n v="0.2"/>
    <n v="0.2273"/>
    <n v="0.4"/>
    <n v="0.1045"/>
    <n v="0"/>
    <n v="18"/>
    <n v="18"/>
    <x v="0"/>
  </r>
  <r>
    <n v="373"/>
    <d v="2012-01-08T00:00:00"/>
    <n v="1"/>
    <n v="0"/>
    <n v="1"/>
    <n v="0"/>
    <x v="1"/>
    <n v="1"/>
    <n v="2"/>
    <n v="0.2"/>
    <n v="0.19700000000000001"/>
    <n v="0.47"/>
    <n v="0.22389999999999999"/>
    <n v="1"/>
    <n v="16"/>
    <n v="17"/>
    <x v="1"/>
  </r>
  <r>
    <n v="374"/>
    <d v="2012-01-09T00:00:00"/>
    <n v="1"/>
    <n v="0"/>
    <n v="1"/>
    <n v="1"/>
    <x v="1"/>
    <n v="1"/>
    <n v="2"/>
    <n v="0.2"/>
    <n v="0.19700000000000001"/>
    <n v="0.44"/>
    <n v="0.19400000000000001"/>
    <n v="1"/>
    <n v="15"/>
    <n v="16"/>
    <x v="2"/>
  </r>
  <r>
    <n v="375"/>
    <d v="2012-01-10T00:00:00"/>
    <n v="1"/>
    <n v="0"/>
    <n v="1"/>
    <n v="2"/>
    <x v="1"/>
    <n v="1"/>
    <n v="2"/>
    <n v="0.18"/>
    <n v="0.16669999999999999"/>
    <n v="0.43"/>
    <n v="0.25369999999999998"/>
    <n v="0"/>
    <n v="8"/>
    <n v="8"/>
    <x v="3"/>
  </r>
  <r>
    <n v="376"/>
    <d v="2012-01-11T00:00:00"/>
    <n v="1"/>
    <n v="0"/>
    <n v="1"/>
    <n v="3"/>
    <x v="1"/>
    <n v="1"/>
    <n v="2"/>
    <n v="0.18"/>
    <n v="0.18179999999999999"/>
    <n v="0.43"/>
    <n v="0.19400000000000001"/>
    <n v="0"/>
    <n v="2"/>
    <n v="2"/>
    <x v="4"/>
  </r>
  <r>
    <n v="377"/>
    <d v="2012-01-12T00:00:00"/>
    <n v="1"/>
    <n v="0"/>
    <n v="1"/>
    <n v="4"/>
    <x v="1"/>
    <n v="1"/>
    <n v="2"/>
    <n v="0.18"/>
    <n v="0.19700000000000001"/>
    <n v="0.43"/>
    <n v="0.1343"/>
    <n v="1"/>
    <n v="2"/>
    <n v="3"/>
    <x v="5"/>
  </r>
  <r>
    <n v="378"/>
    <d v="2012-01-13T00:00:00"/>
    <n v="1"/>
    <n v="0"/>
    <n v="1"/>
    <n v="5"/>
    <x v="1"/>
    <n v="1"/>
    <n v="2"/>
    <n v="0.18"/>
    <n v="0.19700000000000001"/>
    <n v="0.43"/>
    <n v="0.16420000000000001"/>
    <n v="0"/>
    <n v="1"/>
    <n v="1"/>
    <x v="6"/>
  </r>
  <r>
    <n v="379"/>
    <d v="2012-01-14T00:00:00"/>
    <n v="1"/>
    <n v="0"/>
    <n v="1"/>
    <n v="6"/>
    <x v="1"/>
    <n v="1"/>
    <n v="2"/>
    <n v="0.18"/>
    <n v="0.18179999999999999"/>
    <n v="0.43"/>
    <n v="0.19400000000000001"/>
    <n v="0"/>
    <n v="5"/>
    <n v="5"/>
    <x v="0"/>
  </r>
  <r>
    <n v="380"/>
    <d v="2012-01-15T00:00:00"/>
    <n v="1"/>
    <n v="0"/>
    <n v="1"/>
    <n v="7"/>
    <x v="1"/>
    <n v="1"/>
    <n v="2"/>
    <n v="0.16"/>
    <n v="0.18179999999999999"/>
    <n v="0.5"/>
    <n v="0.1343"/>
    <n v="4"/>
    <n v="9"/>
    <n v="13"/>
    <x v="1"/>
  </r>
  <r>
    <n v="381"/>
    <d v="2012-01-16T00:00:00"/>
    <n v="1"/>
    <n v="0"/>
    <n v="1"/>
    <n v="8"/>
    <x v="1"/>
    <n v="1"/>
    <n v="2"/>
    <n v="0.16"/>
    <n v="0.1515"/>
    <n v="0.47"/>
    <n v="0.22389999999999999"/>
    <n v="3"/>
    <n v="30"/>
    <n v="33"/>
    <x v="2"/>
  </r>
  <r>
    <n v="382"/>
    <d v="2012-01-17T00:00:00"/>
    <n v="1"/>
    <n v="0"/>
    <n v="1"/>
    <n v="9"/>
    <x v="1"/>
    <n v="1"/>
    <n v="2"/>
    <n v="0.16"/>
    <n v="0.1515"/>
    <n v="0.47"/>
    <n v="0.22389999999999999"/>
    <n v="8"/>
    <n v="39"/>
    <n v="47"/>
    <x v="3"/>
  </r>
  <r>
    <n v="383"/>
    <d v="2012-01-18T00:00:00"/>
    <n v="1"/>
    <n v="0"/>
    <n v="1"/>
    <n v="10"/>
    <x v="1"/>
    <n v="1"/>
    <n v="2"/>
    <n v="0.16"/>
    <n v="0.1515"/>
    <n v="0.5"/>
    <n v="0.25369999999999998"/>
    <n v="7"/>
    <n v="50"/>
    <n v="57"/>
    <x v="4"/>
  </r>
  <r>
    <n v="384"/>
    <d v="2012-01-19T00:00:00"/>
    <n v="1"/>
    <n v="0"/>
    <n v="1"/>
    <n v="11"/>
    <x v="1"/>
    <n v="1"/>
    <n v="2"/>
    <n v="0.16"/>
    <n v="0.1515"/>
    <n v="0.55000000000000004"/>
    <n v="0.19400000000000001"/>
    <n v="9"/>
    <n v="55"/>
    <n v="64"/>
    <x v="5"/>
  </r>
  <r>
    <n v="385"/>
    <d v="2012-01-20T00:00:00"/>
    <n v="1"/>
    <n v="0"/>
    <n v="1"/>
    <n v="12"/>
    <x v="1"/>
    <n v="1"/>
    <n v="2"/>
    <n v="0.18"/>
    <n v="0.19700000000000001"/>
    <n v="0.47"/>
    <n v="0.1343"/>
    <n v="10"/>
    <n v="70"/>
    <n v="80"/>
    <x v="6"/>
  </r>
  <r>
    <n v="386"/>
    <d v="2012-01-21T00:00:00"/>
    <n v="1"/>
    <n v="0"/>
    <n v="1"/>
    <n v="13"/>
    <x v="1"/>
    <n v="1"/>
    <n v="2"/>
    <n v="0.18"/>
    <n v="0.19700000000000001"/>
    <n v="0.47"/>
    <n v="0.1343"/>
    <n v="13"/>
    <n v="80"/>
    <n v="93"/>
    <x v="0"/>
  </r>
  <r>
    <n v="387"/>
    <d v="2012-01-22T00:00:00"/>
    <n v="1"/>
    <n v="0"/>
    <n v="1"/>
    <n v="14"/>
    <x v="1"/>
    <n v="1"/>
    <n v="2"/>
    <n v="0.18"/>
    <n v="0.21210000000000001"/>
    <n v="0.43"/>
    <n v="0.1045"/>
    <n v="12"/>
    <n v="74"/>
    <n v="86"/>
    <x v="1"/>
  </r>
  <r>
    <n v="388"/>
    <d v="2012-01-23T00:00:00"/>
    <n v="1"/>
    <n v="0"/>
    <n v="1"/>
    <n v="15"/>
    <x v="1"/>
    <n v="1"/>
    <n v="2"/>
    <n v="0.2"/>
    <n v="0.21210000000000001"/>
    <n v="0.47"/>
    <n v="0.16420000000000001"/>
    <n v="21"/>
    <n v="72"/>
    <n v="93"/>
    <x v="2"/>
  </r>
  <r>
    <n v="389"/>
    <d v="2012-01-24T00:00:00"/>
    <n v="1"/>
    <n v="0"/>
    <n v="1"/>
    <n v="16"/>
    <x v="1"/>
    <n v="1"/>
    <n v="2"/>
    <n v="0.2"/>
    <n v="0.21210000000000001"/>
    <n v="0.47"/>
    <n v="0.16420000000000001"/>
    <n v="6"/>
    <n v="76"/>
    <n v="82"/>
    <x v="3"/>
  </r>
  <r>
    <n v="390"/>
    <d v="2012-01-25T00:00:00"/>
    <n v="1"/>
    <n v="0"/>
    <n v="1"/>
    <n v="17"/>
    <x v="1"/>
    <n v="1"/>
    <n v="1"/>
    <n v="0.2"/>
    <n v="0.19700000000000001"/>
    <n v="0.51"/>
    <n v="0.19400000000000001"/>
    <n v="4"/>
    <n v="67"/>
    <n v="71"/>
    <x v="4"/>
  </r>
  <r>
    <n v="391"/>
    <d v="2012-01-26T00:00:00"/>
    <n v="1"/>
    <n v="0"/>
    <n v="1"/>
    <n v="18"/>
    <x v="1"/>
    <n v="1"/>
    <n v="2"/>
    <n v="0.18"/>
    <n v="0.16669999999999999"/>
    <n v="0.55000000000000004"/>
    <n v="0.25369999999999998"/>
    <n v="7"/>
    <n v="85"/>
    <n v="92"/>
    <x v="5"/>
  </r>
  <r>
    <n v="392"/>
    <d v="2012-01-27T00:00:00"/>
    <n v="1"/>
    <n v="0"/>
    <n v="1"/>
    <n v="19"/>
    <x v="1"/>
    <n v="1"/>
    <n v="3"/>
    <n v="0.18"/>
    <n v="0.18179999999999999"/>
    <n v="0.59"/>
    <n v="0.19400000000000001"/>
    <n v="2"/>
    <n v="58"/>
    <n v="60"/>
    <x v="6"/>
  </r>
  <r>
    <n v="393"/>
    <d v="2012-01-28T00:00:00"/>
    <n v="1"/>
    <n v="0"/>
    <n v="1"/>
    <n v="20"/>
    <x v="1"/>
    <n v="1"/>
    <n v="3"/>
    <n v="0.16"/>
    <n v="0.1515"/>
    <n v="0.8"/>
    <n v="0.19400000000000001"/>
    <n v="4"/>
    <n v="29"/>
    <n v="33"/>
    <x v="0"/>
  </r>
  <r>
    <n v="394"/>
    <d v="2012-01-29T00:00:00"/>
    <n v="1"/>
    <n v="0"/>
    <n v="1"/>
    <n v="21"/>
    <x v="1"/>
    <n v="1"/>
    <n v="3"/>
    <n v="0.16"/>
    <n v="0.1515"/>
    <n v="0.8"/>
    <n v="0.19400000000000001"/>
    <n v="3"/>
    <n v="24"/>
    <n v="27"/>
    <x v="1"/>
  </r>
  <r>
    <n v="395"/>
    <d v="2012-01-30T00:00:00"/>
    <n v="1"/>
    <n v="0"/>
    <n v="1"/>
    <n v="22"/>
    <x v="1"/>
    <n v="1"/>
    <n v="3"/>
    <n v="0.14000000000000001"/>
    <n v="0.1212"/>
    <n v="0.93"/>
    <n v="0.25369999999999998"/>
    <n v="0"/>
    <n v="13"/>
    <n v="13"/>
    <x v="2"/>
  </r>
  <r>
    <n v="396"/>
    <d v="2012-01-31T00:00:00"/>
    <n v="1"/>
    <n v="0"/>
    <n v="1"/>
    <n v="23"/>
    <x v="1"/>
    <n v="1"/>
    <n v="3"/>
    <n v="0.16"/>
    <n v="0.13639999999999999"/>
    <n v="0.86"/>
    <n v="0.28360000000000002"/>
    <n v="1"/>
    <n v="3"/>
    <n v="4"/>
    <x v="3"/>
  </r>
  <r>
    <n v="397"/>
    <d v="2012-02-01T00:00:00"/>
    <n v="1"/>
    <n v="0"/>
    <n v="1"/>
    <n v="12"/>
    <x v="0"/>
    <n v="2"/>
    <n v="2"/>
    <n v="0.2"/>
    <n v="0.18179999999999999"/>
    <n v="0.86"/>
    <n v="0.32840000000000003"/>
    <n v="0"/>
    <n v="3"/>
    <n v="3"/>
    <x v="4"/>
  </r>
  <r>
    <n v="398"/>
    <d v="2012-02-02T00:00:00"/>
    <n v="1"/>
    <n v="0"/>
    <n v="1"/>
    <n v="13"/>
    <x v="0"/>
    <n v="2"/>
    <n v="2"/>
    <n v="0.2"/>
    <n v="0.19700000000000001"/>
    <n v="0.86"/>
    <n v="0.22389999999999999"/>
    <n v="0"/>
    <n v="22"/>
    <n v="22"/>
    <x v="5"/>
  </r>
  <r>
    <n v="399"/>
    <d v="2012-02-03T00:00:00"/>
    <n v="1"/>
    <n v="0"/>
    <n v="1"/>
    <n v="14"/>
    <x v="0"/>
    <n v="2"/>
    <n v="2"/>
    <n v="0.22"/>
    <n v="0.2273"/>
    <n v="0.8"/>
    <n v="0.16420000000000001"/>
    <n v="2"/>
    <n v="26"/>
    <n v="28"/>
    <x v="6"/>
  </r>
  <r>
    <n v="400"/>
    <d v="2012-02-04T00:00:00"/>
    <n v="1"/>
    <n v="0"/>
    <n v="1"/>
    <n v="15"/>
    <x v="0"/>
    <n v="2"/>
    <n v="2"/>
    <n v="0.22"/>
    <n v="0.2273"/>
    <n v="0.87"/>
    <n v="0.16420000000000001"/>
    <n v="3"/>
    <n v="32"/>
    <n v="35"/>
    <x v="0"/>
  </r>
  <r>
    <n v="401"/>
    <d v="2012-02-05T00:00:00"/>
    <n v="1"/>
    <n v="0"/>
    <n v="1"/>
    <n v="16"/>
    <x v="0"/>
    <n v="2"/>
    <n v="2"/>
    <n v="0.22"/>
    <n v="0.2273"/>
    <n v="0.87"/>
    <n v="0.19400000000000001"/>
    <n v="0"/>
    <n v="61"/>
    <n v="61"/>
    <x v="1"/>
  </r>
  <r>
    <n v="402"/>
    <d v="2012-02-06T00:00:00"/>
    <n v="1"/>
    <n v="0"/>
    <n v="1"/>
    <n v="17"/>
    <x v="0"/>
    <n v="2"/>
    <n v="2"/>
    <n v="0.22"/>
    <n v="0.2273"/>
    <n v="0.82"/>
    <n v="0.19400000000000001"/>
    <n v="1"/>
    <n v="124"/>
    <n v="125"/>
    <x v="2"/>
  </r>
  <r>
    <n v="403"/>
    <d v="2012-02-07T00:00:00"/>
    <n v="1"/>
    <n v="0"/>
    <n v="1"/>
    <n v="18"/>
    <x v="0"/>
    <n v="2"/>
    <n v="2"/>
    <n v="0.22"/>
    <n v="0.2273"/>
    <n v="0.8"/>
    <n v="0.16420000000000001"/>
    <n v="1"/>
    <n v="132"/>
    <n v="133"/>
    <x v="3"/>
  </r>
  <r>
    <n v="404"/>
    <d v="2012-02-08T00:00:00"/>
    <n v="1"/>
    <n v="0"/>
    <n v="1"/>
    <n v="19"/>
    <x v="0"/>
    <n v="2"/>
    <n v="2"/>
    <n v="0.22"/>
    <n v="0.2273"/>
    <n v="0.8"/>
    <n v="0.1343"/>
    <n v="1"/>
    <n v="98"/>
    <n v="99"/>
    <x v="4"/>
  </r>
  <r>
    <n v="405"/>
    <d v="2012-02-09T00:00:00"/>
    <n v="1"/>
    <n v="0"/>
    <n v="1"/>
    <n v="20"/>
    <x v="0"/>
    <n v="2"/>
    <n v="2"/>
    <n v="0.22"/>
    <n v="0.2727"/>
    <n v="0.87"/>
    <n v="0"/>
    <n v="0"/>
    <n v="83"/>
    <n v="83"/>
    <x v="5"/>
  </r>
  <r>
    <n v="406"/>
    <d v="2012-02-10T00:00:00"/>
    <n v="1"/>
    <n v="0"/>
    <n v="1"/>
    <n v="21"/>
    <x v="0"/>
    <n v="2"/>
    <n v="2"/>
    <n v="0.22"/>
    <n v="0.2424"/>
    <n v="0.93"/>
    <n v="0.1045"/>
    <n v="0"/>
    <n v="41"/>
    <n v="41"/>
    <x v="6"/>
  </r>
  <r>
    <n v="407"/>
    <d v="2012-02-11T00:00:00"/>
    <n v="1"/>
    <n v="0"/>
    <n v="1"/>
    <n v="22"/>
    <x v="0"/>
    <n v="2"/>
    <n v="2"/>
    <n v="0.22"/>
    <n v="0.2576"/>
    <n v="0.93"/>
    <n v="8.9599999999999999E-2"/>
    <n v="0"/>
    <n v="33"/>
    <n v="33"/>
    <x v="0"/>
  </r>
  <r>
    <n v="408"/>
    <d v="2012-02-12T00:00:00"/>
    <n v="1"/>
    <n v="0"/>
    <n v="1"/>
    <n v="23"/>
    <x v="0"/>
    <n v="2"/>
    <n v="2"/>
    <n v="0.22"/>
    <n v="0.2727"/>
    <n v="0.93"/>
    <n v="0"/>
    <n v="1"/>
    <n v="19"/>
    <n v="20"/>
    <x v="1"/>
  </r>
  <r>
    <n v="409"/>
    <d v="2012-02-13T00:00:00"/>
    <n v="1"/>
    <n v="0"/>
    <n v="1"/>
    <n v="0"/>
    <x v="0"/>
    <n v="3"/>
    <n v="2"/>
    <n v="0.22"/>
    <n v="0.2727"/>
    <n v="0.93"/>
    <n v="0"/>
    <n v="0"/>
    <n v="3"/>
    <n v="3"/>
    <x v="2"/>
  </r>
  <r>
    <n v="410"/>
    <d v="2012-02-14T00:00:00"/>
    <n v="1"/>
    <n v="0"/>
    <n v="1"/>
    <n v="1"/>
    <x v="0"/>
    <n v="3"/>
    <n v="3"/>
    <n v="0.22"/>
    <n v="0.2273"/>
    <n v="0.93"/>
    <n v="0.1343"/>
    <n v="1"/>
    <n v="6"/>
    <n v="7"/>
    <x v="3"/>
  </r>
  <r>
    <n v="411"/>
    <d v="2012-02-15T00:00:00"/>
    <n v="1"/>
    <n v="0"/>
    <n v="1"/>
    <n v="2"/>
    <x v="0"/>
    <n v="3"/>
    <n v="3"/>
    <n v="0.22"/>
    <n v="0.2273"/>
    <n v="0.93"/>
    <n v="0.1343"/>
    <n v="0"/>
    <n v="3"/>
    <n v="3"/>
    <x v="4"/>
  </r>
  <r>
    <n v="412"/>
    <d v="2012-02-16T00:00:00"/>
    <n v="1"/>
    <n v="0"/>
    <n v="1"/>
    <n v="4"/>
    <x v="0"/>
    <n v="3"/>
    <n v="3"/>
    <n v="0.22"/>
    <n v="0.2273"/>
    <n v="0.93"/>
    <n v="0.1343"/>
    <n v="1"/>
    <n v="1"/>
    <n v="2"/>
    <x v="5"/>
  </r>
  <r>
    <n v="413"/>
    <d v="2012-02-17T00:00:00"/>
    <n v="1"/>
    <n v="0"/>
    <n v="1"/>
    <n v="5"/>
    <x v="0"/>
    <n v="3"/>
    <n v="2"/>
    <n v="0.22"/>
    <n v="0.2576"/>
    <n v="0.93"/>
    <n v="8.9599999999999999E-2"/>
    <n v="0"/>
    <n v="7"/>
    <n v="7"/>
    <x v="6"/>
  </r>
  <r>
    <n v="414"/>
    <d v="2012-02-18T00:00:00"/>
    <n v="1"/>
    <n v="0"/>
    <n v="1"/>
    <n v="6"/>
    <x v="0"/>
    <n v="3"/>
    <n v="2"/>
    <n v="0.22"/>
    <n v="0.2576"/>
    <n v="0.93"/>
    <n v="8.9599999999999999E-2"/>
    <n v="0"/>
    <n v="32"/>
    <n v="32"/>
    <x v="0"/>
  </r>
  <r>
    <n v="415"/>
    <d v="2012-02-19T00:00:00"/>
    <n v="1"/>
    <n v="0"/>
    <n v="1"/>
    <n v="7"/>
    <x v="0"/>
    <n v="3"/>
    <n v="2"/>
    <n v="0.24"/>
    <n v="0.2576"/>
    <n v="0.92"/>
    <n v="0.1045"/>
    <n v="1"/>
    <n v="89"/>
    <n v="90"/>
    <x v="1"/>
  </r>
  <r>
    <n v="416"/>
    <d v="2012-02-20T00:00:00"/>
    <n v="1"/>
    <n v="0"/>
    <n v="1"/>
    <n v="8"/>
    <x v="0"/>
    <n v="3"/>
    <n v="2"/>
    <n v="0.24"/>
    <n v="0.2576"/>
    <n v="0.93"/>
    <n v="0.1045"/>
    <n v="1"/>
    <n v="196"/>
    <n v="197"/>
    <x v="2"/>
  </r>
  <r>
    <n v="417"/>
    <d v="2012-02-21T00:00:00"/>
    <n v="1"/>
    <n v="0"/>
    <n v="1"/>
    <n v="9"/>
    <x v="0"/>
    <n v="3"/>
    <n v="2"/>
    <n v="0.24"/>
    <n v="0.2576"/>
    <n v="0.93"/>
    <n v="0.1045"/>
    <n v="2"/>
    <n v="107"/>
    <n v="109"/>
    <x v="3"/>
  </r>
  <r>
    <n v="418"/>
    <d v="2012-02-22T00:00:00"/>
    <n v="1"/>
    <n v="0"/>
    <n v="1"/>
    <n v="10"/>
    <x v="0"/>
    <n v="3"/>
    <n v="2"/>
    <n v="0.26"/>
    <n v="0.2727"/>
    <n v="0.93"/>
    <n v="0.1343"/>
    <n v="1"/>
    <n v="46"/>
    <n v="47"/>
    <x v="4"/>
  </r>
  <r>
    <n v="419"/>
    <d v="2012-02-23T00:00:00"/>
    <n v="1"/>
    <n v="0"/>
    <n v="1"/>
    <n v="11"/>
    <x v="0"/>
    <n v="3"/>
    <n v="2"/>
    <n v="0.28000000000000003"/>
    <n v="0.30299999999999999"/>
    <n v="0.87"/>
    <n v="8.9599999999999999E-2"/>
    <n v="5"/>
    <n v="47"/>
    <n v="52"/>
    <x v="5"/>
  </r>
  <r>
    <n v="420"/>
    <d v="2012-02-24T00:00:00"/>
    <n v="1"/>
    <n v="0"/>
    <n v="1"/>
    <n v="12"/>
    <x v="0"/>
    <n v="3"/>
    <n v="2"/>
    <n v="0.3"/>
    <n v="0.31819999999999998"/>
    <n v="0.81"/>
    <n v="8.9599999999999999E-2"/>
    <n v="5"/>
    <n v="65"/>
    <n v="70"/>
    <x v="6"/>
  </r>
  <r>
    <n v="421"/>
    <d v="2012-02-25T00:00:00"/>
    <n v="1"/>
    <n v="0"/>
    <n v="1"/>
    <n v="13"/>
    <x v="0"/>
    <n v="3"/>
    <n v="1"/>
    <n v="0.4"/>
    <n v="0.40910000000000002"/>
    <n v="0.62"/>
    <n v="0.28360000000000002"/>
    <n v="11"/>
    <n v="67"/>
    <n v="78"/>
    <x v="0"/>
  </r>
  <r>
    <n v="422"/>
    <d v="2012-02-26T00:00:00"/>
    <n v="1"/>
    <n v="0"/>
    <n v="1"/>
    <n v="14"/>
    <x v="0"/>
    <n v="3"/>
    <n v="1"/>
    <n v="0.4"/>
    <n v="0.40910000000000002"/>
    <n v="0.57999999999999996"/>
    <n v="0.25369999999999998"/>
    <n v="7"/>
    <n v="68"/>
    <n v="75"/>
    <x v="1"/>
  </r>
  <r>
    <n v="423"/>
    <d v="2012-02-27T00:00:00"/>
    <n v="1"/>
    <n v="0"/>
    <n v="1"/>
    <n v="15"/>
    <x v="0"/>
    <n v="3"/>
    <n v="1"/>
    <n v="0.4"/>
    <n v="0.40910000000000002"/>
    <n v="0.54"/>
    <n v="0.28360000000000002"/>
    <n v="4"/>
    <n v="78"/>
    <n v="82"/>
    <x v="2"/>
  </r>
  <r>
    <n v="424"/>
    <d v="2012-02-28T00:00:00"/>
    <n v="1"/>
    <n v="0"/>
    <n v="1"/>
    <n v="16"/>
    <x v="0"/>
    <n v="3"/>
    <n v="1"/>
    <n v="0.38"/>
    <n v="0.39389999999999997"/>
    <n v="0.57999999999999996"/>
    <n v="0.3881"/>
    <n v="10"/>
    <n v="94"/>
    <n v="104"/>
    <x v="3"/>
  </r>
  <r>
    <n v="425"/>
    <d v="2012-02-29T00:00:00"/>
    <n v="1"/>
    <n v="0"/>
    <n v="1"/>
    <n v="17"/>
    <x v="0"/>
    <n v="3"/>
    <n v="1"/>
    <n v="0.36"/>
    <n v="0.33329999999999999"/>
    <n v="0.56999999999999995"/>
    <n v="0.32840000000000003"/>
    <n v="7"/>
    <n v="190"/>
    <n v="197"/>
    <x v="4"/>
  </r>
  <r>
    <n v="426"/>
    <d v="2012-03-01T00:00:00"/>
    <n v="1"/>
    <n v="0"/>
    <n v="1"/>
    <n v="18"/>
    <x v="0"/>
    <n v="3"/>
    <n v="1"/>
    <n v="0.34"/>
    <n v="0.31819999999999998"/>
    <n v="0.61"/>
    <n v="0.28360000000000002"/>
    <n v="5"/>
    <n v="156"/>
    <n v="161"/>
    <x v="5"/>
  </r>
  <r>
    <n v="427"/>
    <d v="2012-03-02T00:00:00"/>
    <n v="1"/>
    <n v="0"/>
    <n v="1"/>
    <n v="19"/>
    <x v="0"/>
    <n v="3"/>
    <n v="1"/>
    <n v="0.32"/>
    <n v="0.28789999999999999"/>
    <n v="0.56999999999999995"/>
    <n v="0.41789999999999999"/>
    <n v="4"/>
    <n v="108"/>
    <n v="112"/>
    <x v="6"/>
  </r>
  <r>
    <n v="428"/>
    <d v="2012-03-03T00:00:00"/>
    <n v="1"/>
    <n v="0"/>
    <n v="1"/>
    <n v="20"/>
    <x v="0"/>
    <n v="3"/>
    <n v="1"/>
    <n v="0.32"/>
    <n v="0.30299999999999999"/>
    <n v="0.49"/>
    <n v="0.29849999999999999"/>
    <n v="2"/>
    <n v="74"/>
    <n v="76"/>
    <x v="0"/>
  </r>
  <r>
    <n v="429"/>
    <d v="2012-03-04T00:00:00"/>
    <n v="1"/>
    <n v="0"/>
    <n v="1"/>
    <n v="21"/>
    <x v="0"/>
    <n v="3"/>
    <n v="1"/>
    <n v="0.32"/>
    <n v="0.28789999999999999"/>
    <n v="0.49"/>
    <n v="0.41789999999999999"/>
    <n v="4"/>
    <n v="55"/>
    <n v="59"/>
    <x v="1"/>
  </r>
  <r>
    <n v="430"/>
    <d v="2012-03-05T00:00:00"/>
    <n v="1"/>
    <n v="0"/>
    <n v="1"/>
    <n v="22"/>
    <x v="0"/>
    <n v="3"/>
    <n v="1"/>
    <n v="0.3"/>
    <n v="0.30299999999999999"/>
    <n v="0.52"/>
    <n v="0.16420000000000001"/>
    <n v="6"/>
    <n v="53"/>
    <n v="59"/>
    <x v="2"/>
  </r>
  <r>
    <n v="431"/>
    <d v="2012-03-06T00:00:00"/>
    <n v="1"/>
    <n v="0"/>
    <n v="1"/>
    <n v="23"/>
    <x v="0"/>
    <n v="3"/>
    <n v="1"/>
    <n v="0.3"/>
    <n v="0.2727"/>
    <n v="0.52"/>
    <n v="0.4627"/>
    <n v="1"/>
    <n v="27"/>
    <n v="28"/>
    <x v="3"/>
  </r>
  <r>
    <n v="432"/>
    <d v="2012-03-07T00:00:00"/>
    <n v="1"/>
    <n v="0"/>
    <n v="1"/>
    <n v="0"/>
    <x v="0"/>
    <n v="4"/>
    <n v="1"/>
    <n v="0.26"/>
    <n v="0.2273"/>
    <n v="0.56000000000000005"/>
    <n v="0.3881"/>
    <n v="5"/>
    <n v="8"/>
    <n v="13"/>
    <x v="4"/>
  </r>
  <r>
    <n v="433"/>
    <d v="2012-03-08T00:00:00"/>
    <n v="1"/>
    <n v="0"/>
    <n v="1"/>
    <n v="1"/>
    <x v="0"/>
    <n v="4"/>
    <n v="1"/>
    <n v="0.26"/>
    <n v="0.2727"/>
    <n v="0.56000000000000005"/>
    <n v="0"/>
    <n v="2"/>
    <n v="3"/>
    <n v="5"/>
    <x v="5"/>
  </r>
  <r>
    <n v="434"/>
    <d v="2012-03-09T00:00:00"/>
    <n v="1"/>
    <n v="0"/>
    <n v="1"/>
    <n v="2"/>
    <x v="0"/>
    <n v="4"/>
    <n v="1"/>
    <n v="0.26"/>
    <n v="0.2727"/>
    <n v="0.56000000000000005"/>
    <n v="0"/>
    <n v="0"/>
    <n v="2"/>
    <n v="2"/>
    <x v="6"/>
  </r>
  <r>
    <n v="435"/>
    <d v="2012-03-10T00:00:00"/>
    <n v="1"/>
    <n v="0"/>
    <n v="1"/>
    <n v="3"/>
    <x v="0"/>
    <n v="4"/>
    <n v="1"/>
    <n v="0.26"/>
    <n v="0.2576"/>
    <n v="0.56000000000000005"/>
    <n v="0.16420000000000001"/>
    <n v="0"/>
    <n v="1"/>
    <n v="1"/>
    <x v="0"/>
  </r>
  <r>
    <n v="436"/>
    <d v="2012-03-11T00:00:00"/>
    <n v="1"/>
    <n v="0"/>
    <n v="1"/>
    <n v="4"/>
    <x v="0"/>
    <n v="4"/>
    <n v="1"/>
    <n v="0.26"/>
    <n v="0.2576"/>
    <n v="0.56000000000000005"/>
    <n v="0.16420000000000001"/>
    <n v="0"/>
    <n v="1"/>
    <n v="1"/>
    <x v="1"/>
  </r>
  <r>
    <n v="437"/>
    <d v="2012-03-12T00:00:00"/>
    <n v="1"/>
    <n v="0"/>
    <n v="1"/>
    <n v="5"/>
    <x v="0"/>
    <n v="4"/>
    <n v="1"/>
    <n v="0.24"/>
    <n v="0.2273"/>
    <n v="0.6"/>
    <n v="0.22389999999999999"/>
    <n v="0"/>
    <n v="6"/>
    <n v="6"/>
    <x v="2"/>
  </r>
  <r>
    <n v="438"/>
    <d v="2012-03-13T00:00:00"/>
    <n v="1"/>
    <n v="0"/>
    <n v="1"/>
    <n v="6"/>
    <x v="0"/>
    <n v="4"/>
    <n v="1"/>
    <n v="0.22"/>
    <n v="0.21210000000000001"/>
    <n v="0.6"/>
    <n v="0.22389999999999999"/>
    <n v="0"/>
    <n v="35"/>
    <n v="35"/>
    <x v="3"/>
  </r>
  <r>
    <n v="439"/>
    <d v="2012-03-14T00:00:00"/>
    <n v="1"/>
    <n v="0"/>
    <n v="1"/>
    <n v="7"/>
    <x v="0"/>
    <n v="4"/>
    <n v="1"/>
    <n v="0.22"/>
    <n v="0.21210000000000001"/>
    <n v="0.55000000000000004"/>
    <n v="0.22389999999999999"/>
    <n v="1"/>
    <n v="100"/>
    <n v="101"/>
    <x v="4"/>
  </r>
  <r>
    <n v="440"/>
    <d v="2012-03-15T00:00:00"/>
    <n v="1"/>
    <n v="0"/>
    <n v="1"/>
    <n v="8"/>
    <x v="0"/>
    <n v="4"/>
    <n v="1"/>
    <n v="0.22"/>
    <n v="0.21210000000000001"/>
    <n v="0.55000000000000004"/>
    <n v="0.28360000000000002"/>
    <n v="2"/>
    <n v="247"/>
    <n v="249"/>
    <x v="5"/>
  </r>
  <r>
    <n v="441"/>
    <d v="2012-03-16T00:00:00"/>
    <n v="1"/>
    <n v="0"/>
    <n v="1"/>
    <n v="9"/>
    <x v="0"/>
    <n v="4"/>
    <n v="2"/>
    <n v="0.24"/>
    <n v="0.2273"/>
    <n v="0.52"/>
    <n v="0.22389999999999999"/>
    <n v="3"/>
    <n v="140"/>
    <n v="143"/>
    <x v="6"/>
  </r>
  <r>
    <n v="442"/>
    <d v="2012-03-17T00:00:00"/>
    <n v="1"/>
    <n v="0"/>
    <n v="1"/>
    <n v="10"/>
    <x v="0"/>
    <n v="4"/>
    <n v="1"/>
    <n v="0.26"/>
    <n v="0.2273"/>
    <n v="0.48"/>
    <n v="0.29849999999999999"/>
    <n v="1"/>
    <n v="56"/>
    <n v="57"/>
    <x v="0"/>
  </r>
  <r>
    <n v="443"/>
    <d v="2012-03-18T00:00:00"/>
    <n v="1"/>
    <n v="0"/>
    <n v="1"/>
    <n v="11"/>
    <x v="0"/>
    <n v="4"/>
    <n v="2"/>
    <n v="0.28000000000000003"/>
    <n v="0.2727"/>
    <n v="0.45"/>
    <n v="0.16420000000000001"/>
    <n v="5"/>
    <n v="63"/>
    <n v="68"/>
    <x v="1"/>
  </r>
  <r>
    <n v="444"/>
    <d v="2012-03-19T00:00:00"/>
    <n v="1"/>
    <n v="0"/>
    <n v="1"/>
    <n v="12"/>
    <x v="0"/>
    <n v="4"/>
    <n v="2"/>
    <n v="0.3"/>
    <n v="0.33329999999999999"/>
    <n v="0.42"/>
    <n v="0"/>
    <n v="7"/>
    <n v="77"/>
    <n v="84"/>
    <x v="2"/>
  </r>
  <r>
    <n v="445"/>
    <d v="2012-03-20T00:00:00"/>
    <n v="1"/>
    <n v="0"/>
    <n v="1"/>
    <n v="13"/>
    <x v="0"/>
    <n v="4"/>
    <n v="2"/>
    <n v="0.28000000000000003"/>
    <n v="0.28789999999999999"/>
    <n v="0.45"/>
    <n v="0.1045"/>
    <n v="12"/>
    <n v="86"/>
    <n v="98"/>
    <x v="3"/>
  </r>
  <r>
    <n v="446"/>
    <d v="2012-03-21T00:00:00"/>
    <n v="1"/>
    <n v="0"/>
    <n v="1"/>
    <n v="14"/>
    <x v="0"/>
    <n v="4"/>
    <n v="2"/>
    <n v="0.3"/>
    <n v="0.30299999999999999"/>
    <n v="0.45"/>
    <n v="0.1343"/>
    <n v="6"/>
    <n v="75"/>
    <n v="81"/>
    <x v="4"/>
  </r>
  <r>
    <n v="447"/>
    <d v="2012-03-22T00:00:00"/>
    <n v="1"/>
    <n v="0"/>
    <n v="1"/>
    <n v="15"/>
    <x v="0"/>
    <n v="4"/>
    <n v="2"/>
    <n v="0.32"/>
    <n v="0.31819999999999998"/>
    <n v="0.45"/>
    <n v="0.19400000000000001"/>
    <n v="8"/>
    <n v="62"/>
    <n v="70"/>
    <x v="5"/>
  </r>
  <r>
    <n v="448"/>
    <d v="2012-03-23T00:00:00"/>
    <n v="1"/>
    <n v="0"/>
    <n v="1"/>
    <n v="16"/>
    <x v="0"/>
    <n v="4"/>
    <n v="2"/>
    <n v="0.3"/>
    <n v="0.30299999999999999"/>
    <n v="0.49"/>
    <n v="0.1343"/>
    <n v="8"/>
    <n v="83"/>
    <n v="91"/>
    <x v="6"/>
  </r>
  <r>
    <n v="449"/>
    <d v="2012-03-24T00:00:00"/>
    <n v="1"/>
    <n v="0"/>
    <n v="1"/>
    <n v="17"/>
    <x v="0"/>
    <n v="4"/>
    <n v="2"/>
    <n v="0.3"/>
    <n v="0.31819999999999998"/>
    <n v="0.49"/>
    <n v="0.1045"/>
    <n v="8"/>
    <n v="207"/>
    <n v="215"/>
    <x v="0"/>
  </r>
  <r>
    <n v="450"/>
    <d v="2012-03-25T00:00:00"/>
    <n v="1"/>
    <n v="0"/>
    <n v="1"/>
    <n v="18"/>
    <x v="0"/>
    <n v="4"/>
    <n v="2"/>
    <n v="0.26"/>
    <n v="0.2576"/>
    <n v="0.56000000000000005"/>
    <n v="0.19400000000000001"/>
    <n v="1"/>
    <n v="184"/>
    <n v="185"/>
    <x v="1"/>
  </r>
  <r>
    <n v="451"/>
    <d v="2012-03-26T00:00:00"/>
    <n v="1"/>
    <n v="0"/>
    <n v="1"/>
    <n v="19"/>
    <x v="0"/>
    <n v="4"/>
    <n v="1"/>
    <n v="0.26"/>
    <n v="0.2273"/>
    <n v="0.56000000000000005"/>
    <n v="0.32840000000000003"/>
    <n v="6"/>
    <n v="146"/>
    <n v="152"/>
    <x v="2"/>
  </r>
  <r>
    <n v="452"/>
    <d v="2012-03-27T00:00:00"/>
    <n v="1"/>
    <n v="0"/>
    <n v="1"/>
    <n v="20"/>
    <x v="0"/>
    <n v="4"/>
    <n v="2"/>
    <n v="0.26"/>
    <n v="0.2424"/>
    <n v="0.6"/>
    <n v="0.28360000000000002"/>
    <n v="2"/>
    <n v="124"/>
    <n v="126"/>
    <x v="3"/>
  </r>
  <r>
    <n v="453"/>
    <d v="2012-03-28T00:00:00"/>
    <n v="1"/>
    <n v="0"/>
    <n v="1"/>
    <n v="21"/>
    <x v="0"/>
    <n v="4"/>
    <n v="2"/>
    <n v="0.24"/>
    <n v="0.2273"/>
    <n v="0.6"/>
    <n v="0.25369999999999998"/>
    <n v="3"/>
    <n v="54"/>
    <n v="57"/>
    <x v="4"/>
  </r>
  <r>
    <n v="454"/>
    <d v="2012-03-29T00:00:00"/>
    <n v="1"/>
    <n v="0"/>
    <n v="1"/>
    <n v="22"/>
    <x v="0"/>
    <n v="4"/>
    <n v="2"/>
    <n v="0.24"/>
    <n v="0.21210000000000001"/>
    <n v="0.65"/>
    <n v="0.28360000000000002"/>
    <n v="0"/>
    <n v="56"/>
    <n v="56"/>
    <x v="5"/>
  </r>
  <r>
    <n v="455"/>
    <d v="2012-03-30T00:00:00"/>
    <n v="1"/>
    <n v="0"/>
    <n v="1"/>
    <n v="23"/>
    <x v="0"/>
    <n v="4"/>
    <n v="2"/>
    <n v="0.24"/>
    <n v="0.21210000000000001"/>
    <n v="0.65"/>
    <n v="0.32840000000000003"/>
    <n v="3"/>
    <n v="28"/>
    <n v="31"/>
    <x v="6"/>
  </r>
  <r>
    <n v="456"/>
    <d v="2012-03-31T00:00:00"/>
    <n v="1"/>
    <n v="0"/>
    <n v="1"/>
    <n v="0"/>
    <x v="0"/>
    <n v="5"/>
    <n v="2"/>
    <n v="0.24"/>
    <n v="0.2273"/>
    <n v="0.7"/>
    <n v="0.25369999999999998"/>
    <n v="1"/>
    <n v="20"/>
    <n v="21"/>
    <x v="0"/>
  </r>
  <r>
    <n v="457"/>
    <d v="2012-04-01T00:00:00"/>
    <n v="1"/>
    <n v="0"/>
    <n v="1"/>
    <n v="1"/>
    <x v="0"/>
    <n v="5"/>
    <n v="2"/>
    <n v="0.24"/>
    <n v="0.2273"/>
    <n v="0.7"/>
    <n v="0.25369999999999998"/>
    <n v="0"/>
    <n v="6"/>
    <n v="6"/>
    <x v="1"/>
  </r>
  <r>
    <n v="458"/>
    <d v="2012-04-02T00:00:00"/>
    <n v="1"/>
    <n v="0"/>
    <n v="1"/>
    <n v="2"/>
    <x v="0"/>
    <n v="5"/>
    <n v="3"/>
    <n v="0.24"/>
    <n v="0.2424"/>
    <n v="0.75"/>
    <n v="0.16420000000000001"/>
    <n v="0"/>
    <n v="2"/>
    <n v="2"/>
    <x v="2"/>
  </r>
  <r>
    <n v="459"/>
    <d v="2012-04-03T00:00:00"/>
    <n v="1"/>
    <n v="0"/>
    <n v="1"/>
    <n v="3"/>
    <x v="0"/>
    <n v="5"/>
    <n v="3"/>
    <n v="0.22"/>
    <n v="0.21210000000000001"/>
    <n v="0.8"/>
    <n v="0.29849999999999999"/>
    <n v="0"/>
    <n v="1"/>
    <n v="1"/>
    <x v="3"/>
  </r>
  <r>
    <n v="460"/>
    <d v="2012-04-04T00:00:00"/>
    <n v="1"/>
    <n v="0"/>
    <n v="1"/>
    <n v="4"/>
    <x v="0"/>
    <n v="5"/>
    <n v="2"/>
    <n v="0.22"/>
    <n v="0.2576"/>
    <n v="0.87"/>
    <n v="8.9599999999999999E-2"/>
    <n v="0"/>
    <n v="1"/>
    <n v="1"/>
    <x v="4"/>
  </r>
  <r>
    <n v="461"/>
    <d v="2012-04-05T00:00:00"/>
    <n v="1"/>
    <n v="0"/>
    <n v="1"/>
    <n v="5"/>
    <x v="0"/>
    <n v="5"/>
    <n v="1"/>
    <n v="0.24"/>
    <n v="0.19700000000000001"/>
    <n v="0.6"/>
    <n v="0.41789999999999999"/>
    <n v="1"/>
    <n v="4"/>
    <n v="5"/>
    <x v="5"/>
  </r>
  <r>
    <n v="462"/>
    <d v="2012-04-06T00:00:00"/>
    <n v="1"/>
    <n v="0"/>
    <n v="1"/>
    <n v="6"/>
    <x v="0"/>
    <n v="5"/>
    <n v="1"/>
    <n v="0.22"/>
    <n v="0.21210000000000001"/>
    <n v="0.55000000000000004"/>
    <n v="0.25369999999999998"/>
    <n v="0"/>
    <n v="27"/>
    <n v="27"/>
    <x v="6"/>
  </r>
  <r>
    <n v="463"/>
    <d v="2012-04-07T00:00:00"/>
    <n v="1"/>
    <n v="0"/>
    <n v="1"/>
    <n v="7"/>
    <x v="0"/>
    <n v="5"/>
    <n v="1"/>
    <n v="0.2"/>
    <n v="0.18179999999999999"/>
    <n v="0.51"/>
    <n v="0.28360000000000002"/>
    <n v="2"/>
    <n v="66"/>
    <n v="68"/>
    <x v="0"/>
  </r>
  <r>
    <n v="464"/>
    <d v="2012-04-08T00:00:00"/>
    <n v="1"/>
    <n v="0"/>
    <n v="1"/>
    <n v="8"/>
    <x v="0"/>
    <n v="5"/>
    <n v="1"/>
    <n v="0.2"/>
    <n v="0.18179999999999999"/>
    <n v="0.47"/>
    <n v="0.32840000000000003"/>
    <n v="7"/>
    <n v="210"/>
    <n v="217"/>
    <x v="1"/>
  </r>
  <r>
    <n v="465"/>
    <d v="2012-04-09T00:00:00"/>
    <n v="1"/>
    <n v="0"/>
    <n v="1"/>
    <n v="9"/>
    <x v="0"/>
    <n v="5"/>
    <n v="1"/>
    <n v="0.2"/>
    <n v="0.18179999999999999"/>
    <n v="0.51"/>
    <n v="0.35820000000000002"/>
    <n v="7"/>
    <n v="159"/>
    <n v="166"/>
    <x v="2"/>
  </r>
  <r>
    <n v="466"/>
    <d v="2012-04-10T00:00:00"/>
    <n v="1"/>
    <n v="0"/>
    <n v="1"/>
    <n v="10"/>
    <x v="0"/>
    <n v="5"/>
    <n v="1"/>
    <n v="0.2"/>
    <n v="0.16669999999999999"/>
    <n v="0.47"/>
    <n v="0.4627"/>
    <n v="6"/>
    <n v="57"/>
    <n v="63"/>
    <x v="3"/>
  </r>
  <r>
    <n v="467"/>
    <d v="2012-04-11T00:00:00"/>
    <n v="1"/>
    <n v="0"/>
    <n v="1"/>
    <n v="11"/>
    <x v="0"/>
    <n v="5"/>
    <n v="1"/>
    <n v="0.22"/>
    <n v="0.18179999999999999"/>
    <n v="0.41"/>
    <n v="0.4627"/>
    <n v="6"/>
    <n v="53"/>
    <n v="59"/>
    <x v="4"/>
  </r>
  <r>
    <n v="468"/>
    <d v="2012-04-12T00:00:00"/>
    <n v="1"/>
    <n v="0"/>
    <n v="1"/>
    <n v="12"/>
    <x v="0"/>
    <n v="5"/>
    <n v="1"/>
    <n v="0.22"/>
    <n v="0.18179999999999999"/>
    <n v="0.27"/>
    <n v="0.58209999999999995"/>
    <n v="11"/>
    <n v="67"/>
    <n v="78"/>
    <x v="5"/>
  </r>
  <r>
    <n v="469"/>
    <d v="2012-04-13T00:00:00"/>
    <n v="1"/>
    <n v="0"/>
    <n v="1"/>
    <n v="13"/>
    <x v="0"/>
    <n v="5"/>
    <n v="1"/>
    <n v="0.2"/>
    <n v="0.1515"/>
    <n v="0.21"/>
    <n v="0.58209999999999995"/>
    <n v="8"/>
    <n v="65"/>
    <n v="73"/>
    <x v="6"/>
  </r>
  <r>
    <n v="470"/>
    <d v="2012-04-14T00:00:00"/>
    <n v="1"/>
    <n v="0"/>
    <n v="1"/>
    <n v="14"/>
    <x v="0"/>
    <n v="5"/>
    <n v="1"/>
    <n v="0.2"/>
    <n v="0.1515"/>
    <n v="0.25"/>
    <n v="0.52239999999999998"/>
    <n v="6"/>
    <n v="56"/>
    <n v="62"/>
    <x v="0"/>
  </r>
  <r>
    <n v="471"/>
    <d v="2012-04-15T00:00:00"/>
    <n v="1"/>
    <n v="0"/>
    <n v="1"/>
    <n v="15"/>
    <x v="0"/>
    <n v="5"/>
    <n v="1"/>
    <n v="0.16"/>
    <n v="0.1212"/>
    <n v="0.26"/>
    <n v="0.44779999999999998"/>
    <n v="4"/>
    <n v="61"/>
    <n v="65"/>
    <x v="1"/>
  </r>
  <r>
    <n v="472"/>
    <d v="2012-04-16T00:00:00"/>
    <n v="1"/>
    <n v="0"/>
    <n v="1"/>
    <n v="16"/>
    <x v="0"/>
    <n v="5"/>
    <n v="1"/>
    <n v="0.16"/>
    <n v="0.13639999999999999"/>
    <n v="0.26"/>
    <n v="0.35820000000000002"/>
    <n v="0"/>
    <n v="97"/>
    <n v="97"/>
    <x v="2"/>
  </r>
  <r>
    <n v="473"/>
    <d v="2012-04-17T00:00:00"/>
    <n v="1"/>
    <n v="0"/>
    <n v="1"/>
    <n v="17"/>
    <x v="0"/>
    <n v="5"/>
    <n v="1"/>
    <n v="0.14000000000000001"/>
    <n v="0.1212"/>
    <n v="0.28000000000000003"/>
    <n v="0.35820000000000002"/>
    <n v="10"/>
    <n v="151"/>
    <n v="161"/>
    <x v="3"/>
  </r>
  <r>
    <n v="474"/>
    <d v="2012-04-18T00:00:00"/>
    <n v="1"/>
    <n v="0"/>
    <n v="1"/>
    <n v="18"/>
    <x v="0"/>
    <n v="5"/>
    <n v="1"/>
    <n v="0.12"/>
    <n v="0.1212"/>
    <n v="0.3"/>
    <n v="0.25369999999999998"/>
    <n v="1"/>
    <n v="119"/>
    <n v="120"/>
    <x v="4"/>
  </r>
  <r>
    <n v="475"/>
    <d v="2012-04-19T00:00:00"/>
    <n v="1"/>
    <n v="0"/>
    <n v="1"/>
    <n v="19"/>
    <x v="0"/>
    <n v="5"/>
    <n v="1"/>
    <n v="0.12"/>
    <n v="0.1061"/>
    <n v="0.3"/>
    <n v="0.32840000000000003"/>
    <n v="3"/>
    <n v="93"/>
    <n v="96"/>
    <x v="5"/>
  </r>
  <r>
    <n v="476"/>
    <d v="2012-04-20T00:00:00"/>
    <n v="1"/>
    <n v="0"/>
    <n v="1"/>
    <n v="20"/>
    <x v="0"/>
    <n v="5"/>
    <n v="1"/>
    <n v="0.1"/>
    <n v="7.5800000000000006E-2"/>
    <n v="0.33"/>
    <n v="0.41789999999999999"/>
    <n v="1"/>
    <n v="52"/>
    <n v="53"/>
    <x v="6"/>
  </r>
  <r>
    <n v="477"/>
    <d v="2012-04-21T00:00:00"/>
    <n v="1"/>
    <n v="0"/>
    <n v="1"/>
    <n v="21"/>
    <x v="0"/>
    <n v="5"/>
    <n v="1"/>
    <n v="0.08"/>
    <n v="7.5800000000000006E-2"/>
    <n v="0.38"/>
    <n v="0.28360000000000002"/>
    <n v="0"/>
    <n v="41"/>
    <n v="41"/>
    <x v="0"/>
  </r>
  <r>
    <n v="478"/>
    <d v="2012-04-22T00:00:00"/>
    <n v="1"/>
    <n v="0"/>
    <n v="1"/>
    <n v="22"/>
    <x v="0"/>
    <n v="5"/>
    <n v="1"/>
    <n v="0.06"/>
    <n v="3.0300000000000001E-2"/>
    <n v="0.41"/>
    <n v="0.3881"/>
    <n v="1"/>
    <n v="33"/>
    <n v="34"/>
    <x v="1"/>
  </r>
  <r>
    <n v="479"/>
    <d v="2012-04-23T00:00:00"/>
    <n v="1"/>
    <n v="0"/>
    <n v="1"/>
    <n v="23"/>
    <x v="0"/>
    <n v="5"/>
    <n v="1"/>
    <n v="0.06"/>
    <n v="4.5499999999999999E-2"/>
    <n v="0.38"/>
    <n v="0.32840000000000003"/>
    <n v="0"/>
    <n v="27"/>
    <n v="27"/>
    <x v="2"/>
  </r>
  <r>
    <n v="480"/>
    <d v="2012-04-24T00:00:00"/>
    <n v="1"/>
    <n v="0"/>
    <n v="1"/>
    <n v="0"/>
    <x v="0"/>
    <n v="6"/>
    <n v="1"/>
    <n v="0.04"/>
    <n v="3.0300000000000001E-2"/>
    <n v="0.45"/>
    <n v="0.25369999999999998"/>
    <n v="0"/>
    <n v="13"/>
    <n v="13"/>
    <x v="3"/>
  </r>
  <r>
    <n v="481"/>
    <d v="2012-04-25T00:00:00"/>
    <n v="1"/>
    <n v="0"/>
    <n v="1"/>
    <n v="1"/>
    <x v="0"/>
    <n v="6"/>
    <n v="2"/>
    <n v="0.04"/>
    <n v="0"/>
    <n v="0.41"/>
    <n v="0.3881"/>
    <n v="3"/>
    <n v="9"/>
    <n v="12"/>
    <x v="4"/>
  </r>
  <r>
    <n v="482"/>
    <d v="2012-04-26T00:00:00"/>
    <n v="1"/>
    <n v="0"/>
    <n v="1"/>
    <n v="2"/>
    <x v="0"/>
    <n v="6"/>
    <n v="2"/>
    <n v="0.04"/>
    <n v="3.0300000000000001E-2"/>
    <n v="0.41"/>
    <n v="0.25369999999999998"/>
    <n v="0"/>
    <n v="11"/>
    <n v="11"/>
    <x v="5"/>
  </r>
  <r>
    <n v="483"/>
    <d v="2012-04-27T00:00:00"/>
    <n v="1"/>
    <n v="0"/>
    <n v="1"/>
    <n v="3"/>
    <x v="0"/>
    <n v="6"/>
    <n v="2"/>
    <n v="0.04"/>
    <n v="3.0300000000000001E-2"/>
    <n v="0.41"/>
    <n v="0.28360000000000002"/>
    <n v="1"/>
    <n v="6"/>
    <n v="7"/>
    <x v="6"/>
  </r>
  <r>
    <n v="484"/>
    <d v="2012-04-28T00:00:00"/>
    <n v="1"/>
    <n v="0"/>
    <n v="1"/>
    <n v="4"/>
    <x v="0"/>
    <n v="6"/>
    <n v="2"/>
    <n v="0.02"/>
    <n v="1.52E-2"/>
    <n v="0.48"/>
    <n v="0.29849999999999999"/>
    <n v="0"/>
    <n v="3"/>
    <n v="3"/>
    <x v="0"/>
  </r>
  <r>
    <n v="485"/>
    <d v="2012-04-29T00:00:00"/>
    <n v="1"/>
    <n v="0"/>
    <n v="1"/>
    <n v="6"/>
    <x v="0"/>
    <n v="6"/>
    <n v="2"/>
    <n v="0.02"/>
    <n v="3.0300000000000001E-2"/>
    <n v="0.44"/>
    <n v="0.22389999999999999"/>
    <n v="0"/>
    <n v="2"/>
    <n v="2"/>
    <x v="1"/>
  </r>
  <r>
    <n v="486"/>
    <d v="2012-04-30T00:00:00"/>
    <n v="1"/>
    <n v="0"/>
    <n v="1"/>
    <n v="7"/>
    <x v="0"/>
    <n v="6"/>
    <n v="1"/>
    <n v="0.02"/>
    <n v="1.52E-2"/>
    <n v="0.44"/>
    <n v="0.28360000000000002"/>
    <n v="0"/>
    <n v="8"/>
    <n v="8"/>
    <x v="2"/>
  </r>
  <r>
    <n v="487"/>
    <d v="2012-05-01T00:00:00"/>
    <n v="1"/>
    <n v="0"/>
    <n v="1"/>
    <n v="8"/>
    <x v="0"/>
    <n v="6"/>
    <n v="1"/>
    <n v="0.02"/>
    <n v="0"/>
    <n v="0.44"/>
    <n v="0.32840000000000003"/>
    <n v="1"/>
    <n v="26"/>
    <n v="27"/>
    <x v="3"/>
  </r>
  <r>
    <n v="488"/>
    <d v="2012-05-02T00:00:00"/>
    <n v="1"/>
    <n v="0"/>
    <n v="1"/>
    <n v="9"/>
    <x v="0"/>
    <n v="6"/>
    <n v="1"/>
    <n v="0.04"/>
    <n v="3.0300000000000001E-2"/>
    <n v="0.41"/>
    <n v="0.25369999999999998"/>
    <n v="3"/>
    <n v="37"/>
    <n v="40"/>
    <x v="4"/>
  </r>
  <r>
    <n v="489"/>
    <d v="2012-05-03T00:00:00"/>
    <n v="1"/>
    <n v="0"/>
    <n v="1"/>
    <n v="10"/>
    <x v="0"/>
    <n v="6"/>
    <n v="2"/>
    <n v="0.04"/>
    <n v="6.0600000000000001E-2"/>
    <n v="0.41"/>
    <n v="0.16420000000000001"/>
    <n v="3"/>
    <n v="50"/>
    <n v="53"/>
    <x v="5"/>
  </r>
  <r>
    <n v="490"/>
    <d v="2012-05-04T00:00:00"/>
    <n v="1"/>
    <n v="0"/>
    <n v="1"/>
    <n v="11"/>
    <x v="0"/>
    <n v="6"/>
    <n v="2"/>
    <n v="0.06"/>
    <n v="7.5800000000000006E-2"/>
    <n v="0.38"/>
    <n v="0.1343"/>
    <n v="4"/>
    <n v="59"/>
    <n v="63"/>
    <x v="6"/>
  </r>
  <r>
    <n v="491"/>
    <d v="2012-05-05T00:00:00"/>
    <n v="1"/>
    <n v="0"/>
    <n v="1"/>
    <n v="12"/>
    <x v="0"/>
    <n v="6"/>
    <n v="2"/>
    <n v="0.06"/>
    <n v="0.1061"/>
    <n v="0.38"/>
    <n v="0.1045"/>
    <n v="10"/>
    <n v="60"/>
    <n v="70"/>
    <x v="0"/>
  </r>
  <r>
    <n v="492"/>
    <d v="2012-05-06T00:00:00"/>
    <n v="1"/>
    <n v="0"/>
    <n v="1"/>
    <n v="13"/>
    <x v="0"/>
    <n v="6"/>
    <n v="1"/>
    <n v="0.08"/>
    <n v="0.16669999999999999"/>
    <n v="0.35"/>
    <n v="0"/>
    <n v="12"/>
    <n v="72"/>
    <n v="84"/>
    <x v="1"/>
  </r>
  <r>
    <n v="493"/>
    <d v="2012-05-07T00:00:00"/>
    <n v="1"/>
    <n v="0"/>
    <n v="1"/>
    <n v="14"/>
    <x v="0"/>
    <n v="6"/>
    <n v="1"/>
    <n v="0.1"/>
    <n v="0.13639999999999999"/>
    <n v="0.33"/>
    <n v="0.1045"/>
    <n v="11"/>
    <n v="64"/>
    <n v="75"/>
    <x v="2"/>
  </r>
  <r>
    <n v="494"/>
    <d v="2012-05-08T00:00:00"/>
    <n v="1"/>
    <n v="0"/>
    <n v="1"/>
    <n v="15"/>
    <x v="0"/>
    <n v="6"/>
    <n v="1"/>
    <n v="0.12"/>
    <n v="0.1515"/>
    <n v="0.28000000000000003"/>
    <n v="0"/>
    <n v="10"/>
    <n v="93"/>
    <n v="103"/>
    <x v="3"/>
  </r>
  <r>
    <n v="495"/>
    <d v="2012-05-09T00:00:00"/>
    <n v="1"/>
    <n v="0"/>
    <n v="1"/>
    <n v="16"/>
    <x v="0"/>
    <n v="6"/>
    <n v="1"/>
    <n v="0.12"/>
    <n v="0.13639999999999999"/>
    <n v="0.28000000000000003"/>
    <n v="0.19400000000000001"/>
    <n v="11"/>
    <n v="72"/>
    <n v="83"/>
    <x v="4"/>
  </r>
  <r>
    <n v="496"/>
    <d v="2012-05-10T00:00:00"/>
    <n v="1"/>
    <n v="0"/>
    <n v="1"/>
    <n v="17"/>
    <x v="0"/>
    <n v="6"/>
    <n v="1"/>
    <n v="0.12"/>
    <n v="0.19700000000000001"/>
    <n v="0.28000000000000003"/>
    <n v="0"/>
    <n v="8"/>
    <n v="59"/>
    <n v="67"/>
    <x v="5"/>
  </r>
  <r>
    <n v="497"/>
    <d v="2012-05-11T00:00:00"/>
    <n v="1"/>
    <n v="0"/>
    <n v="1"/>
    <n v="18"/>
    <x v="0"/>
    <n v="6"/>
    <n v="1"/>
    <n v="0.08"/>
    <n v="9.0899999999999995E-2"/>
    <n v="0.35"/>
    <n v="0.19400000000000001"/>
    <n v="0"/>
    <n v="54"/>
    <n v="54"/>
    <x v="6"/>
  </r>
  <r>
    <n v="498"/>
    <d v="2012-05-12T00:00:00"/>
    <n v="1"/>
    <n v="0"/>
    <n v="1"/>
    <n v="19"/>
    <x v="0"/>
    <n v="6"/>
    <n v="1"/>
    <n v="0.08"/>
    <n v="0.1061"/>
    <n v="0.35"/>
    <n v="0.1343"/>
    <n v="6"/>
    <n v="53"/>
    <n v="59"/>
    <x v="0"/>
  </r>
  <r>
    <n v="499"/>
    <d v="2012-05-13T00:00:00"/>
    <n v="1"/>
    <n v="0"/>
    <n v="1"/>
    <n v="20"/>
    <x v="0"/>
    <n v="6"/>
    <n v="1"/>
    <n v="0.06"/>
    <n v="7.5800000000000006E-2"/>
    <n v="0.45"/>
    <n v="0.16420000000000001"/>
    <n v="1"/>
    <n v="44"/>
    <n v="45"/>
    <x v="1"/>
  </r>
  <r>
    <n v="500"/>
    <d v="2012-05-14T00:00:00"/>
    <n v="1"/>
    <n v="0"/>
    <n v="1"/>
    <n v="21"/>
    <x v="0"/>
    <n v="6"/>
    <n v="1"/>
    <n v="0.06"/>
    <n v="0.1061"/>
    <n v="0.41"/>
    <n v="8.9599999999999999E-2"/>
    <n v="0"/>
    <n v="39"/>
    <n v="39"/>
    <x v="2"/>
  </r>
  <r>
    <n v="501"/>
    <d v="2012-05-15T00:00:00"/>
    <n v="1"/>
    <n v="0"/>
    <n v="1"/>
    <n v="22"/>
    <x v="0"/>
    <n v="6"/>
    <n v="1"/>
    <n v="0.06"/>
    <n v="0.1515"/>
    <n v="0.49"/>
    <n v="0"/>
    <n v="7"/>
    <n v="23"/>
    <n v="30"/>
    <x v="3"/>
  </r>
  <r>
    <n v="502"/>
    <d v="2012-05-16T00:00:00"/>
    <n v="1"/>
    <n v="0"/>
    <n v="1"/>
    <n v="23"/>
    <x v="0"/>
    <n v="6"/>
    <n v="1"/>
    <n v="0.04"/>
    <n v="7.5800000000000006E-2"/>
    <n v="0.56999999999999995"/>
    <n v="0.1045"/>
    <n v="2"/>
    <n v="31"/>
    <n v="33"/>
    <x v="4"/>
  </r>
  <r>
    <n v="503"/>
    <d v="2012-05-17T00:00:00"/>
    <n v="1"/>
    <n v="0"/>
    <n v="1"/>
    <n v="0"/>
    <x v="0"/>
    <n v="0"/>
    <n v="1"/>
    <n v="0.04"/>
    <n v="7.5800000000000006E-2"/>
    <n v="0.56999999999999995"/>
    <n v="0.1045"/>
    <n v="2"/>
    <n v="20"/>
    <n v="22"/>
    <x v="5"/>
  </r>
  <r>
    <n v="504"/>
    <d v="2012-05-18T00:00:00"/>
    <n v="1"/>
    <n v="0"/>
    <n v="1"/>
    <n v="1"/>
    <x v="0"/>
    <n v="0"/>
    <n v="1"/>
    <n v="0.04"/>
    <n v="7.5800000000000006E-2"/>
    <n v="0.56999999999999995"/>
    <n v="0.1045"/>
    <n v="1"/>
    <n v="12"/>
    <n v="13"/>
    <x v="6"/>
  </r>
  <r>
    <n v="505"/>
    <d v="2012-05-19T00:00:00"/>
    <n v="1"/>
    <n v="0"/>
    <n v="1"/>
    <n v="2"/>
    <x v="0"/>
    <n v="0"/>
    <n v="1"/>
    <n v="0.02"/>
    <n v="6.0600000000000001E-2"/>
    <n v="0.62"/>
    <n v="0.1343"/>
    <n v="3"/>
    <n v="15"/>
    <n v="18"/>
    <x v="0"/>
  </r>
  <r>
    <n v="506"/>
    <d v="2012-05-20T00:00:00"/>
    <n v="1"/>
    <n v="0"/>
    <n v="1"/>
    <n v="3"/>
    <x v="0"/>
    <n v="0"/>
    <n v="1"/>
    <n v="0.02"/>
    <n v="6.0600000000000001E-2"/>
    <n v="0.62"/>
    <n v="0.1343"/>
    <n v="1"/>
    <n v="4"/>
    <n v="5"/>
    <x v="1"/>
  </r>
  <r>
    <n v="507"/>
    <d v="2012-05-21T00:00:00"/>
    <n v="1"/>
    <n v="0"/>
    <n v="1"/>
    <n v="5"/>
    <x v="0"/>
    <n v="0"/>
    <n v="2"/>
    <n v="0.04"/>
    <n v="7.5800000000000006E-2"/>
    <n v="0.56999999999999995"/>
    <n v="0.1045"/>
    <n v="0"/>
    <n v="3"/>
    <n v="3"/>
    <x v="2"/>
  </r>
  <r>
    <n v="508"/>
    <d v="2012-05-22T00:00:00"/>
    <n v="1"/>
    <n v="0"/>
    <n v="1"/>
    <n v="6"/>
    <x v="0"/>
    <n v="0"/>
    <n v="2"/>
    <n v="0.04"/>
    <n v="7.5800000000000006E-2"/>
    <n v="0.56999999999999995"/>
    <n v="0.1045"/>
    <n v="0"/>
    <n v="1"/>
    <n v="1"/>
    <x v="3"/>
  </r>
  <r>
    <n v="509"/>
    <d v="2012-05-23T00:00:00"/>
    <n v="1"/>
    <n v="0"/>
    <n v="1"/>
    <n v="7"/>
    <x v="0"/>
    <n v="0"/>
    <n v="1"/>
    <n v="0.08"/>
    <n v="0.1061"/>
    <n v="0.57999999999999996"/>
    <n v="0.16420000000000001"/>
    <n v="1"/>
    <n v="1"/>
    <n v="2"/>
    <x v="4"/>
  </r>
  <r>
    <n v="510"/>
    <d v="2012-05-24T00:00:00"/>
    <n v="1"/>
    <n v="0"/>
    <n v="1"/>
    <n v="8"/>
    <x v="0"/>
    <n v="0"/>
    <n v="1"/>
    <n v="0.06"/>
    <n v="7.5800000000000006E-2"/>
    <n v="0.62"/>
    <n v="0.16420000000000001"/>
    <n v="2"/>
    <n v="17"/>
    <n v="19"/>
    <x v="5"/>
  </r>
  <r>
    <n v="511"/>
    <d v="2012-05-25T00:00:00"/>
    <n v="1"/>
    <n v="0"/>
    <n v="1"/>
    <n v="9"/>
    <x v="0"/>
    <n v="0"/>
    <n v="1"/>
    <n v="0.1"/>
    <n v="7.5800000000000006E-2"/>
    <n v="0.54"/>
    <n v="0.35820000000000002"/>
    <n v="3"/>
    <n v="25"/>
    <n v="28"/>
    <x v="6"/>
  </r>
  <r>
    <n v="512"/>
    <d v="2012-05-26T00:00:00"/>
    <n v="1"/>
    <n v="0"/>
    <n v="1"/>
    <n v="10"/>
    <x v="0"/>
    <n v="0"/>
    <n v="1"/>
    <n v="0.14000000000000001"/>
    <n v="0.1061"/>
    <n v="0.46"/>
    <n v="0.3881"/>
    <n v="7"/>
    <n v="51"/>
    <n v="58"/>
    <x v="0"/>
  </r>
  <r>
    <n v="513"/>
    <d v="2012-05-27T00:00:00"/>
    <n v="1"/>
    <n v="0"/>
    <n v="1"/>
    <n v="11"/>
    <x v="0"/>
    <n v="0"/>
    <n v="1"/>
    <n v="0.14000000000000001"/>
    <n v="0.13639999999999999"/>
    <n v="0.43"/>
    <n v="0.22389999999999999"/>
    <n v="22"/>
    <n v="77"/>
    <n v="99"/>
    <x v="1"/>
  </r>
  <r>
    <n v="514"/>
    <d v="2012-05-28T00:00:00"/>
    <n v="1"/>
    <n v="0"/>
    <n v="1"/>
    <n v="12"/>
    <x v="0"/>
    <n v="0"/>
    <n v="1"/>
    <n v="0.16"/>
    <n v="0.1212"/>
    <n v="0.37"/>
    <n v="0.4627"/>
    <n v="24"/>
    <n v="92"/>
    <n v="116"/>
    <x v="2"/>
  </r>
  <r>
    <n v="515"/>
    <d v="2012-05-29T00:00:00"/>
    <n v="1"/>
    <n v="0"/>
    <n v="1"/>
    <n v="13"/>
    <x v="0"/>
    <n v="0"/>
    <n v="1"/>
    <n v="0.14000000000000001"/>
    <n v="0.1061"/>
    <n v="0.33"/>
    <n v="0.3881"/>
    <n v="12"/>
    <n v="75"/>
    <n v="87"/>
    <x v="3"/>
  </r>
  <r>
    <n v="516"/>
    <d v="2012-05-30T00:00:00"/>
    <n v="1"/>
    <n v="0"/>
    <n v="1"/>
    <n v="14"/>
    <x v="0"/>
    <n v="0"/>
    <n v="1"/>
    <n v="0.16"/>
    <n v="0.13639999999999999"/>
    <n v="0.28000000000000003"/>
    <n v="0.35820000000000002"/>
    <n v="17"/>
    <n v="93"/>
    <n v="110"/>
    <x v="4"/>
  </r>
  <r>
    <n v="517"/>
    <d v="2012-05-31T00:00:00"/>
    <n v="1"/>
    <n v="0"/>
    <n v="1"/>
    <n v="15"/>
    <x v="0"/>
    <n v="0"/>
    <n v="1"/>
    <n v="0.16"/>
    <n v="0.13639999999999999"/>
    <n v="0.28000000000000003"/>
    <n v="0.35820000000000002"/>
    <n v="13"/>
    <n v="64"/>
    <n v="77"/>
    <x v="5"/>
  </r>
  <r>
    <n v="518"/>
    <d v="2012-06-01T00:00:00"/>
    <n v="1"/>
    <n v="0"/>
    <n v="1"/>
    <n v="16"/>
    <x v="0"/>
    <n v="0"/>
    <n v="1"/>
    <n v="0.16"/>
    <n v="0.13639999999999999"/>
    <n v="0.26"/>
    <n v="0.32840000000000003"/>
    <n v="9"/>
    <n v="56"/>
    <n v="65"/>
    <x v="6"/>
  </r>
  <r>
    <n v="519"/>
    <d v="2012-06-02T00:00:00"/>
    <n v="1"/>
    <n v="0"/>
    <n v="1"/>
    <n v="17"/>
    <x v="0"/>
    <n v="0"/>
    <n v="1"/>
    <n v="0.14000000000000001"/>
    <n v="0.1061"/>
    <n v="0.26"/>
    <n v="0.3881"/>
    <n v="5"/>
    <n v="50"/>
    <n v="55"/>
    <x v="0"/>
  </r>
  <r>
    <n v="520"/>
    <d v="2012-06-03T00:00:00"/>
    <n v="1"/>
    <n v="0"/>
    <n v="1"/>
    <n v="18"/>
    <x v="0"/>
    <n v="0"/>
    <n v="1"/>
    <n v="0.12"/>
    <n v="0.1212"/>
    <n v="0.3"/>
    <n v="0.25369999999999998"/>
    <n v="5"/>
    <n v="44"/>
    <n v="49"/>
    <x v="1"/>
  </r>
  <r>
    <n v="521"/>
    <d v="2012-06-04T00:00:00"/>
    <n v="1"/>
    <n v="0"/>
    <n v="1"/>
    <n v="19"/>
    <x v="0"/>
    <n v="0"/>
    <n v="1"/>
    <n v="0.12"/>
    <n v="0.1212"/>
    <n v="0.3"/>
    <n v="0.28360000000000002"/>
    <n v="5"/>
    <n v="45"/>
    <n v="50"/>
    <x v="2"/>
  </r>
  <r>
    <n v="522"/>
    <d v="2012-06-05T00:00:00"/>
    <n v="1"/>
    <n v="0"/>
    <n v="1"/>
    <n v="20"/>
    <x v="0"/>
    <n v="0"/>
    <n v="1"/>
    <n v="0.1"/>
    <n v="0.1061"/>
    <n v="0.36"/>
    <n v="0.25369999999999998"/>
    <n v="4"/>
    <n v="31"/>
    <n v="35"/>
    <x v="3"/>
  </r>
  <r>
    <n v="523"/>
    <d v="2012-06-06T00:00:00"/>
    <n v="1"/>
    <n v="0"/>
    <n v="1"/>
    <n v="21"/>
    <x v="0"/>
    <n v="0"/>
    <n v="1"/>
    <n v="0.1"/>
    <n v="0.1061"/>
    <n v="0.36"/>
    <n v="0.19400000000000001"/>
    <n v="5"/>
    <n v="20"/>
    <n v="25"/>
    <x v="4"/>
  </r>
  <r>
    <n v="524"/>
    <d v="2012-06-07T00:00:00"/>
    <n v="1"/>
    <n v="0"/>
    <n v="1"/>
    <n v="22"/>
    <x v="0"/>
    <n v="0"/>
    <n v="1"/>
    <n v="0.08"/>
    <n v="9.0899999999999995E-2"/>
    <n v="0.38"/>
    <n v="0.19400000000000001"/>
    <n v="5"/>
    <n v="23"/>
    <n v="28"/>
    <x v="5"/>
  </r>
  <r>
    <n v="525"/>
    <d v="2012-06-08T00:00:00"/>
    <n v="1"/>
    <n v="0"/>
    <n v="1"/>
    <n v="23"/>
    <x v="0"/>
    <n v="0"/>
    <n v="1"/>
    <n v="0.06"/>
    <n v="6.0600000000000001E-2"/>
    <n v="0.41"/>
    <n v="0.22389999999999999"/>
    <n v="4"/>
    <n v="17"/>
    <n v="21"/>
    <x v="6"/>
  </r>
  <r>
    <n v="526"/>
    <d v="2012-06-09T00:00:00"/>
    <n v="1"/>
    <n v="0"/>
    <n v="1"/>
    <n v="0"/>
    <x v="0"/>
    <n v="1"/>
    <n v="1"/>
    <n v="0.06"/>
    <n v="6.0600000000000001E-2"/>
    <n v="0.41"/>
    <n v="0.19400000000000001"/>
    <n v="0"/>
    <n v="7"/>
    <n v="7"/>
    <x v="0"/>
  </r>
  <r>
    <n v="527"/>
    <d v="2012-06-10T00:00:00"/>
    <n v="1"/>
    <n v="0"/>
    <n v="1"/>
    <n v="1"/>
    <x v="0"/>
    <n v="1"/>
    <n v="1"/>
    <n v="0.04"/>
    <n v="4.5499999999999999E-2"/>
    <n v="0.45"/>
    <n v="0.19400000000000001"/>
    <n v="0"/>
    <n v="1"/>
    <n v="1"/>
    <x v="1"/>
  </r>
  <r>
    <n v="528"/>
    <d v="2012-06-11T00:00:00"/>
    <n v="1"/>
    <n v="0"/>
    <n v="1"/>
    <n v="3"/>
    <x v="0"/>
    <n v="1"/>
    <n v="1"/>
    <n v="0.04"/>
    <n v="3.0300000000000001E-2"/>
    <n v="0.45"/>
    <n v="0.25369999999999998"/>
    <n v="0"/>
    <n v="1"/>
    <n v="1"/>
    <x v="2"/>
  </r>
  <r>
    <n v="529"/>
    <d v="2012-06-12T00:00:00"/>
    <n v="1"/>
    <n v="0"/>
    <n v="1"/>
    <n v="4"/>
    <x v="0"/>
    <n v="1"/>
    <n v="1"/>
    <n v="0.02"/>
    <n v="6.0600000000000001E-2"/>
    <n v="0.48"/>
    <n v="0.1343"/>
    <n v="0"/>
    <n v="1"/>
    <n v="1"/>
    <x v="3"/>
  </r>
  <r>
    <n v="530"/>
    <d v="2012-06-13T00:00:00"/>
    <n v="1"/>
    <n v="0"/>
    <n v="1"/>
    <n v="5"/>
    <x v="0"/>
    <n v="1"/>
    <n v="1"/>
    <n v="0.02"/>
    <n v="6.0600000000000001E-2"/>
    <n v="0.48"/>
    <n v="0.1343"/>
    <n v="0"/>
    <n v="5"/>
    <n v="5"/>
    <x v="4"/>
  </r>
  <r>
    <n v="531"/>
    <d v="2012-06-14T00:00:00"/>
    <n v="1"/>
    <n v="0"/>
    <n v="1"/>
    <n v="6"/>
    <x v="0"/>
    <n v="1"/>
    <n v="1"/>
    <n v="0.02"/>
    <n v="7.5800000000000006E-2"/>
    <n v="0.48"/>
    <n v="8.9599999999999999E-2"/>
    <n v="0"/>
    <n v="15"/>
    <n v="15"/>
    <x v="5"/>
  </r>
  <r>
    <n v="532"/>
    <d v="2012-06-15T00:00:00"/>
    <n v="1"/>
    <n v="0"/>
    <n v="1"/>
    <n v="7"/>
    <x v="0"/>
    <n v="1"/>
    <n v="1"/>
    <n v="0.02"/>
    <n v="0.1212"/>
    <n v="0.48"/>
    <n v="0"/>
    <n v="5"/>
    <n v="79"/>
    <n v="84"/>
    <x v="6"/>
  </r>
  <r>
    <n v="533"/>
    <d v="2012-06-16T00:00:00"/>
    <n v="1"/>
    <n v="0"/>
    <n v="1"/>
    <n v="8"/>
    <x v="0"/>
    <n v="1"/>
    <n v="1"/>
    <n v="0.04"/>
    <n v="0.13639999999999999"/>
    <n v="0.49"/>
    <n v="0"/>
    <n v="6"/>
    <n v="171"/>
    <n v="177"/>
    <x v="0"/>
  </r>
  <r>
    <n v="534"/>
    <d v="2012-06-17T00:00:00"/>
    <n v="1"/>
    <n v="0"/>
    <n v="1"/>
    <n v="9"/>
    <x v="0"/>
    <n v="1"/>
    <n v="1"/>
    <n v="0.06"/>
    <n v="0.1515"/>
    <n v="0.41"/>
    <n v="0"/>
    <n v="4"/>
    <n v="98"/>
    <n v="102"/>
    <x v="1"/>
  </r>
  <r>
    <n v="535"/>
    <d v="2012-06-18T00:00:00"/>
    <n v="1"/>
    <n v="0"/>
    <n v="1"/>
    <n v="10"/>
    <x v="0"/>
    <n v="1"/>
    <n v="1"/>
    <n v="0.1"/>
    <n v="0.13639999999999999"/>
    <n v="0.42"/>
    <n v="0"/>
    <n v="6"/>
    <n v="34"/>
    <n v="40"/>
    <x v="2"/>
  </r>
  <r>
    <n v="536"/>
    <d v="2012-06-19T00:00:00"/>
    <n v="1"/>
    <n v="0"/>
    <n v="1"/>
    <n v="11"/>
    <x v="0"/>
    <n v="1"/>
    <n v="1"/>
    <n v="0.1"/>
    <n v="0.1212"/>
    <n v="0.46"/>
    <n v="0.1343"/>
    <n v="3"/>
    <n v="43"/>
    <n v="46"/>
    <x v="3"/>
  </r>
  <r>
    <n v="537"/>
    <d v="2012-06-20T00:00:00"/>
    <n v="1"/>
    <n v="0"/>
    <n v="1"/>
    <n v="12"/>
    <x v="0"/>
    <n v="1"/>
    <n v="2"/>
    <n v="0.12"/>
    <n v="0.13639999999999999"/>
    <n v="0.42"/>
    <n v="0.19400000000000001"/>
    <n v="11"/>
    <n v="52"/>
    <n v="63"/>
    <x v="4"/>
  </r>
  <r>
    <n v="538"/>
    <d v="2012-06-21T00:00:00"/>
    <n v="1"/>
    <n v="0"/>
    <n v="1"/>
    <n v="13"/>
    <x v="0"/>
    <n v="1"/>
    <n v="2"/>
    <n v="0.14000000000000001"/>
    <n v="0.13639999999999999"/>
    <n v="0.43"/>
    <n v="0.22389999999999999"/>
    <n v="6"/>
    <n v="54"/>
    <n v="60"/>
    <x v="5"/>
  </r>
  <r>
    <n v="539"/>
    <d v="2012-06-22T00:00:00"/>
    <n v="1"/>
    <n v="0"/>
    <n v="1"/>
    <n v="14"/>
    <x v="0"/>
    <n v="1"/>
    <n v="2"/>
    <n v="0.14000000000000001"/>
    <n v="0.13639999999999999"/>
    <n v="0.46"/>
    <n v="0.22389999999999999"/>
    <n v="2"/>
    <n v="43"/>
    <n v="45"/>
    <x v="6"/>
  </r>
  <r>
    <n v="540"/>
    <d v="2012-06-23T00:00:00"/>
    <n v="1"/>
    <n v="0"/>
    <n v="1"/>
    <n v="15"/>
    <x v="0"/>
    <n v="1"/>
    <n v="1"/>
    <n v="0.16"/>
    <n v="0.16669999999999999"/>
    <n v="0.4"/>
    <n v="0.16420000000000001"/>
    <n v="7"/>
    <n v="50"/>
    <n v="57"/>
    <x v="0"/>
  </r>
  <r>
    <n v="541"/>
    <d v="2012-06-24T00:00:00"/>
    <n v="1"/>
    <n v="0"/>
    <n v="1"/>
    <n v="16"/>
    <x v="0"/>
    <n v="1"/>
    <n v="1"/>
    <n v="0.16"/>
    <n v="0.1515"/>
    <n v="0.47"/>
    <n v="0.25369999999999998"/>
    <n v="4"/>
    <n v="66"/>
    <n v="70"/>
    <x v="1"/>
  </r>
  <r>
    <n v="542"/>
    <d v="2012-06-25T00:00:00"/>
    <n v="1"/>
    <n v="0"/>
    <n v="1"/>
    <n v="17"/>
    <x v="0"/>
    <n v="1"/>
    <n v="1"/>
    <n v="0.14000000000000001"/>
    <n v="0.1212"/>
    <n v="0.5"/>
    <n v="0.25369999999999998"/>
    <n v="6"/>
    <n v="178"/>
    <n v="184"/>
    <x v="2"/>
  </r>
  <r>
    <n v="543"/>
    <d v="2012-06-26T00:00:00"/>
    <n v="1"/>
    <n v="0"/>
    <n v="1"/>
    <n v="18"/>
    <x v="0"/>
    <n v="1"/>
    <n v="1"/>
    <n v="0.14000000000000001"/>
    <n v="0.13639999999999999"/>
    <n v="0.59"/>
    <n v="0.19400000000000001"/>
    <n v="8"/>
    <n v="145"/>
    <n v="153"/>
    <x v="3"/>
  </r>
  <r>
    <n v="544"/>
    <d v="2012-06-27T00:00:00"/>
    <n v="1"/>
    <n v="0"/>
    <n v="1"/>
    <n v="19"/>
    <x v="0"/>
    <n v="1"/>
    <n v="1"/>
    <n v="0.14000000000000001"/>
    <n v="0.1515"/>
    <n v="0.54"/>
    <n v="0.16420000000000001"/>
    <n v="5"/>
    <n v="101"/>
    <n v="106"/>
    <x v="4"/>
  </r>
  <r>
    <n v="545"/>
    <d v="2012-06-28T00:00:00"/>
    <n v="1"/>
    <n v="0"/>
    <n v="1"/>
    <n v="20"/>
    <x v="0"/>
    <n v="1"/>
    <n v="1"/>
    <n v="0.14000000000000001"/>
    <n v="0.13639999999999999"/>
    <n v="0.59"/>
    <n v="0.19400000000000001"/>
    <n v="1"/>
    <n v="80"/>
    <n v="81"/>
    <x v="5"/>
  </r>
  <r>
    <n v="546"/>
    <d v="2012-06-29T00:00:00"/>
    <n v="1"/>
    <n v="0"/>
    <n v="1"/>
    <n v="21"/>
    <x v="0"/>
    <n v="1"/>
    <n v="1"/>
    <n v="0.14000000000000001"/>
    <n v="0.1515"/>
    <n v="0.63"/>
    <n v="0.16420000000000001"/>
    <n v="6"/>
    <n v="53"/>
    <n v="59"/>
    <x v="6"/>
  </r>
  <r>
    <n v="547"/>
    <d v="2012-06-30T00:00:00"/>
    <n v="1"/>
    <n v="0"/>
    <n v="1"/>
    <n v="22"/>
    <x v="0"/>
    <n v="1"/>
    <n v="2"/>
    <n v="0.14000000000000001"/>
    <n v="0.13639999999999999"/>
    <n v="0.63"/>
    <n v="0.22389999999999999"/>
    <n v="3"/>
    <n v="32"/>
    <n v="35"/>
    <x v="0"/>
  </r>
  <r>
    <n v="548"/>
    <d v="2012-07-01T00:00:00"/>
    <n v="1"/>
    <n v="0"/>
    <n v="1"/>
    <n v="23"/>
    <x v="0"/>
    <n v="1"/>
    <n v="2"/>
    <n v="0.16"/>
    <n v="0.1515"/>
    <n v="0.64"/>
    <n v="0.25369999999999998"/>
    <n v="3"/>
    <n v="21"/>
    <n v="24"/>
    <x v="1"/>
  </r>
  <r>
    <n v="549"/>
    <d v="2012-07-02T00:00:00"/>
    <n v="1"/>
    <n v="0"/>
    <n v="1"/>
    <n v="0"/>
    <x v="0"/>
    <n v="2"/>
    <n v="2"/>
    <n v="0.16"/>
    <n v="0.13639999999999999"/>
    <n v="0.69"/>
    <n v="0.28360000000000002"/>
    <n v="3"/>
    <n v="6"/>
    <n v="9"/>
    <x v="2"/>
  </r>
  <r>
    <n v="550"/>
    <d v="2012-07-03T00:00:00"/>
    <n v="1"/>
    <n v="0"/>
    <n v="1"/>
    <n v="1"/>
    <x v="0"/>
    <n v="2"/>
    <n v="2"/>
    <n v="0.16"/>
    <n v="0.16669999999999999"/>
    <n v="0.69"/>
    <n v="0.16420000000000001"/>
    <n v="0"/>
    <n v="5"/>
    <n v="5"/>
    <x v="3"/>
  </r>
  <r>
    <n v="551"/>
    <d v="2012-07-04T00:00:00"/>
    <n v="1"/>
    <n v="0"/>
    <n v="1"/>
    <n v="2"/>
    <x v="0"/>
    <n v="2"/>
    <n v="1"/>
    <n v="0.16"/>
    <n v="0.1515"/>
    <n v="0.69"/>
    <n v="0.22389999999999999"/>
    <n v="0"/>
    <n v="2"/>
    <n v="2"/>
    <x v="4"/>
  </r>
  <r>
    <n v="552"/>
    <d v="2012-07-05T00:00:00"/>
    <n v="1"/>
    <n v="0"/>
    <n v="1"/>
    <n v="4"/>
    <x v="0"/>
    <n v="2"/>
    <n v="1"/>
    <n v="0.14000000000000001"/>
    <n v="0.16669999999999999"/>
    <n v="0.74"/>
    <n v="0.1045"/>
    <n v="0"/>
    <n v="1"/>
    <n v="1"/>
    <x v="5"/>
  </r>
  <r>
    <n v="553"/>
    <d v="2012-07-06T00:00:00"/>
    <n v="1"/>
    <n v="0"/>
    <n v="1"/>
    <n v="5"/>
    <x v="0"/>
    <n v="2"/>
    <n v="1"/>
    <n v="0.14000000000000001"/>
    <n v="0.13639999999999999"/>
    <n v="0.74"/>
    <n v="0.22389999999999999"/>
    <n v="0"/>
    <n v="9"/>
    <n v="9"/>
    <x v="6"/>
  </r>
  <r>
    <n v="554"/>
    <d v="2012-07-07T00:00:00"/>
    <n v="1"/>
    <n v="0"/>
    <n v="1"/>
    <n v="6"/>
    <x v="0"/>
    <n v="2"/>
    <n v="1"/>
    <n v="0.16"/>
    <n v="0.18179999999999999"/>
    <n v="0.74"/>
    <n v="0.1045"/>
    <n v="1"/>
    <n v="35"/>
    <n v="36"/>
    <x v="0"/>
  </r>
  <r>
    <n v="555"/>
    <d v="2012-07-08T00:00:00"/>
    <n v="1"/>
    <n v="0"/>
    <n v="1"/>
    <n v="7"/>
    <x v="0"/>
    <n v="2"/>
    <n v="1"/>
    <n v="0.16"/>
    <n v="0.1515"/>
    <n v="0.74"/>
    <n v="0.22389999999999999"/>
    <n v="5"/>
    <n v="103"/>
    <n v="108"/>
    <x v="1"/>
  </r>
  <r>
    <n v="556"/>
    <d v="2012-07-09T00:00:00"/>
    <n v="1"/>
    <n v="0"/>
    <n v="1"/>
    <n v="8"/>
    <x v="0"/>
    <n v="2"/>
    <n v="2"/>
    <n v="0.16"/>
    <n v="0.18179999999999999"/>
    <n v="0.74"/>
    <n v="0.1343"/>
    <n v="5"/>
    <n v="233"/>
    <n v="238"/>
    <x v="2"/>
  </r>
  <r>
    <n v="557"/>
    <d v="2012-07-10T00:00:00"/>
    <n v="1"/>
    <n v="0"/>
    <n v="1"/>
    <n v="9"/>
    <x v="0"/>
    <n v="2"/>
    <n v="2"/>
    <n v="0.2"/>
    <n v="0.2273"/>
    <n v="0.64"/>
    <n v="8.9599999999999999E-2"/>
    <n v="10"/>
    <n v="134"/>
    <n v="144"/>
    <x v="3"/>
  </r>
  <r>
    <n v="558"/>
    <d v="2012-07-11T00:00:00"/>
    <n v="1"/>
    <n v="0"/>
    <n v="1"/>
    <n v="10"/>
    <x v="0"/>
    <n v="2"/>
    <n v="2"/>
    <n v="0.22"/>
    <n v="0.2424"/>
    <n v="0.6"/>
    <n v="0.1045"/>
    <n v="6"/>
    <n v="49"/>
    <n v="55"/>
    <x v="4"/>
  </r>
  <r>
    <n v="559"/>
    <d v="2012-07-12T00:00:00"/>
    <n v="1"/>
    <n v="0"/>
    <n v="1"/>
    <n v="11"/>
    <x v="0"/>
    <n v="2"/>
    <n v="2"/>
    <n v="0.24"/>
    <n v="0.2424"/>
    <n v="0.6"/>
    <n v="0.1343"/>
    <n v="6"/>
    <n v="55"/>
    <n v="61"/>
    <x v="5"/>
  </r>
  <r>
    <n v="560"/>
    <d v="2012-07-13T00:00:00"/>
    <n v="1"/>
    <n v="0"/>
    <n v="1"/>
    <n v="12"/>
    <x v="0"/>
    <n v="2"/>
    <n v="2"/>
    <n v="0.26"/>
    <n v="0.28789999999999999"/>
    <n v="0.56000000000000005"/>
    <n v="8.9599999999999999E-2"/>
    <n v="21"/>
    <n v="85"/>
    <n v="106"/>
    <x v="6"/>
  </r>
  <r>
    <n v="561"/>
    <d v="2012-07-14T00:00:00"/>
    <n v="1"/>
    <n v="0"/>
    <n v="1"/>
    <n v="13"/>
    <x v="0"/>
    <n v="2"/>
    <n v="2"/>
    <n v="0.26"/>
    <n v="0.2727"/>
    <n v="0.56000000000000005"/>
    <n v="0.1343"/>
    <n v="21"/>
    <n v="72"/>
    <n v="93"/>
    <x v="0"/>
  </r>
  <r>
    <n v="562"/>
    <d v="2012-07-15T00:00:00"/>
    <n v="1"/>
    <n v="0"/>
    <n v="1"/>
    <n v="14"/>
    <x v="0"/>
    <n v="2"/>
    <n v="2"/>
    <n v="0.3"/>
    <n v="0.33329999999999999"/>
    <n v="0.45"/>
    <n v="0"/>
    <n v="11"/>
    <n v="57"/>
    <n v="68"/>
    <x v="1"/>
  </r>
  <r>
    <n v="563"/>
    <d v="2012-07-16T00:00:00"/>
    <n v="1"/>
    <n v="0"/>
    <n v="1"/>
    <n v="15"/>
    <x v="0"/>
    <n v="2"/>
    <n v="2"/>
    <n v="0.32"/>
    <n v="0.34849999999999998"/>
    <n v="0.42"/>
    <n v="0"/>
    <n v="21"/>
    <n v="63"/>
    <n v="84"/>
    <x v="2"/>
  </r>
  <r>
    <n v="564"/>
    <d v="2012-07-17T00:00:00"/>
    <n v="1"/>
    <n v="0"/>
    <n v="1"/>
    <n v="16"/>
    <x v="0"/>
    <n v="2"/>
    <n v="2"/>
    <n v="0.32"/>
    <n v="0.34849999999999998"/>
    <n v="0.42"/>
    <n v="0"/>
    <n v="14"/>
    <n v="102"/>
    <n v="116"/>
    <x v="3"/>
  </r>
  <r>
    <n v="565"/>
    <d v="2012-07-18T00:00:00"/>
    <n v="1"/>
    <n v="0"/>
    <n v="1"/>
    <n v="17"/>
    <x v="0"/>
    <n v="2"/>
    <n v="1"/>
    <n v="0.3"/>
    <n v="0.33329999999999999"/>
    <n v="0.45"/>
    <n v="0"/>
    <n v="14"/>
    <n v="208"/>
    <n v="222"/>
    <x v="4"/>
  </r>
  <r>
    <n v="566"/>
    <d v="2012-07-19T00:00:00"/>
    <n v="1"/>
    <n v="0"/>
    <n v="1"/>
    <n v="18"/>
    <x v="0"/>
    <n v="2"/>
    <n v="2"/>
    <n v="0.3"/>
    <n v="0.31819999999999998"/>
    <n v="0.49"/>
    <n v="8.9599999999999999E-2"/>
    <n v="7"/>
    <n v="218"/>
    <n v="225"/>
    <x v="5"/>
  </r>
  <r>
    <n v="567"/>
    <d v="2012-07-20T00:00:00"/>
    <n v="1"/>
    <n v="0"/>
    <n v="1"/>
    <n v="19"/>
    <x v="0"/>
    <n v="2"/>
    <n v="2"/>
    <n v="0.26"/>
    <n v="0.2576"/>
    <n v="0.65"/>
    <n v="0.16420000000000001"/>
    <n v="13"/>
    <n v="133"/>
    <n v="146"/>
    <x v="6"/>
  </r>
  <r>
    <n v="568"/>
    <d v="2012-07-21T00:00:00"/>
    <n v="1"/>
    <n v="0"/>
    <n v="1"/>
    <n v="20"/>
    <x v="0"/>
    <n v="2"/>
    <n v="1"/>
    <n v="0.24"/>
    <n v="0.2273"/>
    <n v="0.65"/>
    <n v="0.19400000000000001"/>
    <n v="16"/>
    <n v="103"/>
    <n v="119"/>
    <x v="0"/>
  </r>
  <r>
    <n v="569"/>
    <d v="2012-07-22T00:00:00"/>
    <n v="1"/>
    <n v="0"/>
    <n v="1"/>
    <n v="21"/>
    <x v="0"/>
    <n v="2"/>
    <n v="1"/>
    <n v="0.24"/>
    <n v="0.2273"/>
    <n v="0.65"/>
    <n v="0.19400000000000001"/>
    <n v="5"/>
    <n v="40"/>
    <n v="45"/>
    <x v="1"/>
  </r>
  <r>
    <n v="570"/>
    <d v="2012-07-23T00:00:00"/>
    <n v="1"/>
    <n v="0"/>
    <n v="1"/>
    <n v="22"/>
    <x v="0"/>
    <n v="2"/>
    <n v="1"/>
    <n v="0.22"/>
    <n v="0.2273"/>
    <n v="0.64"/>
    <n v="0.16420000000000001"/>
    <n v="4"/>
    <n v="49"/>
    <n v="53"/>
    <x v="2"/>
  </r>
  <r>
    <n v="571"/>
    <d v="2012-07-24T00:00:00"/>
    <n v="1"/>
    <n v="0"/>
    <n v="1"/>
    <n v="23"/>
    <x v="0"/>
    <n v="2"/>
    <n v="2"/>
    <n v="0.22"/>
    <n v="0.2273"/>
    <n v="0.64"/>
    <n v="0.16420000000000001"/>
    <n v="3"/>
    <n v="37"/>
    <n v="40"/>
    <x v="3"/>
  </r>
  <r>
    <n v="572"/>
    <d v="2012-07-25T00:00:00"/>
    <n v="1"/>
    <n v="0"/>
    <n v="1"/>
    <n v="0"/>
    <x v="0"/>
    <n v="3"/>
    <n v="2"/>
    <n v="0.22"/>
    <n v="0.2273"/>
    <n v="0.69"/>
    <n v="0.1343"/>
    <n v="3"/>
    <n v="14"/>
    <n v="17"/>
    <x v="4"/>
  </r>
  <r>
    <n v="573"/>
    <d v="2012-07-26T00:00:00"/>
    <n v="1"/>
    <n v="0"/>
    <n v="1"/>
    <n v="1"/>
    <x v="0"/>
    <n v="3"/>
    <n v="2"/>
    <n v="0.24"/>
    <n v="0.2424"/>
    <n v="0.65"/>
    <n v="0.1343"/>
    <n v="0"/>
    <n v="5"/>
    <n v="5"/>
    <x v="5"/>
  </r>
  <r>
    <n v="574"/>
    <d v="2012-07-27T00:00:00"/>
    <n v="1"/>
    <n v="0"/>
    <n v="1"/>
    <n v="2"/>
    <x v="0"/>
    <n v="3"/>
    <n v="3"/>
    <n v="0.22"/>
    <n v="0.2273"/>
    <n v="0.69"/>
    <n v="0.19400000000000001"/>
    <n v="3"/>
    <n v="7"/>
    <n v="10"/>
    <x v="6"/>
  </r>
  <r>
    <n v="575"/>
    <d v="2012-07-28T00:00:00"/>
    <n v="1"/>
    <n v="0"/>
    <n v="1"/>
    <n v="5"/>
    <x v="0"/>
    <n v="3"/>
    <n v="3"/>
    <n v="0.2"/>
    <n v="0.18179999999999999"/>
    <n v="0.86"/>
    <n v="0.28360000000000002"/>
    <n v="0"/>
    <n v="1"/>
    <n v="1"/>
    <x v="0"/>
  </r>
  <r>
    <n v="576"/>
    <d v="2012-07-29T00:00:00"/>
    <n v="1"/>
    <n v="0"/>
    <n v="1"/>
    <n v="6"/>
    <x v="0"/>
    <n v="3"/>
    <n v="3"/>
    <n v="0.2"/>
    <n v="0.18179999999999999"/>
    <n v="0.86"/>
    <n v="0.28360000000000002"/>
    <n v="0"/>
    <n v="8"/>
    <n v="8"/>
    <x v="1"/>
  </r>
  <r>
    <n v="577"/>
    <d v="2012-07-30T00:00:00"/>
    <n v="1"/>
    <n v="0"/>
    <n v="1"/>
    <n v="7"/>
    <x v="0"/>
    <n v="3"/>
    <n v="3"/>
    <n v="0.22"/>
    <n v="0.21210000000000001"/>
    <n v="0.87"/>
    <n v="0.29849999999999999"/>
    <n v="1"/>
    <n v="29"/>
    <n v="30"/>
    <x v="2"/>
  </r>
  <r>
    <n v="578"/>
    <d v="2012-07-31T00:00:00"/>
    <n v="1"/>
    <n v="0"/>
    <n v="1"/>
    <n v="8"/>
    <x v="0"/>
    <n v="3"/>
    <n v="3"/>
    <n v="0.22"/>
    <n v="0.21210000000000001"/>
    <n v="0.87"/>
    <n v="0.29849999999999999"/>
    <n v="3"/>
    <n v="69"/>
    <n v="72"/>
    <x v="3"/>
  </r>
  <r>
    <n v="579"/>
    <d v="2012-08-01T00:00:00"/>
    <n v="1"/>
    <n v="0"/>
    <n v="1"/>
    <n v="9"/>
    <x v="0"/>
    <n v="3"/>
    <n v="3"/>
    <n v="0.22"/>
    <n v="0.21210000000000001"/>
    <n v="0.87"/>
    <n v="0.29849999999999999"/>
    <n v="3"/>
    <n v="55"/>
    <n v="58"/>
    <x v="4"/>
  </r>
  <r>
    <n v="580"/>
    <d v="2012-08-02T00:00:00"/>
    <n v="1"/>
    <n v="0"/>
    <n v="1"/>
    <n v="10"/>
    <x v="0"/>
    <n v="3"/>
    <n v="3"/>
    <n v="0.22"/>
    <n v="0.21210000000000001"/>
    <n v="0.93"/>
    <n v="0.28360000000000002"/>
    <n v="2"/>
    <n v="26"/>
    <n v="28"/>
    <x v="5"/>
  </r>
  <r>
    <n v="581"/>
    <d v="2012-08-03T00:00:00"/>
    <n v="1"/>
    <n v="0"/>
    <n v="1"/>
    <n v="11"/>
    <x v="0"/>
    <n v="3"/>
    <n v="3"/>
    <n v="0.22"/>
    <n v="0.19700000000000001"/>
    <n v="0.93"/>
    <n v="0.32840000000000003"/>
    <n v="6"/>
    <n v="35"/>
    <n v="41"/>
    <x v="6"/>
  </r>
  <r>
    <n v="582"/>
    <d v="2012-08-04T00:00:00"/>
    <n v="1"/>
    <n v="0"/>
    <n v="1"/>
    <n v="12"/>
    <x v="0"/>
    <n v="3"/>
    <n v="3"/>
    <n v="0.22"/>
    <n v="0.19700000000000001"/>
    <n v="0.93"/>
    <n v="0.32840000000000003"/>
    <n v="7"/>
    <n v="41"/>
    <n v="48"/>
    <x v="0"/>
  </r>
  <r>
    <n v="583"/>
    <d v="2012-08-05T00:00:00"/>
    <n v="1"/>
    <n v="0"/>
    <n v="1"/>
    <n v="13"/>
    <x v="0"/>
    <n v="3"/>
    <n v="3"/>
    <n v="0.22"/>
    <n v="0.19700000000000001"/>
    <n v="0.93"/>
    <n v="0.32840000000000003"/>
    <n v="4"/>
    <n v="43"/>
    <n v="47"/>
    <x v="1"/>
  </r>
  <r>
    <n v="584"/>
    <d v="2012-08-06T00:00:00"/>
    <n v="1"/>
    <n v="0"/>
    <n v="1"/>
    <n v="14"/>
    <x v="0"/>
    <n v="3"/>
    <n v="3"/>
    <n v="0.22"/>
    <n v="0.19700000000000001"/>
    <n v="0.93"/>
    <n v="0.35820000000000002"/>
    <n v="0"/>
    <n v="36"/>
    <n v="36"/>
    <x v="2"/>
  </r>
  <r>
    <n v="585"/>
    <d v="2012-08-07T00:00:00"/>
    <n v="1"/>
    <n v="0"/>
    <n v="1"/>
    <n v="15"/>
    <x v="0"/>
    <n v="3"/>
    <n v="3"/>
    <n v="0.22"/>
    <n v="0.18179999999999999"/>
    <n v="0.93"/>
    <n v="0.4627"/>
    <n v="1"/>
    <n v="42"/>
    <n v="43"/>
    <x v="3"/>
  </r>
  <r>
    <n v="586"/>
    <d v="2012-08-08T00:00:00"/>
    <n v="1"/>
    <n v="0"/>
    <n v="1"/>
    <n v="16"/>
    <x v="0"/>
    <n v="3"/>
    <n v="4"/>
    <n v="0.22"/>
    <n v="0.19700000000000001"/>
    <n v="0.93"/>
    <n v="0.32840000000000003"/>
    <n v="1"/>
    <n v="35"/>
    <n v="36"/>
    <x v="4"/>
  </r>
  <r>
    <n v="587"/>
    <d v="2012-08-09T00:00:00"/>
    <n v="1"/>
    <n v="0"/>
    <n v="1"/>
    <n v="17"/>
    <x v="0"/>
    <n v="3"/>
    <n v="3"/>
    <n v="0.2"/>
    <n v="0.18179999999999999"/>
    <n v="0.93"/>
    <n v="0.35820000000000002"/>
    <n v="0"/>
    <n v="26"/>
    <n v="26"/>
    <x v="5"/>
  </r>
  <r>
    <n v="588"/>
    <d v="2012-08-10T00:00:00"/>
    <n v="1"/>
    <n v="0"/>
    <n v="1"/>
    <n v="16"/>
    <x v="0"/>
    <n v="4"/>
    <n v="1"/>
    <n v="0.22"/>
    <n v="0.2273"/>
    <n v="0.55000000000000004"/>
    <n v="0.19400000000000001"/>
    <n v="1"/>
    <n v="23"/>
    <n v="24"/>
    <x v="6"/>
  </r>
  <r>
    <n v="589"/>
    <d v="2012-08-11T00:00:00"/>
    <n v="1"/>
    <n v="0"/>
    <n v="1"/>
    <n v="17"/>
    <x v="0"/>
    <n v="4"/>
    <n v="1"/>
    <n v="0.22"/>
    <n v="0.2424"/>
    <n v="0.55000000000000004"/>
    <n v="0.1045"/>
    <n v="2"/>
    <n v="82"/>
    <n v="84"/>
    <x v="0"/>
  </r>
  <r>
    <n v="590"/>
    <d v="2012-08-12T00:00:00"/>
    <n v="1"/>
    <n v="0"/>
    <n v="1"/>
    <n v="18"/>
    <x v="0"/>
    <n v="4"/>
    <n v="1"/>
    <n v="0.2"/>
    <n v="0.2273"/>
    <n v="0.69"/>
    <n v="8.9599999999999999E-2"/>
    <n v="3"/>
    <n v="101"/>
    <n v="104"/>
    <x v="1"/>
  </r>
  <r>
    <n v="591"/>
    <d v="2012-08-13T00:00:00"/>
    <n v="1"/>
    <n v="0"/>
    <n v="1"/>
    <n v="19"/>
    <x v="0"/>
    <n v="4"/>
    <n v="1"/>
    <n v="0.2"/>
    <n v="0.2273"/>
    <n v="0.69"/>
    <n v="8.9599999999999999E-2"/>
    <n v="3"/>
    <n v="76"/>
    <n v="79"/>
    <x v="2"/>
  </r>
  <r>
    <n v="592"/>
    <d v="2012-08-14T00:00:00"/>
    <n v="1"/>
    <n v="0"/>
    <n v="1"/>
    <n v="20"/>
    <x v="0"/>
    <n v="4"/>
    <n v="1"/>
    <n v="0.18"/>
    <n v="0.21210000000000001"/>
    <n v="0.74"/>
    <n v="8.9599999999999999E-2"/>
    <n v="4"/>
    <n v="55"/>
    <n v="59"/>
    <x v="3"/>
  </r>
  <r>
    <n v="593"/>
    <d v="2012-08-15T00:00:00"/>
    <n v="1"/>
    <n v="0"/>
    <n v="1"/>
    <n v="21"/>
    <x v="0"/>
    <n v="4"/>
    <n v="1"/>
    <n v="0.18"/>
    <n v="0.21210000000000001"/>
    <n v="0.74"/>
    <n v="8.9599999999999999E-2"/>
    <n v="2"/>
    <n v="36"/>
    <n v="38"/>
    <x v="4"/>
  </r>
  <r>
    <n v="594"/>
    <d v="2012-08-16T00:00:00"/>
    <n v="1"/>
    <n v="0"/>
    <n v="1"/>
    <n v="22"/>
    <x v="0"/>
    <n v="4"/>
    <n v="1"/>
    <n v="0.18"/>
    <n v="0.21210000000000001"/>
    <n v="0.74"/>
    <n v="8.9599999999999999E-2"/>
    <n v="0"/>
    <n v="27"/>
    <n v="27"/>
    <x v="5"/>
  </r>
  <r>
    <n v="595"/>
    <d v="2012-08-17T00:00:00"/>
    <n v="1"/>
    <n v="0"/>
    <n v="1"/>
    <n v="23"/>
    <x v="0"/>
    <n v="4"/>
    <n v="1"/>
    <n v="0.18"/>
    <n v="0.19700000000000001"/>
    <n v="0.8"/>
    <n v="0.16420000000000001"/>
    <n v="0"/>
    <n v="16"/>
    <n v="16"/>
    <x v="6"/>
  </r>
  <r>
    <n v="596"/>
    <d v="2012-08-18T00:00:00"/>
    <n v="1"/>
    <n v="0"/>
    <n v="1"/>
    <n v="0"/>
    <x v="0"/>
    <n v="5"/>
    <n v="2"/>
    <n v="0.2"/>
    <n v="0.21210000000000001"/>
    <n v="0.75"/>
    <n v="0.1343"/>
    <n v="0"/>
    <n v="9"/>
    <n v="9"/>
    <x v="0"/>
  </r>
  <r>
    <n v="597"/>
    <d v="2012-08-19T00:00:00"/>
    <n v="1"/>
    <n v="0"/>
    <n v="1"/>
    <n v="1"/>
    <x v="0"/>
    <n v="5"/>
    <n v="2"/>
    <n v="0.2"/>
    <n v="0.21210000000000001"/>
    <n v="0.75"/>
    <n v="0.1343"/>
    <n v="1"/>
    <n v="2"/>
    <n v="3"/>
    <x v="1"/>
  </r>
  <r>
    <n v="598"/>
    <d v="2012-08-20T00:00:00"/>
    <n v="1"/>
    <n v="0"/>
    <n v="1"/>
    <n v="2"/>
    <x v="0"/>
    <n v="5"/>
    <n v="2"/>
    <n v="0.2"/>
    <n v="0.21210000000000001"/>
    <n v="0.75"/>
    <n v="0.16420000000000001"/>
    <n v="0"/>
    <n v="2"/>
    <n v="2"/>
    <x v="2"/>
  </r>
  <r>
    <n v="599"/>
    <d v="2012-08-21T00:00:00"/>
    <n v="1"/>
    <n v="0"/>
    <n v="1"/>
    <n v="3"/>
    <x v="0"/>
    <n v="5"/>
    <n v="2"/>
    <n v="0.2"/>
    <n v="0.2273"/>
    <n v="0.75"/>
    <n v="0.1045"/>
    <n v="1"/>
    <n v="0"/>
    <n v="1"/>
    <x v="3"/>
  </r>
  <r>
    <n v="600"/>
    <d v="2012-08-22T00:00:00"/>
    <n v="1"/>
    <n v="0"/>
    <n v="1"/>
    <n v="5"/>
    <x v="0"/>
    <n v="5"/>
    <n v="2"/>
    <n v="0.18"/>
    <n v="0.21210000000000001"/>
    <n v="0.8"/>
    <n v="0.1045"/>
    <n v="0"/>
    <n v="4"/>
    <n v="4"/>
    <x v="4"/>
  </r>
  <r>
    <n v="601"/>
    <d v="2012-08-23T00:00:00"/>
    <n v="1"/>
    <n v="0"/>
    <n v="1"/>
    <n v="6"/>
    <x v="0"/>
    <n v="5"/>
    <n v="2"/>
    <n v="0.18"/>
    <n v="0.19700000000000001"/>
    <n v="0.8"/>
    <n v="0.1343"/>
    <n v="0"/>
    <n v="16"/>
    <n v="16"/>
    <x v="5"/>
  </r>
  <r>
    <n v="602"/>
    <d v="2012-08-24T00:00:00"/>
    <n v="1"/>
    <n v="0"/>
    <n v="1"/>
    <n v="7"/>
    <x v="0"/>
    <n v="5"/>
    <n v="2"/>
    <n v="0.16"/>
    <n v="0.19700000000000001"/>
    <n v="0.86"/>
    <n v="8.9599999999999999E-2"/>
    <n v="2"/>
    <n v="58"/>
    <n v="60"/>
    <x v="6"/>
  </r>
  <r>
    <n v="603"/>
    <d v="2012-08-25T00:00:00"/>
    <n v="1"/>
    <n v="0"/>
    <n v="1"/>
    <n v="8"/>
    <x v="0"/>
    <n v="5"/>
    <n v="2"/>
    <n v="0.16"/>
    <n v="0.19700000000000001"/>
    <n v="0.86"/>
    <n v="8.9599999999999999E-2"/>
    <n v="2"/>
    <n v="155"/>
    <n v="157"/>
    <x v="0"/>
  </r>
  <r>
    <n v="604"/>
    <d v="2012-08-26T00:00:00"/>
    <n v="1"/>
    <n v="0"/>
    <n v="1"/>
    <n v="9"/>
    <x v="0"/>
    <n v="5"/>
    <n v="3"/>
    <n v="0.18"/>
    <n v="0.21210000000000001"/>
    <n v="0.86"/>
    <n v="8.9599999999999999E-2"/>
    <n v="6"/>
    <n v="95"/>
    <n v="101"/>
    <x v="1"/>
  </r>
  <r>
    <n v="605"/>
    <d v="2012-08-27T00:00:00"/>
    <n v="1"/>
    <n v="0"/>
    <n v="1"/>
    <n v="10"/>
    <x v="0"/>
    <n v="5"/>
    <n v="3"/>
    <n v="0.18"/>
    <n v="0.21210000000000001"/>
    <n v="0.86"/>
    <n v="0.1045"/>
    <n v="0"/>
    <n v="49"/>
    <n v="49"/>
    <x v="2"/>
  </r>
  <r>
    <n v="606"/>
    <d v="2012-08-28T00:00:00"/>
    <n v="1"/>
    <n v="0"/>
    <n v="1"/>
    <n v="11"/>
    <x v="0"/>
    <n v="5"/>
    <n v="3"/>
    <n v="0.18"/>
    <n v="0.21210000000000001"/>
    <n v="0.93"/>
    <n v="0.1045"/>
    <n v="0"/>
    <n v="30"/>
    <n v="30"/>
    <x v="3"/>
  </r>
  <r>
    <n v="607"/>
    <d v="2012-08-29T00:00:00"/>
    <n v="1"/>
    <n v="0"/>
    <n v="1"/>
    <n v="12"/>
    <x v="0"/>
    <n v="5"/>
    <n v="3"/>
    <n v="0.18"/>
    <n v="0.21210000000000001"/>
    <n v="0.93"/>
    <n v="0.1045"/>
    <n v="1"/>
    <n v="28"/>
    <n v="29"/>
    <x v="4"/>
  </r>
  <r>
    <n v="608"/>
    <d v="2012-08-30T00:00:00"/>
    <n v="1"/>
    <n v="0"/>
    <n v="1"/>
    <n v="13"/>
    <x v="0"/>
    <n v="5"/>
    <n v="3"/>
    <n v="0.18"/>
    <n v="0.21210000000000001"/>
    <n v="0.93"/>
    <n v="0.1045"/>
    <n v="0"/>
    <n v="31"/>
    <n v="31"/>
    <x v="5"/>
  </r>
  <r>
    <n v="609"/>
    <d v="2012-08-31T00:00:00"/>
    <n v="1"/>
    <n v="0"/>
    <n v="1"/>
    <n v="14"/>
    <x v="0"/>
    <n v="5"/>
    <n v="3"/>
    <n v="0.22"/>
    <n v="0.2727"/>
    <n v="0.8"/>
    <n v="0"/>
    <n v="2"/>
    <n v="36"/>
    <n v="38"/>
    <x v="6"/>
  </r>
  <r>
    <n v="610"/>
    <d v="2012-09-01T00:00:00"/>
    <n v="1"/>
    <n v="0"/>
    <n v="1"/>
    <n v="15"/>
    <x v="0"/>
    <n v="5"/>
    <n v="2"/>
    <n v="0.2"/>
    <n v="0.2576"/>
    <n v="0.86"/>
    <n v="0"/>
    <n v="1"/>
    <n v="40"/>
    <n v="41"/>
    <x v="0"/>
  </r>
  <r>
    <n v="611"/>
    <d v="2011-01-28T00:00:00"/>
    <n v="1"/>
    <n v="0"/>
    <n v="1"/>
    <n v="16"/>
    <x v="0"/>
    <n v="5"/>
    <n v="1"/>
    <n v="0.22"/>
    <n v="0.2727"/>
    <n v="0.8"/>
    <n v="0"/>
    <n v="10"/>
    <n v="70"/>
    <n v="80"/>
    <x v="6"/>
  </r>
  <r>
    <n v="612"/>
    <d v="2011-01-28T00:00:00"/>
    <n v="1"/>
    <n v="0"/>
    <n v="1"/>
    <n v="17"/>
    <x v="0"/>
    <n v="5"/>
    <n v="1"/>
    <n v="0.24"/>
    <n v="0.2424"/>
    <n v="0.75"/>
    <n v="0.1343"/>
    <n v="2"/>
    <n v="147"/>
    <n v="149"/>
    <x v="6"/>
  </r>
  <r>
    <n v="613"/>
    <d v="2011-01-28T00:00:00"/>
    <n v="1"/>
    <n v="0"/>
    <n v="1"/>
    <n v="18"/>
    <x v="0"/>
    <n v="5"/>
    <n v="1"/>
    <n v="0.24"/>
    <n v="0.2273"/>
    <n v="0.75"/>
    <n v="0.19400000000000001"/>
    <n v="2"/>
    <n v="107"/>
    <n v="109"/>
    <x v="6"/>
  </r>
  <r>
    <n v="614"/>
    <d v="2011-01-28T00:00:00"/>
    <n v="1"/>
    <n v="0"/>
    <n v="1"/>
    <n v="19"/>
    <x v="0"/>
    <n v="5"/>
    <n v="2"/>
    <n v="0.24"/>
    <n v="0.2424"/>
    <n v="0.75"/>
    <n v="0.1343"/>
    <n v="5"/>
    <n v="84"/>
    <n v="89"/>
    <x v="6"/>
  </r>
  <r>
    <n v="615"/>
    <d v="2011-01-28T00:00:00"/>
    <n v="1"/>
    <n v="0"/>
    <n v="1"/>
    <n v="20"/>
    <x v="0"/>
    <n v="5"/>
    <n v="2"/>
    <n v="0.24"/>
    <n v="0.2273"/>
    <n v="0.7"/>
    <n v="0.19400000000000001"/>
    <n v="1"/>
    <n v="61"/>
    <n v="62"/>
    <x v="6"/>
  </r>
  <r>
    <n v="616"/>
    <d v="2011-01-28T00:00:00"/>
    <n v="1"/>
    <n v="0"/>
    <n v="1"/>
    <n v="21"/>
    <x v="0"/>
    <n v="5"/>
    <n v="2"/>
    <n v="0.22"/>
    <n v="0.2273"/>
    <n v="0.75"/>
    <n v="0.1343"/>
    <n v="1"/>
    <n v="57"/>
    <n v="58"/>
    <x v="6"/>
  </r>
  <r>
    <n v="617"/>
    <d v="2011-01-28T00:00:00"/>
    <n v="1"/>
    <n v="0"/>
    <n v="1"/>
    <n v="22"/>
    <x v="0"/>
    <n v="5"/>
    <n v="1"/>
    <n v="0.24"/>
    <n v="0.21210000000000001"/>
    <n v="0.65"/>
    <n v="0.35820000000000002"/>
    <n v="0"/>
    <n v="26"/>
    <n v="26"/>
    <x v="6"/>
  </r>
  <r>
    <n v="618"/>
    <d v="2011-01-28T00:00:00"/>
    <n v="1"/>
    <n v="0"/>
    <n v="1"/>
    <n v="23"/>
    <x v="0"/>
    <n v="5"/>
    <n v="1"/>
    <n v="0.24"/>
    <n v="0.2273"/>
    <n v="0.6"/>
    <n v="0.22389999999999999"/>
    <n v="1"/>
    <n v="22"/>
    <n v="23"/>
    <x v="6"/>
  </r>
  <r>
    <n v="619"/>
    <d v="2011-01-29T00:00:00"/>
    <n v="1"/>
    <n v="0"/>
    <n v="1"/>
    <n v="0"/>
    <x v="0"/>
    <n v="6"/>
    <n v="1"/>
    <n v="0.22"/>
    <n v="0.19700000000000001"/>
    <n v="0.64"/>
    <n v="0.35820000000000002"/>
    <n v="2"/>
    <n v="26"/>
    <n v="28"/>
    <x v="0"/>
  </r>
  <r>
    <n v="620"/>
    <d v="2011-01-29T00:00:00"/>
    <n v="1"/>
    <n v="0"/>
    <n v="1"/>
    <n v="1"/>
    <x v="0"/>
    <n v="6"/>
    <n v="1"/>
    <n v="0.22"/>
    <n v="0.2273"/>
    <n v="0.64"/>
    <n v="0.19400000000000001"/>
    <n v="0"/>
    <n v="20"/>
    <n v="20"/>
    <x v="0"/>
  </r>
  <r>
    <n v="621"/>
    <d v="2011-01-29T00:00:00"/>
    <n v="1"/>
    <n v="0"/>
    <n v="1"/>
    <n v="2"/>
    <x v="0"/>
    <n v="6"/>
    <n v="1"/>
    <n v="0.22"/>
    <n v="0.2273"/>
    <n v="0.64"/>
    <n v="0.16420000000000001"/>
    <n v="0"/>
    <n v="15"/>
    <n v="15"/>
    <x v="0"/>
  </r>
  <r>
    <n v="622"/>
    <d v="2011-01-29T00:00:00"/>
    <n v="1"/>
    <n v="0"/>
    <n v="1"/>
    <n v="3"/>
    <x v="0"/>
    <n v="6"/>
    <n v="1"/>
    <n v="0.2"/>
    <n v="0.21210000000000001"/>
    <n v="0.64"/>
    <n v="0.1343"/>
    <n v="3"/>
    <n v="5"/>
    <n v="8"/>
    <x v="0"/>
  </r>
  <r>
    <n v="623"/>
    <d v="2011-01-29T00:00:00"/>
    <n v="1"/>
    <n v="0"/>
    <n v="1"/>
    <n v="4"/>
    <x v="0"/>
    <n v="6"/>
    <n v="1"/>
    <n v="0.16"/>
    <n v="0.18179999999999999"/>
    <n v="0.69"/>
    <n v="0.1045"/>
    <n v="1"/>
    <n v="2"/>
    <n v="3"/>
    <x v="0"/>
  </r>
  <r>
    <n v="624"/>
    <d v="2011-01-29T00:00:00"/>
    <n v="1"/>
    <n v="0"/>
    <n v="1"/>
    <n v="6"/>
    <x v="0"/>
    <n v="6"/>
    <n v="1"/>
    <n v="0.16"/>
    <n v="0.18179999999999999"/>
    <n v="0.64"/>
    <n v="0.1343"/>
    <n v="0"/>
    <n v="2"/>
    <n v="2"/>
    <x v="0"/>
  </r>
  <r>
    <n v="625"/>
    <d v="2011-01-29T00:00:00"/>
    <n v="1"/>
    <n v="0"/>
    <n v="1"/>
    <n v="7"/>
    <x v="0"/>
    <n v="6"/>
    <n v="1"/>
    <n v="0.16"/>
    <n v="0.18179999999999999"/>
    <n v="0.59"/>
    <n v="0.1045"/>
    <n v="1"/>
    <n v="4"/>
    <n v="5"/>
    <x v="0"/>
  </r>
  <r>
    <n v="626"/>
    <d v="2011-01-29T00:00:00"/>
    <n v="1"/>
    <n v="0"/>
    <n v="1"/>
    <n v="8"/>
    <x v="0"/>
    <n v="6"/>
    <n v="1"/>
    <n v="0.18"/>
    <n v="0.19700000000000001"/>
    <n v="0.55000000000000004"/>
    <n v="0.16420000000000001"/>
    <n v="3"/>
    <n v="31"/>
    <n v="34"/>
    <x v="0"/>
  </r>
  <r>
    <n v="627"/>
    <d v="2011-01-29T00:00:00"/>
    <n v="1"/>
    <n v="0"/>
    <n v="1"/>
    <n v="9"/>
    <x v="0"/>
    <n v="6"/>
    <n v="1"/>
    <n v="0.18"/>
    <n v="0.21210000000000001"/>
    <n v="0.59"/>
    <n v="8.9599999999999999E-2"/>
    <n v="0"/>
    <n v="34"/>
    <n v="34"/>
    <x v="0"/>
  </r>
  <r>
    <n v="628"/>
    <d v="2011-01-29T00:00:00"/>
    <n v="1"/>
    <n v="0"/>
    <n v="1"/>
    <n v="10"/>
    <x v="0"/>
    <n v="6"/>
    <n v="2"/>
    <n v="0.18"/>
    <n v="0.21210000000000001"/>
    <n v="0.64"/>
    <n v="0.1045"/>
    <n v="4"/>
    <n v="51"/>
    <n v="55"/>
    <x v="0"/>
  </r>
  <r>
    <n v="629"/>
    <d v="2011-01-29T00:00:00"/>
    <n v="1"/>
    <n v="0"/>
    <n v="1"/>
    <n v="11"/>
    <x v="0"/>
    <n v="6"/>
    <n v="2"/>
    <n v="0.18"/>
    <n v="0.19700000000000001"/>
    <n v="0.64"/>
    <n v="0.1343"/>
    <n v="4"/>
    <n v="60"/>
    <n v="64"/>
    <x v="0"/>
  </r>
  <r>
    <n v="630"/>
    <d v="2011-01-29T00:00:00"/>
    <n v="1"/>
    <n v="0"/>
    <n v="1"/>
    <n v="12"/>
    <x v="0"/>
    <n v="6"/>
    <n v="2"/>
    <n v="0.2"/>
    <n v="0.19700000000000001"/>
    <n v="0.59"/>
    <n v="0.19400000000000001"/>
    <n v="12"/>
    <n v="66"/>
    <n v="78"/>
    <x v="0"/>
  </r>
  <r>
    <n v="631"/>
    <d v="2011-01-29T00:00:00"/>
    <n v="1"/>
    <n v="0"/>
    <n v="1"/>
    <n v="13"/>
    <x v="0"/>
    <n v="6"/>
    <n v="2"/>
    <n v="0.22"/>
    <n v="0.2273"/>
    <n v="0.55000000000000004"/>
    <n v="0.16420000000000001"/>
    <n v="9"/>
    <n v="56"/>
    <n v="65"/>
    <x v="0"/>
  </r>
  <r>
    <n v="632"/>
    <d v="2011-01-29T00:00:00"/>
    <n v="1"/>
    <n v="0"/>
    <n v="1"/>
    <n v="14"/>
    <x v="0"/>
    <n v="6"/>
    <n v="2"/>
    <n v="0.22"/>
    <n v="0.2273"/>
    <n v="0.6"/>
    <n v="0.1343"/>
    <n v="10"/>
    <n v="89"/>
    <n v="99"/>
    <x v="0"/>
  </r>
  <r>
    <n v="633"/>
    <d v="2011-01-29T00:00:00"/>
    <n v="1"/>
    <n v="0"/>
    <n v="1"/>
    <n v="15"/>
    <x v="0"/>
    <n v="6"/>
    <n v="1"/>
    <n v="0.22"/>
    <n v="0.21210000000000001"/>
    <n v="0.69"/>
    <n v="0.25369999999999998"/>
    <n v="22"/>
    <n v="98"/>
    <n v="120"/>
    <x v="0"/>
  </r>
  <r>
    <n v="634"/>
    <d v="2011-01-29T00:00:00"/>
    <n v="1"/>
    <n v="0"/>
    <n v="1"/>
    <n v="16"/>
    <x v="0"/>
    <n v="6"/>
    <n v="1"/>
    <n v="0.24"/>
    <n v="0.2424"/>
    <n v="0.6"/>
    <n v="0.16420000000000001"/>
    <n v="19"/>
    <n v="88"/>
    <n v="107"/>
    <x v="0"/>
  </r>
  <r>
    <n v="635"/>
    <d v="2011-01-29T00:00:00"/>
    <n v="1"/>
    <n v="0"/>
    <n v="1"/>
    <n v="17"/>
    <x v="0"/>
    <n v="6"/>
    <n v="1"/>
    <n v="0.24"/>
    <n v="0.28789999999999999"/>
    <n v="0.6"/>
    <n v="0"/>
    <n v="9"/>
    <n v="82"/>
    <n v="91"/>
    <x v="0"/>
  </r>
  <r>
    <n v="636"/>
    <d v="2011-01-29T00:00:00"/>
    <n v="1"/>
    <n v="0"/>
    <n v="1"/>
    <n v="18"/>
    <x v="0"/>
    <n v="6"/>
    <n v="1"/>
    <n v="0.22"/>
    <n v="0.2273"/>
    <n v="0.69"/>
    <n v="0.1343"/>
    <n v="9"/>
    <n v="59"/>
    <n v="68"/>
    <x v="0"/>
  </r>
  <r>
    <n v="637"/>
    <d v="2011-01-29T00:00:00"/>
    <n v="1"/>
    <n v="0"/>
    <n v="1"/>
    <n v="19"/>
    <x v="0"/>
    <n v="6"/>
    <n v="2"/>
    <n v="0.22"/>
    <n v="0.21210000000000001"/>
    <n v="0.69"/>
    <n v="0.25369999999999998"/>
    <n v="6"/>
    <n v="52"/>
    <n v="58"/>
    <x v="0"/>
  </r>
  <r>
    <n v="638"/>
    <d v="2011-01-29T00:00:00"/>
    <n v="1"/>
    <n v="0"/>
    <n v="1"/>
    <n v="20"/>
    <x v="0"/>
    <n v="6"/>
    <n v="1"/>
    <n v="0.18"/>
    <n v="0.21210000000000001"/>
    <n v="0.74"/>
    <n v="8.9599999999999999E-2"/>
    <n v="1"/>
    <n v="42"/>
    <n v="43"/>
    <x v="0"/>
  </r>
  <r>
    <n v="639"/>
    <d v="2011-01-29T00:00:00"/>
    <n v="1"/>
    <n v="0"/>
    <n v="1"/>
    <n v="21"/>
    <x v="0"/>
    <n v="6"/>
    <n v="1"/>
    <n v="0.18"/>
    <n v="0.21210000000000001"/>
    <n v="0.74"/>
    <n v="8.9599999999999999E-2"/>
    <n v="1"/>
    <n v="35"/>
    <n v="36"/>
    <x v="0"/>
  </r>
  <r>
    <n v="640"/>
    <d v="2011-01-29T00:00:00"/>
    <n v="1"/>
    <n v="0"/>
    <n v="1"/>
    <n v="22"/>
    <x v="0"/>
    <n v="6"/>
    <n v="1"/>
    <n v="0.16"/>
    <n v="0.19700000000000001"/>
    <n v="0.8"/>
    <n v="8.9599999999999999E-2"/>
    <n v="4"/>
    <n v="28"/>
    <n v="32"/>
    <x v="0"/>
  </r>
  <r>
    <n v="641"/>
    <d v="2011-01-29T00:00:00"/>
    <n v="1"/>
    <n v="0"/>
    <n v="1"/>
    <n v="23"/>
    <x v="0"/>
    <n v="6"/>
    <n v="1"/>
    <n v="0.16"/>
    <n v="0.19700000000000001"/>
    <n v="0.8"/>
    <n v="8.9599999999999999E-2"/>
    <n v="3"/>
    <n v="30"/>
    <n v="33"/>
    <x v="0"/>
  </r>
  <r>
    <n v="642"/>
    <d v="2011-01-30T00:00:00"/>
    <n v="1"/>
    <n v="0"/>
    <n v="1"/>
    <n v="0"/>
    <x v="0"/>
    <n v="0"/>
    <n v="1"/>
    <n v="0.16"/>
    <n v="0.18179999999999999"/>
    <n v="0.8"/>
    <n v="0.1045"/>
    <n v="0"/>
    <n v="33"/>
    <n v="33"/>
    <x v="1"/>
  </r>
  <r>
    <n v="643"/>
    <d v="2011-01-30T00:00:00"/>
    <n v="1"/>
    <n v="0"/>
    <n v="1"/>
    <n v="1"/>
    <x v="0"/>
    <n v="0"/>
    <n v="1"/>
    <n v="0.14000000000000001"/>
    <n v="0.21210000000000001"/>
    <n v="0.8"/>
    <n v="0"/>
    <n v="7"/>
    <n v="22"/>
    <n v="29"/>
    <x v="1"/>
  </r>
  <r>
    <n v="644"/>
    <d v="2011-01-30T00:00:00"/>
    <n v="1"/>
    <n v="0"/>
    <n v="1"/>
    <n v="2"/>
    <x v="0"/>
    <n v="0"/>
    <n v="1"/>
    <n v="0.16"/>
    <n v="0.2273"/>
    <n v="0.8"/>
    <n v="0"/>
    <n v="1"/>
    <n v="10"/>
    <n v="11"/>
    <x v="1"/>
  </r>
  <r>
    <n v="645"/>
    <d v="2011-01-30T00:00:00"/>
    <n v="1"/>
    <n v="0"/>
    <n v="1"/>
    <n v="3"/>
    <x v="0"/>
    <n v="0"/>
    <n v="1"/>
    <n v="0.14000000000000001"/>
    <n v="0.21210000000000001"/>
    <n v="0.93"/>
    <n v="0"/>
    <n v="1"/>
    <n v="7"/>
    <n v="8"/>
    <x v="1"/>
  </r>
  <r>
    <n v="646"/>
    <d v="2011-01-30T00:00:00"/>
    <n v="1"/>
    <n v="0"/>
    <n v="1"/>
    <n v="4"/>
    <x v="0"/>
    <n v="0"/>
    <n v="1"/>
    <n v="0.14000000000000001"/>
    <n v="0.21210000000000001"/>
    <n v="0.93"/>
    <n v="0"/>
    <n v="0"/>
    <n v="1"/>
    <n v="1"/>
    <x v="1"/>
  </r>
  <r>
    <n v="647"/>
    <d v="2011-01-30T00:00:00"/>
    <n v="1"/>
    <n v="0"/>
    <n v="1"/>
    <n v="5"/>
    <x v="0"/>
    <n v="0"/>
    <n v="1"/>
    <n v="0.14000000000000001"/>
    <n v="0.21210000000000001"/>
    <n v="0.86"/>
    <n v="0"/>
    <n v="0"/>
    <n v="3"/>
    <n v="3"/>
    <x v="1"/>
  </r>
  <r>
    <n v="648"/>
    <d v="2011-01-30T00:00:00"/>
    <n v="1"/>
    <n v="0"/>
    <n v="1"/>
    <n v="7"/>
    <x v="0"/>
    <n v="0"/>
    <n v="1"/>
    <n v="0.14000000000000001"/>
    <n v="0.21210000000000001"/>
    <n v="0.86"/>
    <n v="0"/>
    <n v="0"/>
    <n v="3"/>
    <n v="3"/>
    <x v="1"/>
  </r>
  <r>
    <n v="649"/>
    <d v="2011-01-30T00:00:00"/>
    <n v="1"/>
    <n v="0"/>
    <n v="1"/>
    <n v="8"/>
    <x v="0"/>
    <n v="0"/>
    <n v="2"/>
    <n v="0.14000000000000001"/>
    <n v="0.21210000000000001"/>
    <n v="0.86"/>
    <n v="0"/>
    <n v="1"/>
    <n v="11"/>
    <n v="12"/>
    <x v="1"/>
  </r>
  <r>
    <n v="650"/>
    <d v="2011-01-30T00:00:00"/>
    <n v="1"/>
    <n v="0"/>
    <n v="1"/>
    <n v="9"/>
    <x v="0"/>
    <n v="0"/>
    <n v="2"/>
    <n v="0.16"/>
    <n v="0.2273"/>
    <n v="0.8"/>
    <n v="0"/>
    <n v="4"/>
    <n v="34"/>
    <n v="38"/>
    <x v="1"/>
  </r>
  <r>
    <n v="651"/>
    <d v="2011-01-30T00:00:00"/>
    <n v="1"/>
    <n v="0"/>
    <n v="1"/>
    <n v="10"/>
    <x v="0"/>
    <n v="0"/>
    <n v="2"/>
    <n v="0.18"/>
    <n v="0.2424"/>
    <n v="0.8"/>
    <n v="0"/>
    <n v="7"/>
    <n v="57"/>
    <n v="64"/>
    <x v="1"/>
  </r>
  <r>
    <n v="652"/>
    <d v="2011-01-30T00:00:00"/>
    <n v="1"/>
    <n v="0"/>
    <n v="1"/>
    <n v="11"/>
    <x v="0"/>
    <n v="0"/>
    <n v="1"/>
    <n v="0.22"/>
    <n v="0.2727"/>
    <n v="0.75"/>
    <n v="0"/>
    <n v="9"/>
    <n v="50"/>
    <n v="59"/>
    <x v="1"/>
  </r>
  <r>
    <n v="653"/>
    <d v="2011-01-30T00:00:00"/>
    <n v="1"/>
    <n v="0"/>
    <n v="1"/>
    <n v="12"/>
    <x v="0"/>
    <n v="0"/>
    <n v="1"/>
    <n v="0.3"/>
    <n v="0.31819999999999998"/>
    <n v="0.52"/>
    <n v="0.1045"/>
    <n v="10"/>
    <n v="87"/>
    <n v="97"/>
    <x v="1"/>
  </r>
  <r>
    <n v="654"/>
    <d v="2011-01-30T00:00:00"/>
    <n v="1"/>
    <n v="0"/>
    <n v="1"/>
    <n v="13"/>
    <x v="0"/>
    <n v="0"/>
    <n v="1"/>
    <n v="0.28000000000000003"/>
    <n v="0.28789999999999999"/>
    <n v="0.61"/>
    <n v="0.1045"/>
    <n v="13"/>
    <n v="71"/>
    <n v="84"/>
    <x v="1"/>
  </r>
  <r>
    <n v="655"/>
    <d v="2011-01-30T00:00:00"/>
    <n v="1"/>
    <n v="0"/>
    <n v="1"/>
    <n v="14"/>
    <x v="0"/>
    <n v="0"/>
    <n v="1"/>
    <n v="0.28000000000000003"/>
    <n v="0.30299999999999999"/>
    <n v="0.61"/>
    <n v="8.9599999999999999E-2"/>
    <n v="18"/>
    <n v="104"/>
    <n v="122"/>
    <x v="1"/>
  </r>
  <r>
    <n v="656"/>
    <d v="2011-01-30T00:00:00"/>
    <n v="1"/>
    <n v="0"/>
    <n v="1"/>
    <n v="15"/>
    <x v="0"/>
    <n v="0"/>
    <n v="1"/>
    <n v="0.3"/>
    <n v="0.33329999999999999"/>
    <n v="0.56000000000000005"/>
    <n v="0"/>
    <n v="14"/>
    <n v="95"/>
    <n v="109"/>
    <x v="1"/>
  </r>
  <r>
    <n v="657"/>
    <d v="2011-01-30T00:00:00"/>
    <n v="1"/>
    <n v="0"/>
    <n v="1"/>
    <n v="16"/>
    <x v="0"/>
    <n v="0"/>
    <n v="1"/>
    <n v="0.3"/>
    <n v="0.33329999999999999"/>
    <n v="0.56000000000000005"/>
    <n v="0"/>
    <n v="19"/>
    <n v="104"/>
    <n v="123"/>
    <x v="1"/>
  </r>
  <r>
    <n v="658"/>
    <d v="2011-01-30T00:00:00"/>
    <n v="1"/>
    <n v="0"/>
    <n v="1"/>
    <n v="17"/>
    <x v="0"/>
    <n v="0"/>
    <n v="1"/>
    <n v="0.3"/>
    <n v="0.28789999999999999"/>
    <n v="0.56000000000000005"/>
    <n v="0.19400000000000001"/>
    <n v="6"/>
    <n v="71"/>
    <n v="77"/>
    <x v="1"/>
  </r>
  <r>
    <n v="659"/>
    <d v="2011-01-30T00:00:00"/>
    <n v="1"/>
    <n v="0"/>
    <n v="1"/>
    <n v="18"/>
    <x v="0"/>
    <n v="0"/>
    <n v="1"/>
    <n v="0.26"/>
    <n v="0.2576"/>
    <n v="0.65"/>
    <n v="0.16420000000000001"/>
    <n v="8"/>
    <n v="57"/>
    <n v="65"/>
    <x v="1"/>
  </r>
  <r>
    <n v="660"/>
    <d v="2011-01-30T00:00:00"/>
    <n v="1"/>
    <n v="0"/>
    <n v="1"/>
    <n v="19"/>
    <x v="0"/>
    <n v="0"/>
    <n v="1"/>
    <n v="0.26"/>
    <n v="0.2576"/>
    <n v="0.65"/>
    <n v="0.19400000000000001"/>
    <n v="9"/>
    <n v="46"/>
    <n v="55"/>
    <x v="1"/>
  </r>
  <r>
    <n v="661"/>
    <d v="2011-01-30T00:00:00"/>
    <n v="1"/>
    <n v="0"/>
    <n v="1"/>
    <n v="20"/>
    <x v="0"/>
    <n v="0"/>
    <n v="2"/>
    <n v="0.26"/>
    <n v="0.2727"/>
    <n v="0.65"/>
    <n v="0.1045"/>
    <n v="3"/>
    <n v="30"/>
    <n v="33"/>
    <x v="1"/>
  </r>
  <r>
    <n v="662"/>
    <d v="2011-01-30T00:00:00"/>
    <n v="1"/>
    <n v="0"/>
    <n v="1"/>
    <n v="21"/>
    <x v="0"/>
    <n v="0"/>
    <n v="2"/>
    <n v="0.24"/>
    <n v="0.2424"/>
    <n v="0.7"/>
    <n v="0.16420000000000001"/>
    <n v="3"/>
    <n v="25"/>
    <n v="28"/>
    <x v="1"/>
  </r>
  <r>
    <n v="663"/>
    <d v="2011-01-30T00:00:00"/>
    <n v="1"/>
    <n v="0"/>
    <n v="1"/>
    <n v="22"/>
    <x v="0"/>
    <n v="0"/>
    <n v="2"/>
    <n v="0.24"/>
    <n v="0.2273"/>
    <n v="0.7"/>
    <n v="0.19400000000000001"/>
    <n v="2"/>
    <n v="19"/>
    <n v="21"/>
    <x v="1"/>
  </r>
  <r>
    <n v="664"/>
    <d v="2011-01-30T00:00:00"/>
    <n v="1"/>
    <n v="0"/>
    <n v="1"/>
    <n v="23"/>
    <x v="0"/>
    <n v="0"/>
    <n v="2"/>
    <n v="0.24"/>
    <n v="0.21210000000000001"/>
    <n v="0.65"/>
    <n v="0.28360000000000002"/>
    <n v="5"/>
    <n v="16"/>
    <n v="21"/>
    <x v="1"/>
  </r>
  <r>
    <n v="665"/>
    <d v="2011-01-31T00:00:00"/>
    <n v="1"/>
    <n v="0"/>
    <n v="1"/>
    <n v="0"/>
    <x v="0"/>
    <n v="1"/>
    <n v="2"/>
    <n v="0.24"/>
    <n v="0.2273"/>
    <n v="0.65"/>
    <n v="0.22389999999999999"/>
    <n v="1"/>
    <n v="6"/>
    <n v="7"/>
    <x v="2"/>
  </r>
  <r>
    <n v="666"/>
    <d v="2011-01-31T00:00:00"/>
    <n v="1"/>
    <n v="0"/>
    <n v="1"/>
    <n v="1"/>
    <x v="0"/>
    <n v="1"/>
    <n v="1"/>
    <n v="0.22"/>
    <n v="0.21210000000000001"/>
    <n v="0.64"/>
    <n v="0.25369999999999998"/>
    <n v="2"/>
    <n v="5"/>
    <n v="7"/>
    <x v="2"/>
  </r>
  <r>
    <n v="667"/>
    <d v="2011-01-31T00:00:00"/>
    <n v="1"/>
    <n v="0"/>
    <n v="1"/>
    <n v="2"/>
    <x v="0"/>
    <n v="1"/>
    <n v="1"/>
    <n v="0.22"/>
    <n v="0.2273"/>
    <n v="0.64"/>
    <n v="0.19400000000000001"/>
    <n v="0"/>
    <n v="1"/>
    <n v="1"/>
    <x v="2"/>
  </r>
  <r>
    <n v="668"/>
    <d v="2011-01-31T00:00:00"/>
    <n v="1"/>
    <n v="0"/>
    <n v="1"/>
    <n v="3"/>
    <x v="0"/>
    <n v="1"/>
    <n v="1"/>
    <n v="0.22"/>
    <n v="0.2273"/>
    <n v="0.64"/>
    <n v="0.19400000000000001"/>
    <n v="0"/>
    <n v="2"/>
    <n v="2"/>
    <x v="2"/>
  </r>
  <r>
    <n v="669"/>
    <d v="2011-01-31T00:00:00"/>
    <n v="1"/>
    <n v="0"/>
    <n v="1"/>
    <n v="4"/>
    <x v="0"/>
    <n v="1"/>
    <n v="1"/>
    <n v="0.2"/>
    <n v="0.19700000000000001"/>
    <n v="0.59"/>
    <n v="0.22389999999999999"/>
    <n v="0"/>
    <n v="2"/>
    <n v="2"/>
    <x v="2"/>
  </r>
  <r>
    <n v="670"/>
    <d v="2011-01-31T00:00:00"/>
    <n v="1"/>
    <n v="0"/>
    <n v="1"/>
    <n v="5"/>
    <x v="0"/>
    <n v="1"/>
    <n v="1"/>
    <n v="0.18"/>
    <n v="0.16669999999999999"/>
    <n v="0.64"/>
    <n v="0.28360000000000002"/>
    <n v="0"/>
    <n v="8"/>
    <n v="8"/>
    <x v="2"/>
  </r>
  <r>
    <n v="671"/>
    <d v="2011-01-31T00:00:00"/>
    <n v="1"/>
    <n v="0"/>
    <n v="1"/>
    <n v="6"/>
    <x v="0"/>
    <n v="1"/>
    <n v="1"/>
    <n v="0.16"/>
    <n v="0.13639999999999999"/>
    <n v="0.69"/>
    <n v="0.32840000000000003"/>
    <n v="0"/>
    <n v="37"/>
    <n v="37"/>
    <x v="2"/>
  </r>
  <r>
    <n v="672"/>
    <d v="2011-01-31T00:00:00"/>
    <n v="1"/>
    <n v="0"/>
    <n v="1"/>
    <n v="7"/>
    <x v="0"/>
    <n v="1"/>
    <n v="2"/>
    <n v="0.16"/>
    <n v="0.13639999999999999"/>
    <n v="0.64"/>
    <n v="0.28360000000000002"/>
    <n v="1"/>
    <n v="71"/>
    <n v="72"/>
    <x v="2"/>
  </r>
  <r>
    <n v="673"/>
    <d v="2011-01-31T00:00:00"/>
    <n v="1"/>
    <n v="0"/>
    <n v="1"/>
    <n v="8"/>
    <x v="0"/>
    <n v="1"/>
    <n v="2"/>
    <n v="0.16"/>
    <n v="0.13639999999999999"/>
    <n v="0.59"/>
    <n v="0.28360000000000002"/>
    <n v="3"/>
    <n v="182"/>
    <n v="185"/>
    <x v="2"/>
  </r>
  <r>
    <n v="674"/>
    <d v="2011-01-31T00:00:00"/>
    <n v="1"/>
    <n v="0"/>
    <n v="1"/>
    <n v="9"/>
    <x v="0"/>
    <n v="1"/>
    <n v="2"/>
    <n v="0.16"/>
    <n v="0.13639999999999999"/>
    <n v="0.59"/>
    <n v="0.29849999999999999"/>
    <n v="0"/>
    <n v="112"/>
    <n v="112"/>
    <x v="2"/>
  </r>
  <r>
    <n v="675"/>
    <d v="2011-01-31T00:00:00"/>
    <n v="1"/>
    <n v="0"/>
    <n v="1"/>
    <n v="10"/>
    <x v="0"/>
    <n v="1"/>
    <n v="2"/>
    <n v="0.16"/>
    <n v="0.1515"/>
    <n v="0.59"/>
    <n v="0.19400000000000001"/>
    <n v="1"/>
    <n v="68"/>
    <n v="69"/>
    <x v="2"/>
  </r>
  <r>
    <n v="676"/>
    <d v="2011-01-31T00:00:00"/>
    <n v="1"/>
    <n v="0"/>
    <n v="1"/>
    <n v="11"/>
    <x v="0"/>
    <n v="1"/>
    <n v="2"/>
    <n v="0.16"/>
    <n v="0.1515"/>
    <n v="0.59"/>
    <n v="0.19400000000000001"/>
    <n v="2"/>
    <n v="46"/>
    <n v="48"/>
    <x v="2"/>
  </r>
  <r>
    <n v="677"/>
    <d v="2011-01-31T00:00:00"/>
    <n v="1"/>
    <n v="0"/>
    <n v="1"/>
    <n v="12"/>
    <x v="0"/>
    <n v="1"/>
    <n v="2"/>
    <n v="0.18"/>
    <n v="0.21210000000000001"/>
    <n v="0.55000000000000004"/>
    <n v="0.1045"/>
    <n v="6"/>
    <n v="62"/>
    <n v="68"/>
    <x v="2"/>
  </r>
  <r>
    <n v="678"/>
    <d v="2011-01-31T00:00:00"/>
    <n v="1"/>
    <n v="0"/>
    <n v="1"/>
    <n v="13"/>
    <x v="0"/>
    <n v="1"/>
    <n v="2"/>
    <n v="0.16"/>
    <n v="0.2273"/>
    <n v="0.59"/>
    <n v="0"/>
    <n v="2"/>
    <n v="52"/>
    <n v="54"/>
    <x v="2"/>
  </r>
  <r>
    <n v="679"/>
    <d v="2011-01-31T00:00:00"/>
    <n v="1"/>
    <n v="0"/>
    <n v="1"/>
    <n v="14"/>
    <x v="0"/>
    <n v="1"/>
    <n v="2"/>
    <n v="0.18"/>
    <n v="0.19700000000000001"/>
    <n v="0.55000000000000004"/>
    <n v="0.1343"/>
    <n v="1"/>
    <n v="85"/>
    <n v="86"/>
    <x v="2"/>
  </r>
  <r>
    <n v="680"/>
    <d v="2011-01-31T00:00:00"/>
    <n v="1"/>
    <n v="0"/>
    <n v="1"/>
    <n v="15"/>
    <x v="0"/>
    <n v="1"/>
    <n v="2"/>
    <n v="0.16"/>
    <n v="0.18179999999999999"/>
    <n v="0.59"/>
    <n v="0.1343"/>
    <n v="3"/>
    <n v="41"/>
    <n v="44"/>
    <x v="2"/>
  </r>
  <r>
    <n v="681"/>
    <d v="2011-01-31T00:00:00"/>
    <n v="1"/>
    <n v="0"/>
    <n v="1"/>
    <n v="16"/>
    <x v="0"/>
    <n v="1"/>
    <n v="2"/>
    <n v="0.16"/>
    <n v="0.18179999999999999"/>
    <n v="0.56000000000000005"/>
    <n v="0.19400000000000001"/>
    <n v="3"/>
    <n v="83"/>
    <n v="86"/>
    <x v="2"/>
  </r>
  <r>
    <n v="682"/>
    <d v="2011-01-31T00:00:00"/>
    <n v="1"/>
    <n v="0"/>
    <n v="1"/>
    <n v="17"/>
    <x v="0"/>
    <n v="1"/>
    <n v="2"/>
    <n v="0.16"/>
    <n v="0.1515"/>
    <n v="0.59"/>
    <n v="0.19400000000000001"/>
    <n v="6"/>
    <n v="155"/>
    <n v="161"/>
    <x v="2"/>
  </r>
  <r>
    <n v="683"/>
    <d v="2011-01-31T00:00:00"/>
    <n v="1"/>
    <n v="0"/>
    <n v="1"/>
    <n v="18"/>
    <x v="0"/>
    <n v="1"/>
    <n v="2"/>
    <n v="0.16"/>
    <n v="0.1515"/>
    <n v="0.55000000000000004"/>
    <n v="0.22389999999999999"/>
    <n v="3"/>
    <n v="153"/>
    <n v="156"/>
    <x v="2"/>
  </r>
  <r>
    <n v="684"/>
    <d v="2011-01-31T00:00:00"/>
    <n v="1"/>
    <n v="0"/>
    <n v="1"/>
    <n v="19"/>
    <x v="0"/>
    <n v="1"/>
    <n v="1"/>
    <n v="0.3"/>
    <n v="0.31819999999999998"/>
    <n v="0.61"/>
    <n v="0.1045"/>
    <n v="3"/>
    <n v="108"/>
    <n v="111"/>
    <x v="2"/>
  </r>
  <r>
    <n v="685"/>
    <d v="2011-01-31T00:00:00"/>
    <n v="1"/>
    <n v="0"/>
    <n v="1"/>
    <n v="20"/>
    <x v="0"/>
    <n v="1"/>
    <n v="3"/>
    <n v="0.16"/>
    <n v="0.16669999999999999"/>
    <n v="0.59"/>
    <n v="0.16420000000000001"/>
    <n v="0"/>
    <n v="78"/>
    <n v="78"/>
    <x v="2"/>
  </r>
  <r>
    <n v="686"/>
    <d v="2011-01-31T00:00:00"/>
    <n v="1"/>
    <n v="0"/>
    <n v="1"/>
    <n v="21"/>
    <x v="0"/>
    <n v="1"/>
    <n v="3"/>
    <n v="0.16"/>
    <n v="0.19700000000000001"/>
    <n v="0.59"/>
    <n v="8.9599999999999999E-2"/>
    <n v="3"/>
    <n v="53"/>
    <n v="56"/>
    <x v="2"/>
  </r>
  <r>
    <n v="687"/>
    <d v="2011-01-31T00:00:00"/>
    <n v="1"/>
    <n v="0"/>
    <n v="1"/>
    <n v="22"/>
    <x v="0"/>
    <n v="1"/>
    <n v="2"/>
    <n v="0.16"/>
    <n v="0.18179999999999999"/>
    <n v="0.59"/>
    <n v="0.1045"/>
    <n v="0"/>
    <n v="34"/>
    <n v="34"/>
    <x v="2"/>
  </r>
  <r>
    <n v="688"/>
    <d v="2011-01-31T00:00:00"/>
    <n v="1"/>
    <n v="0"/>
    <n v="1"/>
    <n v="23"/>
    <x v="0"/>
    <n v="1"/>
    <n v="2"/>
    <n v="0.16"/>
    <n v="0.19700000000000001"/>
    <n v="0.64"/>
    <n v="8.9599999999999999E-2"/>
    <n v="2"/>
    <n v="15"/>
    <n v="17"/>
    <x v="2"/>
  </r>
  <r>
    <n v="689"/>
    <d v="2011-02-01T00:00:00"/>
    <n v="1"/>
    <n v="0"/>
    <n v="2"/>
    <n v="0"/>
    <x v="0"/>
    <n v="2"/>
    <n v="2"/>
    <n v="0.16"/>
    <n v="0.18179999999999999"/>
    <n v="0.64"/>
    <n v="0.1045"/>
    <n v="2"/>
    <n v="6"/>
    <n v="8"/>
    <x v="3"/>
  </r>
  <r>
    <n v="690"/>
    <d v="2011-02-01T00:00:00"/>
    <n v="1"/>
    <n v="0"/>
    <n v="2"/>
    <n v="1"/>
    <x v="0"/>
    <n v="2"/>
    <n v="2"/>
    <n v="0.16"/>
    <n v="0.18179999999999999"/>
    <n v="0.69"/>
    <n v="0.1045"/>
    <n v="0"/>
    <n v="3"/>
    <n v="3"/>
    <x v="3"/>
  </r>
  <r>
    <n v="691"/>
    <d v="2011-02-01T00:00:00"/>
    <n v="1"/>
    <n v="0"/>
    <n v="2"/>
    <n v="2"/>
    <x v="0"/>
    <n v="2"/>
    <n v="2"/>
    <n v="0.16"/>
    <n v="0.2273"/>
    <n v="0.69"/>
    <n v="0"/>
    <n v="0"/>
    <n v="2"/>
    <n v="2"/>
    <x v="3"/>
  </r>
  <r>
    <n v="692"/>
    <d v="2011-02-01T00:00:00"/>
    <n v="1"/>
    <n v="0"/>
    <n v="2"/>
    <n v="3"/>
    <x v="0"/>
    <n v="2"/>
    <n v="2"/>
    <n v="0.16"/>
    <n v="0.2273"/>
    <n v="0.69"/>
    <n v="0"/>
    <n v="0"/>
    <n v="2"/>
    <n v="2"/>
    <x v="3"/>
  </r>
  <r>
    <n v="693"/>
    <d v="2011-02-01T00:00:00"/>
    <n v="1"/>
    <n v="0"/>
    <n v="2"/>
    <n v="5"/>
    <x v="0"/>
    <n v="2"/>
    <n v="3"/>
    <n v="0.14000000000000001"/>
    <n v="0.21210000000000001"/>
    <n v="0.93"/>
    <n v="0"/>
    <n v="0"/>
    <n v="3"/>
    <n v="3"/>
    <x v="3"/>
  </r>
  <r>
    <n v="694"/>
    <d v="2011-02-01T00:00:00"/>
    <n v="1"/>
    <n v="0"/>
    <n v="2"/>
    <n v="6"/>
    <x v="0"/>
    <n v="2"/>
    <n v="3"/>
    <n v="0.14000000000000001"/>
    <n v="0.21210000000000001"/>
    <n v="0.93"/>
    <n v="0"/>
    <n v="0"/>
    <n v="22"/>
    <n v="22"/>
    <x v="3"/>
  </r>
  <r>
    <n v="695"/>
    <d v="2011-02-01T00:00:00"/>
    <n v="1"/>
    <n v="0"/>
    <n v="2"/>
    <n v="7"/>
    <x v="0"/>
    <n v="2"/>
    <n v="3"/>
    <n v="0.16"/>
    <n v="0.2273"/>
    <n v="0.93"/>
    <n v="0"/>
    <n v="0"/>
    <n v="52"/>
    <n v="52"/>
    <x v="3"/>
  </r>
  <r>
    <n v="696"/>
    <d v="2011-02-01T00:00:00"/>
    <n v="1"/>
    <n v="0"/>
    <n v="2"/>
    <n v="8"/>
    <x v="0"/>
    <n v="2"/>
    <n v="3"/>
    <n v="0.16"/>
    <n v="0.2273"/>
    <n v="0.93"/>
    <n v="0"/>
    <n v="3"/>
    <n v="132"/>
    <n v="135"/>
    <x v="3"/>
  </r>
  <r>
    <n v="697"/>
    <d v="2011-02-01T00:00:00"/>
    <n v="1"/>
    <n v="0"/>
    <n v="2"/>
    <n v="9"/>
    <x v="0"/>
    <n v="2"/>
    <n v="2"/>
    <n v="0.16"/>
    <n v="0.2273"/>
    <n v="0.93"/>
    <n v="0"/>
    <n v="2"/>
    <n v="114"/>
    <n v="116"/>
    <x v="3"/>
  </r>
  <r>
    <n v="698"/>
    <d v="2011-02-01T00:00:00"/>
    <n v="1"/>
    <n v="0"/>
    <n v="2"/>
    <n v="10"/>
    <x v="0"/>
    <n v="2"/>
    <n v="2"/>
    <n v="0.16"/>
    <n v="0.2273"/>
    <n v="0.93"/>
    <n v="0"/>
    <n v="0"/>
    <n v="47"/>
    <n v="47"/>
    <x v="3"/>
  </r>
  <r>
    <n v="699"/>
    <d v="2011-02-01T00:00:00"/>
    <n v="1"/>
    <n v="0"/>
    <n v="2"/>
    <n v="11"/>
    <x v="0"/>
    <n v="2"/>
    <n v="2"/>
    <n v="0.18"/>
    <n v="0.2424"/>
    <n v="0.86"/>
    <n v="0"/>
    <n v="2"/>
    <n v="49"/>
    <n v="51"/>
    <x v="3"/>
  </r>
  <r>
    <n v="700"/>
    <d v="2011-02-01T00:00:00"/>
    <n v="1"/>
    <n v="0"/>
    <n v="2"/>
    <n v="12"/>
    <x v="0"/>
    <n v="2"/>
    <n v="2"/>
    <n v="0.2"/>
    <n v="0.2576"/>
    <n v="0.86"/>
    <n v="0"/>
    <n v="2"/>
    <n v="53"/>
    <n v="55"/>
    <x v="3"/>
  </r>
  <r>
    <n v="701"/>
    <d v="2011-02-01T00:00:00"/>
    <n v="1"/>
    <n v="0"/>
    <n v="2"/>
    <n v="13"/>
    <x v="0"/>
    <n v="2"/>
    <n v="2"/>
    <n v="0.2"/>
    <n v="0.2576"/>
    <n v="0.86"/>
    <n v="0"/>
    <n v="3"/>
    <n v="49"/>
    <n v="52"/>
    <x v="3"/>
  </r>
  <r>
    <n v="702"/>
    <d v="2011-02-01T00:00:00"/>
    <n v="1"/>
    <n v="0"/>
    <n v="2"/>
    <n v="14"/>
    <x v="0"/>
    <n v="2"/>
    <n v="2"/>
    <n v="0.22"/>
    <n v="0.2576"/>
    <n v="0.8"/>
    <n v="8.9599999999999999E-2"/>
    <n v="5"/>
    <n v="49"/>
    <n v="54"/>
    <x v="3"/>
  </r>
  <r>
    <n v="703"/>
    <d v="2011-02-01T00:00:00"/>
    <n v="1"/>
    <n v="0"/>
    <n v="2"/>
    <n v="15"/>
    <x v="0"/>
    <n v="2"/>
    <n v="2"/>
    <n v="0.24"/>
    <n v="0.28789999999999999"/>
    <n v="0.75"/>
    <n v="0"/>
    <n v="7"/>
    <n v="45"/>
    <n v="52"/>
    <x v="3"/>
  </r>
  <r>
    <n v="704"/>
    <d v="2011-02-01T00:00:00"/>
    <n v="1"/>
    <n v="0"/>
    <n v="2"/>
    <n v="16"/>
    <x v="0"/>
    <n v="2"/>
    <n v="2"/>
    <n v="0.24"/>
    <n v="0.2424"/>
    <n v="0.75"/>
    <n v="0.1343"/>
    <n v="3"/>
    <n v="61"/>
    <n v="64"/>
    <x v="3"/>
  </r>
  <r>
    <n v="705"/>
    <d v="2011-02-01T00:00:00"/>
    <n v="1"/>
    <n v="0"/>
    <n v="2"/>
    <n v="17"/>
    <x v="0"/>
    <n v="2"/>
    <n v="2"/>
    <n v="0.24"/>
    <n v="0.28789999999999999"/>
    <n v="0.75"/>
    <n v="0"/>
    <n v="4"/>
    <n v="172"/>
    <n v="176"/>
    <x v="3"/>
  </r>
  <r>
    <n v="706"/>
    <d v="2011-02-01T00:00:00"/>
    <n v="1"/>
    <n v="0"/>
    <n v="2"/>
    <n v="18"/>
    <x v="0"/>
    <n v="2"/>
    <n v="2"/>
    <n v="0.24"/>
    <n v="0.2576"/>
    <n v="0.81"/>
    <n v="0.1045"/>
    <n v="3"/>
    <n v="165"/>
    <n v="168"/>
    <x v="3"/>
  </r>
  <r>
    <n v="707"/>
    <d v="2011-02-01T00:00:00"/>
    <n v="1"/>
    <n v="0"/>
    <n v="2"/>
    <n v="19"/>
    <x v="0"/>
    <n v="2"/>
    <n v="2"/>
    <n v="0.24"/>
    <n v="0.2424"/>
    <n v="0.81"/>
    <n v="0.1343"/>
    <n v="3"/>
    <n v="105"/>
    <n v="108"/>
    <x v="3"/>
  </r>
  <r>
    <n v="708"/>
    <d v="2011-02-01T00:00:00"/>
    <n v="1"/>
    <n v="0"/>
    <n v="2"/>
    <n v="20"/>
    <x v="0"/>
    <n v="2"/>
    <n v="2"/>
    <n v="0.22"/>
    <n v="0.2273"/>
    <n v="0.87"/>
    <n v="0.1343"/>
    <n v="5"/>
    <n v="69"/>
    <n v="74"/>
    <x v="3"/>
  </r>
  <r>
    <n v="709"/>
    <d v="2011-02-01T00:00:00"/>
    <n v="1"/>
    <n v="0"/>
    <n v="2"/>
    <n v="21"/>
    <x v="0"/>
    <n v="2"/>
    <n v="2"/>
    <n v="0.22"/>
    <n v="0.2273"/>
    <n v="0.87"/>
    <n v="0.1343"/>
    <n v="0"/>
    <n v="64"/>
    <n v="64"/>
    <x v="3"/>
  </r>
  <r>
    <n v="710"/>
    <d v="2011-02-01T00:00:00"/>
    <n v="1"/>
    <n v="0"/>
    <n v="2"/>
    <n v="22"/>
    <x v="0"/>
    <n v="2"/>
    <n v="2"/>
    <n v="0.22"/>
    <n v="0.2576"/>
    <n v="0.87"/>
    <n v="8.9599999999999999E-2"/>
    <n v="2"/>
    <n v="34"/>
    <n v="36"/>
    <x v="3"/>
  </r>
  <r>
    <n v="711"/>
    <d v="2011-02-01T00:00:00"/>
    <n v="1"/>
    <n v="0"/>
    <n v="2"/>
    <n v="23"/>
    <x v="0"/>
    <n v="2"/>
    <n v="3"/>
    <n v="0.2"/>
    <n v="0.19700000000000001"/>
    <n v="0.93"/>
    <n v="0.19400000000000001"/>
    <n v="1"/>
    <n v="15"/>
    <n v="16"/>
    <x v="3"/>
  </r>
  <r>
    <n v="712"/>
    <d v="2011-02-02T00:00:00"/>
    <n v="1"/>
    <n v="0"/>
    <n v="2"/>
    <n v="0"/>
    <x v="0"/>
    <n v="3"/>
    <n v="3"/>
    <n v="0.22"/>
    <n v="0.2424"/>
    <n v="0.93"/>
    <n v="0.1045"/>
    <n v="0"/>
    <n v="2"/>
    <n v="2"/>
    <x v="4"/>
  </r>
  <r>
    <n v="713"/>
    <d v="2011-02-02T00:00:00"/>
    <n v="1"/>
    <n v="0"/>
    <n v="2"/>
    <n v="1"/>
    <x v="0"/>
    <n v="3"/>
    <n v="3"/>
    <n v="0.22"/>
    <n v="0.2273"/>
    <n v="0.93"/>
    <n v="0.19400000000000001"/>
    <n v="0"/>
    <n v="3"/>
    <n v="3"/>
    <x v="4"/>
  </r>
  <r>
    <n v="714"/>
    <d v="2011-02-02T00:00:00"/>
    <n v="1"/>
    <n v="0"/>
    <n v="2"/>
    <n v="2"/>
    <x v="0"/>
    <n v="3"/>
    <n v="3"/>
    <n v="0.22"/>
    <n v="0.2273"/>
    <n v="0.93"/>
    <n v="0.1343"/>
    <n v="4"/>
    <n v="0"/>
    <n v="4"/>
    <x v="4"/>
  </r>
  <r>
    <n v="715"/>
    <d v="2011-02-02T00:00:00"/>
    <n v="1"/>
    <n v="0"/>
    <n v="2"/>
    <n v="3"/>
    <x v="0"/>
    <n v="3"/>
    <n v="3"/>
    <n v="0.22"/>
    <n v="0.2273"/>
    <n v="0.93"/>
    <n v="0.1343"/>
    <n v="0"/>
    <n v="1"/>
    <n v="1"/>
    <x v="4"/>
  </r>
  <r>
    <n v="716"/>
    <d v="2011-02-02T00:00:00"/>
    <n v="1"/>
    <n v="0"/>
    <n v="2"/>
    <n v="4"/>
    <x v="0"/>
    <n v="3"/>
    <n v="3"/>
    <n v="0.22"/>
    <n v="0.21210000000000001"/>
    <n v="0.93"/>
    <n v="0.28360000000000002"/>
    <n v="0"/>
    <n v="1"/>
    <n v="1"/>
    <x v="4"/>
  </r>
  <r>
    <n v="717"/>
    <d v="2011-02-02T00:00:00"/>
    <n v="1"/>
    <n v="0"/>
    <n v="2"/>
    <n v="5"/>
    <x v="0"/>
    <n v="3"/>
    <n v="3"/>
    <n v="0.22"/>
    <n v="0.2424"/>
    <n v="0.93"/>
    <n v="0.1045"/>
    <n v="0"/>
    <n v="3"/>
    <n v="3"/>
    <x v="4"/>
  </r>
  <r>
    <n v="718"/>
    <d v="2011-02-02T00:00:00"/>
    <n v="1"/>
    <n v="0"/>
    <n v="2"/>
    <n v="6"/>
    <x v="0"/>
    <n v="3"/>
    <n v="3"/>
    <n v="0.22"/>
    <n v="0.2424"/>
    <n v="0.93"/>
    <n v="0.1045"/>
    <n v="1"/>
    <n v="17"/>
    <n v="18"/>
    <x v="4"/>
  </r>
  <r>
    <n v="719"/>
    <d v="2011-02-02T00:00:00"/>
    <n v="1"/>
    <n v="0"/>
    <n v="2"/>
    <n v="7"/>
    <x v="0"/>
    <n v="3"/>
    <n v="3"/>
    <n v="0.22"/>
    <n v="0.21210000000000001"/>
    <n v="0.93"/>
    <n v="0.22389999999999999"/>
    <n v="1"/>
    <n v="48"/>
    <n v="49"/>
    <x v="4"/>
  </r>
  <r>
    <n v="720"/>
    <d v="2011-02-02T00:00:00"/>
    <n v="1"/>
    <n v="0"/>
    <n v="2"/>
    <n v="8"/>
    <x v="0"/>
    <n v="3"/>
    <n v="3"/>
    <n v="0.22"/>
    <n v="0.21210000000000001"/>
    <n v="0.93"/>
    <n v="0.22389999999999999"/>
    <n v="1"/>
    <n v="154"/>
    <n v="155"/>
    <x v="4"/>
  </r>
  <r>
    <n v="721"/>
    <d v="2011-02-02T00:00:00"/>
    <n v="1"/>
    <n v="0"/>
    <n v="2"/>
    <n v="9"/>
    <x v="0"/>
    <n v="3"/>
    <n v="2"/>
    <n v="0.24"/>
    <n v="0.2576"/>
    <n v="0.93"/>
    <n v="8.9599999999999999E-2"/>
    <n v="4"/>
    <n v="119"/>
    <n v="123"/>
    <x v="4"/>
  </r>
  <r>
    <n v="722"/>
    <d v="2011-02-02T00:00:00"/>
    <n v="1"/>
    <n v="0"/>
    <n v="2"/>
    <n v="10"/>
    <x v="0"/>
    <n v="3"/>
    <n v="2"/>
    <n v="0.22"/>
    <n v="0.2727"/>
    <n v="1"/>
    <n v="0"/>
    <n v="2"/>
    <n v="59"/>
    <n v="61"/>
    <x v="4"/>
  </r>
  <r>
    <n v="723"/>
    <d v="2011-02-02T00:00:00"/>
    <n v="1"/>
    <n v="0"/>
    <n v="2"/>
    <n v="11"/>
    <x v="0"/>
    <n v="3"/>
    <n v="2"/>
    <n v="0.24"/>
    <n v="0.2273"/>
    <n v="0.93"/>
    <n v="0.19400000000000001"/>
    <n v="5"/>
    <n v="47"/>
    <n v="52"/>
    <x v="4"/>
  </r>
  <r>
    <n v="724"/>
    <d v="2011-02-02T00:00:00"/>
    <n v="1"/>
    <n v="0"/>
    <n v="2"/>
    <n v="12"/>
    <x v="0"/>
    <n v="3"/>
    <n v="2"/>
    <n v="0.24"/>
    <n v="0.2273"/>
    <n v="0.93"/>
    <n v="0.22389999999999999"/>
    <n v="3"/>
    <n v="61"/>
    <n v="64"/>
    <x v="4"/>
  </r>
  <r>
    <n v="725"/>
    <d v="2011-02-02T00:00:00"/>
    <n v="1"/>
    <n v="0"/>
    <n v="2"/>
    <n v="13"/>
    <x v="0"/>
    <n v="3"/>
    <n v="1"/>
    <n v="0.34"/>
    <n v="0.33329999999999999"/>
    <n v="0.93"/>
    <n v="0.16420000000000001"/>
    <n v="1"/>
    <n v="74"/>
    <n v="75"/>
    <x v="4"/>
  </r>
  <r>
    <n v="726"/>
    <d v="2011-02-02T00:00:00"/>
    <n v="1"/>
    <n v="0"/>
    <n v="2"/>
    <n v="14"/>
    <x v="0"/>
    <n v="3"/>
    <n v="1"/>
    <n v="0.38"/>
    <n v="0.39389999999999997"/>
    <n v="0.82"/>
    <n v="0.3881"/>
    <n v="2"/>
    <n v="61"/>
    <n v="63"/>
    <x v="4"/>
  </r>
  <r>
    <n v="727"/>
    <d v="2011-02-02T00:00:00"/>
    <n v="1"/>
    <n v="0"/>
    <n v="2"/>
    <n v="15"/>
    <x v="0"/>
    <n v="3"/>
    <n v="1"/>
    <n v="0.38"/>
    <n v="0.39389999999999997"/>
    <n v="0.76"/>
    <n v="0.32840000000000003"/>
    <n v="10"/>
    <n v="66"/>
    <n v="76"/>
    <x v="4"/>
  </r>
  <r>
    <n v="728"/>
    <d v="2011-02-02T00:00:00"/>
    <n v="1"/>
    <n v="0"/>
    <n v="2"/>
    <n v="16"/>
    <x v="0"/>
    <n v="3"/>
    <n v="1"/>
    <n v="0.36"/>
    <n v="0.33329999999999999"/>
    <n v="0.71"/>
    <n v="0.29849999999999999"/>
    <n v="8"/>
    <n v="95"/>
    <n v="103"/>
    <x v="4"/>
  </r>
  <r>
    <n v="729"/>
    <d v="2011-02-02T00:00:00"/>
    <n v="1"/>
    <n v="0"/>
    <n v="2"/>
    <n v="17"/>
    <x v="0"/>
    <n v="3"/>
    <n v="1"/>
    <n v="0.36"/>
    <n v="0.31819999999999998"/>
    <n v="0.53"/>
    <n v="0.52239999999999998"/>
    <n v="7"/>
    <n v="183"/>
    <n v="190"/>
    <x v="4"/>
  </r>
  <r>
    <n v="730"/>
    <d v="2011-02-02T00:00:00"/>
    <n v="1"/>
    <n v="0"/>
    <n v="2"/>
    <n v="18"/>
    <x v="0"/>
    <n v="3"/>
    <n v="1"/>
    <n v="0.34"/>
    <n v="0.28789999999999999"/>
    <n v="0.42"/>
    <n v="0.55220000000000002"/>
    <n v="7"/>
    <n v="175"/>
    <n v="182"/>
    <x v="4"/>
  </r>
  <r>
    <n v="731"/>
    <d v="2011-02-02T00:00:00"/>
    <n v="1"/>
    <n v="0"/>
    <n v="2"/>
    <n v="19"/>
    <x v="0"/>
    <n v="3"/>
    <n v="1"/>
    <n v="0.28000000000000003"/>
    <n v="0.2424"/>
    <n v="0.45"/>
    <n v="0.49249999999999999"/>
    <n v="3"/>
    <n v="88"/>
    <n v="91"/>
    <x v="4"/>
  </r>
  <r>
    <n v="732"/>
    <d v="2011-02-02T00:00:00"/>
    <n v="1"/>
    <n v="0"/>
    <n v="2"/>
    <n v="20"/>
    <x v="0"/>
    <n v="3"/>
    <n v="1"/>
    <n v="0.24"/>
    <n v="0.19700000000000001"/>
    <n v="0.48"/>
    <n v="0.55220000000000002"/>
    <n v="4"/>
    <n v="71"/>
    <n v="75"/>
    <x v="4"/>
  </r>
  <r>
    <n v="733"/>
    <d v="2011-02-02T00:00:00"/>
    <n v="1"/>
    <n v="0"/>
    <n v="2"/>
    <n v="21"/>
    <x v="0"/>
    <n v="3"/>
    <n v="1"/>
    <n v="0.22"/>
    <n v="0.19700000000000001"/>
    <n v="0.47"/>
    <n v="0.32840000000000003"/>
    <n v="1"/>
    <n v="62"/>
    <n v="63"/>
    <x v="4"/>
  </r>
  <r>
    <n v="734"/>
    <d v="2011-02-02T00:00:00"/>
    <n v="1"/>
    <n v="0"/>
    <n v="2"/>
    <n v="22"/>
    <x v="0"/>
    <n v="3"/>
    <n v="1"/>
    <n v="0.22"/>
    <n v="0.21210000000000001"/>
    <n v="0.44"/>
    <n v="0.25369999999999998"/>
    <n v="5"/>
    <n v="35"/>
    <n v="40"/>
    <x v="4"/>
  </r>
  <r>
    <n v="735"/>
    <d v="2011-02-02T00:00:00"/>
    <n v="1"/>
    <n v="0"/>
    <n v="2"/>
    <n v="23"/>
    <x v="0"/>
    <n v="3"/>
    <n v="1"/>
    <n v="0.2"/>
    <n v="0.16669999999999999"/>
    <n v="0.44"/>
    <n v="0.44779999999999998"/>
    <n v="3"/>
    <n v="29"/>
    <n v="32"/>
    <x v="4"/>
  </r>
  <r>
    <n v="736"/>
    <d v="2011-02-03T00:00:00"/>
    <n v="1"/>
    <n v="0"/>
    <n v="2"/>
    <n v="0"/>
    <x v="0"/>
    <n v="4"/>
    <n v="1"/>
    <n v="0.2"/>
    <n v="0.16669999999999999"/>
    <n v="0.4"/>
    <n v="0.44779999999999998"/>
    <n v="1"/>
    <n v="11"/>
    <n v="12"/>
    <x v="5"/>
  </r>
  <r>
    <n v="737"/>
    <d v="2011-02-03T00:00:00"/>
    <n v="1"/>
    <n v="0"/>
    <n v="2"/>
    <n v="1"/>
    <x v="0"/>
    <n v="4"/>
    <n v="1"/>
    <n v="0.2"/>
    <n v="0.1515"/>
    <n v="0.44"/>
    <n v="0.52239999999999998"/>
    <n v="0"/>
    <n v="5"/>
    <n v="5"/>
    <x v="5"/>
  </r>
  <r>
    <n v="738"/>
    <d v="2011-02-03T00:00:00"/>
    <n v="1"/>
    <n v="0"/>
    <n v="2"/>
    <n v="2"/>
    <x v="0"/>
    <n v="4"/>
    <n v="1"/>
    <n v="0.18"/>
    <n v="0.16669999999999999"/>
    <n v="0.43"/>
    <n v="0.25369999999999998"/>
    <n v="0"/>
    <n v="2"/>
    <n v="2"/>
    <x v="5"/>
  </r>
  <r>
    <n v="739"/>
    <d v="2011-02-03T00:00:00"/>
    <n v="1"/>
    <n v="0"/>
    <n v="2"/>
    <n v="3"/>
    <x v="0"/>
    <n v="4"/>
    <n v="1"/>
    <n v="0.18"/>
    <n v="0.16669999999999999"/>
    <n v="0.43"/>
    <n v="0.25369999999999998"/>
    <n v="0"/>
    <n v="1"/>
    <n v="1"/>
    <x v="5"/>
  </r>
  <r>
    <n v="740"/>
    <d v="2011-02-03T00:00:00"/>
    <n v="1"/>
    <n v="0"/>
    <n v="2"/>
    <n v="5"/>
    <x v="0"/>
    <n v="4"/>
    <n v="1"/>
    <n v="0.16"/>
    <n v="0.13639999999999999"/>
    <n v="0.5"/>
    <n v="0.29849999999999999"/>
    <n v="0"/>
    <n v="2"/>
    <n v="2"/>
    <x v="5"/>
  </r>
  <r>
    <n v="741"/>
    <d v="2011-02-03T00:00:00"/>
    <n v="1"/>
    <n v="0"/>
    <n v="2"/>
    <n v="6"/>
    <x v="0"/>
    <n v="4"/>
    <n v="1"/>
    <n v="0.16"/>
    <n v="0.13639999999999999"/>
    <n v="0.43"/>
    <n v="0.35820000000000002"/>
    <n v="0"/>
    <n v="39"/>
    <n v="39"/>
    <x v="5"/>
  </r>
  <r>
    <n v="742"/>
    <d v="2011-02-03T00:00:00"/>
    <n v="1"/>
    <n v="0"/>
    <n v="2"/>
    <n v="7"/>
    <x v="0"/>
    <n v="4"/>
    <n v="1"/>
    <n v="0.14000000000000001"/>
    <n v="0.1212"/>
    <n v="0.5"/>
    <n v="0.32840000000000003"/>
    <n v="1"/>
    <n v="86"/>
    <n v="87"/>
    <x v="5"/>
  </r>
  <r>
    <n v="743"/>
    <d v="2011-02-03T00:00:00"/>
    <n v="1"/>
    <n v="0"/>
    <n v="2"/>
    <n v="8"/>
    <x v="0"/>
    <n v="4"/>
    <n v="1"/>
    <n v="0.14000000000000001"/>
    <n v="0.1212"/>
    <n v="0.5"/>
    <n v="0.35820000000000002"/>
    <n v="4"/>
    <n v="184"/>
    <n v="188"/>
    <x v="5"/>
  </r>
  <r>
    <n v="744"/>
    <d v="2011-02-03T00:00:00"/>
    <n v="1"/>
    <n v="0"/>
    <n v="2"/>
    <n v="9"/>
    <x v="0"/>
    <n v="4"/>
    <n v="1"/>
    <n v="0.16"/>
    <n v="0.13639999999999999"/>
    <n v="0.47"/>
    <n v="0.29849999999999999"/>
    <n v="6"/>
    <n v="127"/>
    <n v="133"/>
    <x v="5"/>
  </r>
  <r>
    <n v="745"/>
    <d v="2011-02-03T00:00:00"/>
    <n v="1"/>
    <n v="0"/>
    <n v="2"/>
    <n v="10"/>
    <x v="0"/>
    <n v="4"/>
    <n v="1"/>
    <n v="0.18"/>
    <n v="0.1515"/>
    <n v="0.43"/>
    <n v="0.32840000000000003"/>
    <n v="2"/>
    <n v="50"/>
    <n v="52"/>
    <x v="5"/>
  </r>
  <r>
    <n v="746"/>
    <d v="2011-02-03T00:00:00"/>
    <n v="1"/>
    <n v="0"/>
    <n v="2"/>
    <n v="11"/>
    <x v="0"/>
    <n v="4"/>
    <n v="1"/>
    <n v="0.18"/>
    <n v="0.13639999999999999"/>
    <n v="0.43"/>
    <n v="0.44779999999999998"/>
    <n v="9"/>
    <n v="55"/>
    <n v="64"/>
    <x v="5"/>
  </r>
  <r>
    <n v="747"/>
    <d v="2011-02-03T00:00:00"/>
    <n v="1"/>
    <n v="0"/>
    <n v="2"/>
    <n v="12"/>
    <x v="0"/>
    <n v="4"/>
    <n v="1"/>
    <n v="0.2"/>
    <n v="0.18179999999999999"/>
    <n v="0.4"/>
    <n v="0.35820000000000002"/>
    <n v="2"/>
    <n v="67"/>
    <n v="69"/>
    <x v="5"/>
  </r>
  <r>
    <n v="748"/>
    <d v="2011-02-03T00:00:00"/>
    <n v="1"/>
    <n v="0"/>
    <n v="2"/>
    <n v="13"/>
    <x v="0"/>
    <n v="4"/>
    <n v="1"/>
    <n v="0.2"/>
    <n v="0.16669999999999999"/>
    <n v="0.4"/>
    <n v="0.41789999999999999"/>
    <n v="4"/>
    <n v="47"/>
    <n v="51"/>
    <x v="5"/>
  </r>
  <r>
    <n v="749"/>
    <d v="2011-02-03T00:00:00"/>
    <n v="1"/>
    <n v="0"/>
    <n v="2"/>
    <n v="14"/>
    <x v="0"/>
    <n v="4"/>
    <n v="1"/>
    <n v="0.22"/>
    <n v="0.19700000000000001"/>
    <n v="0.37"/>
    <n v="0.3881"/>
    <n v="4"/>
    <n v="43"/>
    <n v="47"/>
    <x v="5"/>
  </r>
  <r>
    <n v="750"/>
    <d v="2011-02-03T00:00:00"/>
    <n v="1"/>
    <n v="0"/>
    <n v="2"/>
    <n v="15"/>
    <x v="0"/>
    <n v="4"/>
    <n v="1"/>
    <n v="0.22"/>
    <n v="0.19700000000000001"/>
    <n v="0.37"/>
    <n v="0.32840000000000003"/>
    <n v="4"/>
    <n v="56"/>
    <n v="60"/>
    <x v="5"/>
  </r>
  <r>
    <n v="751"/>
    <d v="2011-02-03T00:00:00"/>
    <n v="1"/>
    <n v="0"/>
    <n v="2"/>
    <n v="16"/>
    <x v="0"/>
    <n v="4"/>
    <n v="1"/>
    <n v="0.22"/>
    <n v="0.21210000000000001"/>
    <n v="0.37"/>
    <n v="0.25369999999999998"/>
    <n v="5"/>
    <n v="73"/>
    <n v="78"/>
    <x v="5"/>
  </r>
  <r>
    <n v="752"/>
    <d v="2011-02-03T00:00:00"/>
    <n v="1"/>
    <n v="0"/>
    <n v="2"/>
    <n v="17"/>
    <x v="0"/>
    <n v="4"/>
    <n v="1"/>
    <n v="0.2"/>
    <n v="0.19700000000000001"/>
    <n v="0.4"/>
    <n v="0.19400000000000001"/>
    <n v="5"/>
    <n v="170"/>
    <n v="175"/>
    <x v="5"/>
  </r>
  <r>
    <n v="753"/>
    <d v="2011-02-03T00:00:00"/>
    <n v="1"/>
    <n v="0"/>
    <n v="2"/>
    <n v="18"/>
    <x v="0"/>
    <n v="4"/>
    <n v="1"/>
    <n v="0.2"/>
    <n v="0.21210000000000001"/>
    <n v="0.4"/>
    <n v="0.16420000000000001"/>
    <n v="2"/>
    <n v="145"/>
    <n v="147"/>
    <x v="5"/>
  </r>
  <r>
    <n v="754"/>
    <d v="2011-02-03T00:00:00"/>
    <n v="1"/>
    <n v="0"/>
    <n v="2"/>
    <n v="19"/>
    <x v="0"/>
    <n v="4"/>
    <n v="1"/>
    <n v="0.2"/>
    <n v="0.2576"/>
    <n v="0.4"/>
    <n v="0"/>
    <n v="4"/>
    <n v="92"/>
    <n v="96"/>
    <x v="5"/>
  </r>
  <r>
    <n v="755"/>
    <d v="2011-02-03T00:00:00"/>
    <n v="1"/>
    <n v="0"/>
    <n v="2"/>
    <n v="20"/>
    <x v="0"/>
    <n v="4"/>
    <n v="1"/>
    <n v="0.2"/>
    <n v="0.2273"/>
    <n v="0.47"/>
    <n v="8.9599999999999999E-2"/>
    <n v="1"/>
    <n v="108"/>
    <n v="109"/>
    <x v="5"/>
  </r>
  <r>
    <n v="756"/>
    <d v="2011-02-03T00:00:00"/>
    <n v="1"/>
    <n v="0"/>
    <n v="2"/>
    <n v="21"/>
    <x v="0"/>
    <n v="4"/>
    <n v="1"/>
    <n v="0.18"/>
    <n v="0.21210000000000001"/>
    <n v="0.55000000000000004"/>
    <n v="0.1045"/>
    <n v="1"/>
    <n v="53"/>
    <n v="54"/>
    <x v="5"/>
  </r>
  <r>
    <n v="757"/>
    <d v="2011-02-03T00:00:00"/>
    <n v="1"/>
    <n v="0"/>
    <n v="2"/>
    <n v="22"/>
    <x v="0"/>
    <n v="4"/>
    <n v="1"/>
    <n v="0.18"/>
    <n v="0.21210000000000001"/>
    <n v="0.51"/>
    <n v="8.9599999999999999E-2"/>
    <n v="2"/>
    <n v="39"/>
    <n v="41"/>
    <x v="5"/>
  </r>
  <r>
    <n v="758"/>
    <d v="2011-02-03T00:00:00"/>
    <n v="1"/>
    <n v="0"/>
    <n v="2"/>
    <n v="23"/>
    <x v="0"/>
    <n v="4"/>
    <n v="1"/>
    <n v="0.2"/>
    <n v="0.2273"/>
    <n v="0.47"/>
    <n v="0.1045"/>
    <n v="4"/>
    <n v="34"/>
    <n v="38"/>
    <x v="5"/>
  </r>
  <r>
    <n v="759"/>
    <d v="2011-02-04T00:00:00"/>
    <n v="1"/>
    <n v="0"/>
    <n v="2"/>
    <n v="0"/>
    <x v="0"/>
    <n v="5"/>
    <n v="2"/>
    <n v="0.2"/>
    <n v="0.2576"/>
    <n v="0.44"/>
    <n v="0"/>
    <n v="3"/>
    <n v="10"/>
    <n v="13"/>
    <x v="6"/>
  </r>
  <r>
    <n v="760"/>
    <d v="2011-02-04T00:00:00"/>
    <n v="1"/>
    <n v="0"/>
    <n v="2"/>
    <n v="1"/>
    <x v="0"/>
    <n v="5"/>
    <n v="2"/>
    <n v="0.16"/>
    <n v="0.2273"/>
    <n v="0.59"/>
    <n v="0"/>
    <n v="0"/>
    <n v="7"/>
    <n v="7"/>
    <x v="6"/>
  </r>
  <r>
    <n v="761"/>
    <d v="2011-02-04T00:00:00"/>
    <n v="1"/>
    <n v="0"/>
    <n v="2"/>
    <n v="2"/>
    <x v="0"/>
    <n v="5"/>
    <n v="2"/>
    <n v="0.14000000000000001"/>
    <n v="0.16669999999999999"/>
    <n v="0.63"/>
    <n v="0.1045"/>
    <n v="0"/>
    <n v="1"/>
    <n v="1"/>
    <x v="6"/>
  </r>
  <r>
    <n v="762"/>
    <d v="2011-02-04T00:00:00"/>
    <n v="1"/>
    <n v="0"/>
    <n v="2"/>
    <n v="3"/>
    <x v="0"/>
    <n v="5"/>
    <n v="2"/>
    <n v="0.14000000000000001"/>
    <n v="0.16669999999999999"/>
    <n v="0.63"/>
    <n v="0.1045"/>
    <n v="0"/>
    <n v="1"/>
    <n v="1"/>
    <x v="6"/>
  </r>
  <r>
    <n v="763"/>
    <d v="2011-02-04T00:00:00"/>
    <n v="1"/>
    <n v="0"/>
    <n v="2"/>
    <n v="5"/>
    <x v="0"/>
    <n v="5"/>
    <n v="2"/>
    <n v="0.14000000000000001"/>
    <n v="0.1515"/>
    <n v="0.63"/>
    <n v="0.1343"/>
    <n v="0"/>
    <n v="7"/>
    <n v="7"/>
    <x v="6"/>
  </r>
  <r>
    <n v="764"/>
    <d v="2011-02-04T00:00:00"/>
    <n v="1"/>
    <n v="0"/>
    <n v="2"/>
    <n v="6"/>
    <x v="0"/>
    <n v="5"/>
    <n v="2"/>
    <n v="0.16"/>
    <n v="0.2273"/>
    <n v="0.55000000000000004"/>
    <n v="0"/>
    <n v="2"/>
    <n v="26"/>
    <n v="28"/>
    <x v="6"/>
  </r>
  <r>
    <n v="765"/>
    <d v="2011-02-04T00:00:00"/>
    <n v="1"/>
    <n v="0"/>
    <n v="2"/>
    <n v="7"/>
    <x v="0"/>
    <n v="5"/>
    <n v="1"/>
    <n v="0.14000000000000001"/>
    <n v="0.21210000000000001"/>
    <n v="0.59"/>
    <n v="0"/>
    <n v="0"/>
    <n v="87"/>
    <n v="87"/>
    <x v="6"/>
  </r>
  <r>
    <n v="766"/>
    <d v="2011-02-04T00:00:00"/>
    <n v="1"/>
    <n v="0"/>
    <n v="2"/>
    <n v="8"/>
    <x v="0"/>
    <n v="5"/>
    <n v="1"/>
    <n v="0.14000000000000001"/>
    <n v="0.1515"/>
    <n v="0.74"/>
    <n v="0.1343"/>
    <n v="3"/>
    <n v="217"/>
    <n v="220"/>
    <x v="6"/>
  </r>
  <r>
    <n v="767"/>
    <d v="2011-02-04T00:00:00"/>
    <n v="1"/>
    <n v="0"/>
    <n v="2"/>
    <n v="9"/>
    <x v="0"/>
    <n v="5"/>
    <n v="2"/>
    <n v="0.16"/>
    <n v="0.18179999999999999"/>
    <n v="0.8"/>
    <n v="0.1343"/>
    <n v="3"/>
    <n v="124"/>
    <n v="127"/>
    <x v="6"/>
  </r>
  <r>
    <n v="768"/>
    <d v="2011-02-04T00:00:00"/>
    <n v="1"/>
    <n v="0"/>
    <n v="2"/>
    <n v="10"/>
    <x v="0"/>
    <n v="5"/>
    <n v="2"/>
    <n v="0.2"/>
    <n v="0.21210000000000001"/>
    <n v="0.51"/>
    <n v="0.1343"/>
    <n v="5"/>
    <n v="46"/>
    <n v="51"/>
    <x v="6"/>
  </r>
  <r>
    <n v="769"/>
    <d v="2011-02-04T00:00:00"/>
    <n v="1"/>
    <n v="0"/>
    <n v="2"/>
    <n v="11"/>
    <x v="0"/>
    <n v="5"/>
    <n v="1"/>
    <n v="0.22"/>
    <n v="0.2273"/>
    <n v="0.51"/>
    <n v="0.16420000000000001"/>
    <n v="3"/>
    <n v="61"/>
    <n v="64"/>
    <x v="6"/>
  </r>
  <r>
    <n v="770"/>
    <d v="2011-02-04T00:00:00"/>
    <n v="1"/>
    <n v="0"/>
    <n v="2"/>
    <n v="12"/>
    <x v="0"/>
    <n v="5"/>
    <n v="2"/>
    <n v="0.24"/>
    <n v="0.2424"/>
    <n v="0.48"/>
    <n v="0.16420000000000001"/>
    <n v="8"/>
    <n v="78"/>
    <n v="86"/>
    <x v="6"/>
  </r>
  <r>
    <n v="771"/>
    <d v="2011-02-04T00:00:00"/>
    <n v="1"/>
    <n v="0"/>
    <n v="2"/>
    <n v="13"/>
    <x v="0"/>
    <n v="5"/>
    <n v="2"/>
    <n v="0.26"/>
    <n v="0.2576"/>
    <n v="0.5"/>
    <n v="0.22389999999999999"/>
    <n v="9"/>
    <n v="73"/>
    <n v="82"/>
    <x v="6"/>
  </r>
  <r>
    <n v="772"/>
    <d v="2011-02-04T00:00:00"/>
    <n v="1"/>
    <n v="0"/>
    <n v="2"/>
    <n v="14"/>
    <x v="0"/>
    <n v="5"/>
    <n v="2"/>
    <n v="0.28000000000000003"/>
    <n v="0.2727"/>
    <n v="0.45"/>
    <n v="0.16420000000000001"/>
    <n v="15"/>
    <n v="76"/>
    <n v="91"/>
    <x v="6"/>
  </r>
  <r>
    <n v="773"/>
    <d v="2011-02-04T00:00:00"/>
    <n v="1"/>
    <n v="0"/>
    <n v="2"/>
    <n v="15"/>
    <x v="0"/>
    <n v="5"/>
    <n v="2"/>
    <n v="0.28000000000000003"/>
    <n v="0.2727"/>
    <n v="0.48"/>
    <n v="0.25369999999999998"/>
    <n v="9"/>
    <n v="81"/>
    <n v="90"/>
    <x v="6"/>
  </r>
  <r>
    <n v="774"/>
    <d v="2011-02-04T00:00:00"/>
    <n v="1"/>
    <n v="0"/>
    <n v="2"/>
    <n v="16"/>
    <x v="0"/>
    <n v="5"/>
    <n v="2"/>
    <n v="0.3"/>
    <n v="0.28789999999999999"/>
    <n v="0.42"/>
    <n v="0.22389999999999999"/>
    <n v="8"/>
    <n v="91"/>
    <n v="99"/>
    <x v="6"/>
  </r>
  <r>
    <n v="775"/>
    <d v="2011-02-04T00:00:00"/>
    <n v="1"/>
    <n v="0"/>
    <n v="2"/>
    <n v="17"/>
    <x v="0"/>
    <n v="5"/>
    <n v="2"/>
    <n v="0.26"/>
    <n v="0.2727"/>
    <n v="0.56000000000000005"/>
    <n v="0.1343"/>
    <n v="10"/>
    <n v="195"/>
    <n v="205"/>
    <x v="6"/>
  </r>
  <r>
    <n v="776"/>
    <d v="2011-02-04T00:00:00"/>
    <n v="1"/>
    <n v="0"/>
    <n v="2"/>
    <n v="18"/>
    <x v="0"/>
    <n v="5"/>
    <n v="2"/>
    <n v="0.24"/>
    <n v="0.2576"/>
    <n v="0.6"/>
    <n v="0.1045"/>
    <n v="3"/>
    <n v="152"/>
    <n v="155"/>
    <x v="6"/>
  </r>
  <r>
    <n v="777"/>
    <d v="2011-02-04T00:00:00"/>
    <n v="1"/>
    <n v="0"/>
    <n v="2"/>
    <n v="19"/>
    <x v="0"/>
    <n v="5"/>
    <n v="2"/>
    <n v="0.24"/>
    <n v="0.2424"/>
    <n v="0.65"/>
    <n v="0.1343"/>
    <n v="1"/>
    <n v="102"/>
    <n v="103"/>
    <x v="6"/>
  </r>
  <r>
    <n v="778"/>
    <d v="2011-02-04T00:00:00"/>
    <n v="1"/>
    <n v="0"/>
    <n v="2"/>
    <n v="20"/>
    <x v="0"/>
    <n v="5"/>
    <n v="2"/>
    <n v="0.24"/>
    <n v="0.2424"/>
    <n v="0.65"/>
    <n v="0.16420000000000001"/>
    <n v="2"/>
    <n v="69"/>
    <n v="71"/>
    <x v="6"/>
  </r>
  <r>
    <n v="779"/>
    <d v="2011-02-04T00:00:00"/>
    <n v="1"/>
    <n v="0"/>
    <n v="2"/>
    <n v="21"/>
    <x v="0"/>
    <n v="5"/>
    <n v="2"/>
    <n v="0.24"/>
    <n v="0.2424"/>
    <n v="0.7"/>
    <n v="0.16420000000000001"/>
    <n v="2"/>
    <n v="41"/>
    <n v="43"/>
    <x v="6"/>
  </r>
  <r>
    <n v="780"/>
    <d v="2011-02-04T00:00:00"/>
    <n v="1"/>
    <n v="0"/>
    <n v="2"/>
    <n v="22"/>
    <x v="0"/>
    <n v="5"/>
    <n v="2"/>
    <n v="0.24"/>
    <n v="0.2424"/>
    <n v="0.65"/>
    <n v="0.16420000000000001"/>
    <n v="1"/>
    <n v="45"/>
    <n v="46"/>
    <x v="6"/>
  </r>
  <r>
    <n v="781"/>
    <d v="2011-02-04T00:00:00"/>
    <n v="1"/>
    <n v="0"/>
    <n v="2"/>
    <n v="23"/>
    <x v="0"/>
    <n v="5"/>
    <n v="2"/>
    <n v="0.24"/>
    <n v="0.2424"/>
    <n v="0.7"/>
    <n v="0.1343"/>
    <n v="1"/>
    <n v="30"/>
    <n v="31"/>
    <x v="6"/>
  </r>
  <r>
    <n v="782"/>
    <d v="2011-02-05T00:00:00"/>
    <n v="1"/>
    <n v="0"/>
    <n v="2"/>
    <n v="0"/>
    <x v="0"/>
    <n v="6"/>
    <n v="2"/>
    <n v="0.24"/>
    <n v="0.2424"/>
    <n v="0.7"/>
    <n v="0.16420000000000001"/>
    <n v="3"/>
    <n v="36"/>
    <n v="39"/>
    <x v="0"/>
  </r>
  <r>
    <n v="783"/>
    <d v="2011-02-05T00:00:00"/>
    <n v="1"/>
    <n v="0"/>
    <n v="2"/>
    <n v="1"/>
    <x v="0"/>
    <n v="6"/>
    <n v="2"/>
    <n v="0.24"/>
    <n v="0.2424"/>
    <n v="0.65"/>
    <n v="0.16420000000000001"/>
    <n v="1"/>
    <n v="17"/>
    <n v="18"/>
    <x v="0"/>
  </r>
  <r>
    <n v="784"/>
    <d v="2011-02-05T00:00:00"/>
    <n v="1"/>
    <n v="0"/>
    <n v="2"/>
    <n v="2"/>
    <x v="0"/>
    <n v="6"/>
    <n v="2"/>
    <n v="0.24"/>
    <n v="0.2424"/>
    <n v="0.75"/>
    <n v="0.16420000000000001"/>
    <n v="5"/>
    <n v="12"/>
    <n v="17"/>
    <x v="0"/>
  </r>
  <r>
    <n v="785"/>
    <d v="2011-02-05T00:00:00"/>
    <n v="1"/>
    <n v="0"/>
    <n v="2"/>
    <n v="3"/>
    <x v="0"/>
    <n v="6"/>
    <n v="2"/>
    <n v="0.24"/>
    <n v="0.2424"/>
    <n v="0.75"/>
    <n v="0.16420000000000001"/>
    <n v="1"/>
    <n v="10"/>
    <n v="11"/>
    <x v="0"/>
  </r>
  <r>
    <n v="786"/>
    <d v="2011-02-05T00:00:00"/>
    <n v="1"/>
    <n v="0"/>
    <n v="2"/>
    <n v="4"/>
    <x v="0"/>
    <n v="6"/>
    <n v="3"/>
    <n v="0.22"/>
    <n v="0.2273"/>
    <n v="0.93"/>
    <n v="0.1343"/>
    <n v="0"/>
    <n v="8"/>
    <n v="8"/>
    <x v="0"/>
  </r>
  <r>
    <n v="787"/>
    <d v="2011-02-05T00:00:00"/>
    <n v="1"/>
    <n v="0"/>
    <n v="2"/>
    <n v="5"/>
    <x v="0"/>
    <n v="6"/>
    <n v="3"/>
    <n v="0.2"/>
    <n v="0.2273"/>
    <n v="1"/>
    <n v="8.9599999999999999E-2"/>
    <n v="0"/>
    <n v="9"/>
    <n v="9"/>
    <x v="0"/>
  </r>
  <r>
    <n v="788"/>
    <d v="2011-02-05T00:00:00"/>
    <n v="1"/>
    <n v="0"/>
    <n v="2"/>
    <n v="6"/>
    <x v="0"/>
    <n v="6"/>
    <n v="3"/>
    <n v="0.2"/>
    <n v="0.2576"/>
    <n v="1"/>
    <n v="0"/>
    <n v="0"/>
    <n v="4"/>
    <n v="4"/>
    <x v="0"/>
  </r>
  <r>
    <n v="789"/>
    <d v="2011-02-05T00:00:00"/>
    <n v="1"/>
    <n v="0"/>
    <n v="2"/>
    <n v="7"/>
    <x v="0"/>
    <n v="6"/>
    <n v="3"/>
    <n v="0.22"/>
    <n v="0.2576"/>
    <n v="0.93"/>
    <n v="8.9599999999999999E-2"/>
    <n v="0"/>
    <n v="4"/>
    <n v="4"/>
    <x v="0"/>
  </r>
  <r>
    <n v="790"/>
    <d v="2011-02-05T00:00:00"/>
    <n v="1"/>
    <n v="0"/>
    <n v="2"/>
    <n v="8"/>
    <x v="0"/>
    <n v="6"/>
    <n v="3"/>
    <n v="0.2"/>
    <n v="0.2273"/>
    <n v="1"/>
    <n v="8.9599999999999999E-2"/>
    <n v="0"/>
    <n v="10"/>
    <n v="10"/>
    <x v="0"/>
  </r>
  <r>
    <n v="791"/>
    <d v="2011-02-05T00:00:00"/>
    <n v="1"/>
    <n v="0"/>
    <n v="2"/>
    <n v="9"/>
    <x v="0"/>
    <n v="6"/>
    <n v="3"/>
    <n v="0.2"/>
    <n v="0.2273"/>
    <n v="1"/>
    <n v="8.9599999999999999E-2"/>
    <n v="3"/>
    <n v="17"/>
    <n v="20"/>
    <x v="0"/>
  </r>
  <r>
    <n v="792"/>
    <d v="2011-02-05T00:00:00"/>
    <n v="1"/>
    <n v="0"/>
    <n v="2"/>
    <n v="10"/>
    <x v="0"/>
    <n v="6"/>
    <n v="3"/>
    <n v="0.2"/>
    <n v="0.21210000000000001"/>
    <n v="1"/>
    <n v="0.1343"/>
    <n v="3"/>
    <n v="31"/>
    <n v="34"/>
    <x v="0"/>
  </r>
  <r>
    <n v="793"/>
    <d v="2011-02-05T00:00:00"/>
    <n v="1"/>
    <n v="0"/>
    <n v="2"/>
    <n v="11"/>
    <x v="0"/>
    <n v="6"/>
    <n v="3"/>
    <n v="0.22"/>
    <n v="0.2273"/>
    <n v="1"/>
    <n v="0.1343"/>
    <n v="1"/>
    <n v="46"/>
    <n v="47"/>
    <x v="0"/>
  </r>
  <r>
    <n v="794"/>
    <d v="2011-02-05T00:00:00"/>
    <n v="1"/>
    <n v="0"/>
    <n v="2"/>
    <n v="12"/>
    <x v="0"/>
    <n v="6"/>
    <n v="3"/>
    <n v="0.22"/>
    <n v="0.2273"/>
    <n v="1"/>
    <n v="0.16420000000000001"/>
    <n v="10"/>
    <n v="42"/>
    <n v="52"/>
    <x v="0"/>
  </r>
  <r>
    <n v="795"/>
    <d v="2011-02-05T00:00:00"/>
    <n v="1"/>
    <n v="0"/>
    <n v="2"/>
    <n v="13"/>
    <x v="0"/>
    <n v="6"/>
    <n v="3"/>
    <n v="0.22"/>
    <n v="0.2273"/>
    <n v="1"/>
    <n v="0.16420000000000001"/>
    <n v="10"/>
    <n v="62"/>
    <n v="72"/>
    <x v="0"/>
  </r>
  <r>
    <n v="796"/>
    <d v="2011-02-05T00:00:00"/>
    <n v="1"/>
    <n v="0"/>
    <n v="2"/>
    <n v="14"/>
    <x v="0"/>
    <n v="6"/>
    <n v="3"/>
    <n v="0.22"/>
    <n v="0.2727"/>
    <n v="1"/>
    <n v="0"/>
    <n v="5"/>
    <n v="50"/>
    <n v="55"/>
    <x v="0"/>
  </r>
  <r>
    <n v="797"/>
    <d v="2011-02-05T00:00:00"/>
    <n v="1"/>
    <n v="0"/>
    <n v="2"/>
    <n v="15"/>
    <x v="0"/>
    <n v="6"/>
    <n v="3"/>
    <n v="0.22"/>
    <n v="0.2727"/>
    <n v="1"/>
    <n v="0"/>
    <n v="11"/>
    <n v="49"/>
    <n v="60"/>
    <x v="0"/>
  </r>
  <r>
    <n v="798"/>
    <d v="2011-02-05T00:00:00"/>
    <n v="1"/>
    <n v="0"/>
    <n v="2"/>
    <n v="16"/>
    <x v="0"/>
    <n v="6"/>
    <n v="3"/>
    <n v="0.22"/>
    <n v="0.2273"/>
    <n v="1"/>
    <n v="0.1343"/>
    <n v="8"/>
    <n v="63"/>
    <n v="71"/>
    <x v="0"/>
  </r>
  <r>
    <n v="799"/>
    <d v="2011-02-05T00:00:00"/>
    <n v="1"/>
    <n v="0"/>
    <n v="2"/>
    <n v="17"/>
    <x v="0"/>
    <n v="6"/>
    <n v="2"/>
    <n v="0.24"/>
    <n v="0.21210000000000001"/>
    <n v="1"/>
    <n v="0.28360000000000002"/>
    <n v="14"/>
    <n v="64"/>
    <n v="78"/>
    <x v="0"/>
  </r>
  <r>
    <n v="800"/>
    <d v="2011-02-05T00:00:00"/>
    <n v="1"/>
    <n v="0"/>
    <n v="2"/>
    <n v="18"/>
    <x v="0"/>
    <n v="6"/>
    <n v="2"/>
    <n v="0.28000000000000003"/>
    <n v="0.2424"/>
    <n v="0.93"/>
    <n v="0.44779999999999998"/>
    <n v="2"/>
    <n v="81"/>
    <n v="83"/>
    <x v="0"/>
  </r>
  <r>
    <n v="801"/>
    <d v="2011-02-05T00:00:00"/>
    <n v="1"/>
    <n v="0"/>
    <n v="2"/>
    <n v="19"/>
    <x v="0"/>
    <n v="6"/>
    <n v="2"/>
    <n v="0.28000000000000003"/>
    <n v="0.2424"/>
    <n v="0.93"/>
    <n v="0.44779999999999998"/>
    <n v="6"/>
    <n v="78"/>
    <n v="84"/>
    <x v="0"/>
  </r>
  <r>
    <n v="802"/>
    <d v="2011-02-05T00:00:00"/>
    <n v="1"/>
    <n v="0"/>
    <n v="2"/>
    <n v="20"/>
    <x v="0"/>
    <n v="6"/>
    <n v="1"/>
    <n v="0.3"/>
    <n v="0.28789999999999999"/>
    <n v="0.87"/>
    <n v="0.25369999999999998"/>
    <n v="5"/>
    <n v="64"/>
    <n v="69"/>
    <x v="0"/>
  </r>
  <r>
    <n v="803"/>
    <d v="2011-02-05T00:00:00"/>
    <n v="1"/>
    <n v="0"/>
    <n v="2"/>
    <n v="21"/>
    <x v="0"/>
    <n v="6"/>
    <n v="1"/>
    <n v="0.26"/>
    <n v="0.2576"/>
    <n v="1"/>
    <n v="0.19400000000000001"/>
    <n v="3"/>
    <n v="53"/>
    <n v="56"/>
    <x v="0"/>
  </r>
  <r>
    <n v="804"/>
    <d v="2011-02-05T00:00:00"/>
    <n v="1"/>
    <n v="0"/>
    <n v="2"/>
    <n v="22"/>
    <x v="0"/>
    <n v="6"/>
    <n v="1"/>
    <n v="0.26"/>
    <n v="0.2727"/>
    <n v="0.93"/>
    <n v="0.1343"/>
    <n v="2"/>
    <n v="43"/>
    <n v="45"/>
    <x v="0"/>
  </r>
  <r>
    <n v="805"/>
    <d v="2011-02-05T00:00:00"/>
    <n v="1"/>
    <n v="0"/>
    <n v="2"/>
    <n v="23"/>
    <x v="0"/>
    <n v="6"/>
    <n v="1"/>
    <n v="0.26"/>
    <n v="0.2576"/>
    <n v="0.93"/>
    <n v="0.22389999999999999"/>
    <n v="7"/>
    <n v="52"/>
    <n v="59"/>
    <x v="0"/>
  </r>
  <r>
    <n v="806"/>
    <d v="2011-02-06T00:00:00"/>
    <n v="1"/>
    <n v="0"/>
    <n v="2"/>
    <n v="0"/>
    <x v="0"/>
    <n v="0"/>
    <n v="1"/>
    <n v="0.26"/>
    <n v="0.2576"/>
    <n v="0.7"/>
    <n v="0.19400000000000001"/>
    <n v="2"/>
    <n v="37"/>
    <n v="39"/>
    <x v="1"/>
  </r>
  <r>
    <n v="807"/>
    <d v="2011-02-06T00:00:00"/>
    <n v="1"/>
    <n v="0"/>
    <n v="2"/>
    <n v="1"/>
    <x v="0"/>
    <n v="0"/>
    <n v="1"/>
    <n v="0.26"/>
    <n v="0.2273"/>
    <n v="0.65"/>
    <n v="0.41789999999999999"/>
    <n v="4"/>
    <n v="40"/>
    <n v="44"/>
    <x v="1"/>
  </r>
  <r>
    <n v="808"/>
    <d v="2011-02-06T00:00:00"/>
    <n v="1"/>
    <n v="0"/>
    <n v="2"/>
    <n v="2"/>
    <x v="0"/>
    <n v="0"/>
    <n v="1"/>
    <n v="0.26"/>
    <n v="0.2273"/>
    <n v="0.6"/>
    <n v="0.32840000000000003"/>
    <n v="0"/>
    <n v="20"/>
    <n v="20"/>
    <x v="1"/>
  </r>
  <r>
    <n v="809"/>
    <d v="2011-02-06T00:00:00"/>
    <n v="1"/>
    <n v="0"/>
    <n v="2"/>
    <n v="3"/>
    <x v="0"/>
    <n v="0"/>
    <n v="1"/>
    <n v="0.26"/>
    <n v="0.28789999999999999"/>
    <n v="0.6"/>
    <n v="8.9599999999999999E-2"/>
    <n v="3"/>
    <n v="10"/>
    <n v="13"/>
    <x v="1"/>
  </r>
  <r>
    <n v="810"/>
    <d v="2011-02-06T00:00:00"/>
    <n v="1"/>
    <n v="0"/>
    <n v="2"/>
    <n v="4"/>
    <x v="0"/>
    <n v="0"/>
    <n v="1"/>
    <n v="0.26"/>
    <n v="0.2273"/>
    <n v="0.6"/>
    <n v="0.35820000000000002"/>
    <n v="0"/>
    <n v="2"/>
    <n v="2"/>
    <x v="1"/>
  </r>
  <r>
    <n v="811"/>
    <d v="2011-02-06T00:00:00"/>
    <n v="1"/>
    <n v="0"/>
    <n v="2"/>
    <n v="5"/>
    <x v="0"/>
    <n v="0"/>
    <n v="1"/>
    <n v="0.26"/>
    <n v="0.2576"/>
    <n v="0.6"/>
    <n v="0.22389999999999999"/>
    <n v="0"/>
    <n v="1"/>
    <n v="1"/>
    <x v="1"/>
  </r>
  <r>
    <n v="812"/>
    <d v="2011-02-06T00:00:00"/>
    <n v="1"/>
    <n v="0"/>
    <n v="2"/>
    <n v="6"/>
    <x v="0"/>
    <n v="0"/>
    <n v="1"/>
    <n v="0.26"/>
    <n v="0.2576"/>
    <n v="0.6"/>
    <n v="0.22389999999999999"/>
    <n v="0"/>
    <n v="1"/>
    <n v="1"/>
    <x v="1"/>
  </r>
  <r>
    <n v="813"/>
    <d v="2011-02-06T00:00:00"/>
    <n v="1"/>
    <n v="0"/>
    <n v="2"/>
    <n v="7"/>
    <x v="0"/>
    <n v="0"/>
    <n v="1"/>
    <n v="0.24"/>
    <n v="0.2424"/>
    <n v="0.65"/>
    <n v="0.16420000000000001"/>
    <n v="0"/>
    <n v="8"/>
    <n v="8"/>
    <x v="1"/>
  </r>
  <r>
    <n v="814"/>
    <d v="2011-02-06T00:00:00"/>
    <n v="1"/>
    <n v="0"/>
    <n v="2"/>
    <n v="8"/>
    <x v="0"/>
    <n v="0"/>
    <n v="1"/>
    <n v="0.24"/>
    <n v="0.2576"/>
    <n v="0.65"/>
    <n v="0.1045"/>
    <n v="2"/>
    <n v="21"/>
    <n v="23"/>
    <x v="1"/>
  </r>
  <r>
    <n v="815"/>
    <d v="2011-02-06T00:00:00"/>
    <n v="1"/>
    <n v="0"/>
    <n v="2"/>
    <n v="9"/>
    <x v="0"/>
    <n v="0"/>
    <n v="1"/>
    <n v="0.28000000000000003"/>
    <n v="0.28789999999999999"/>
    <n v="0.56000000000000005"/>
    <n v="0.1045"/>
    <n v="7"/>
    <n v="38"/>
    <n v="45"/>
    <x v="1"/>
  </r>
  <r>
    <n v="816"/>
    <d v="2011-02-06T00:00:00"/>
    <n v="1"/>
    <n v="0"/>
    <n v="2"/>
    <n v="10"/>
    <x v="0"/>
    <n v="0"/>
    <n v="1"/>
    <n v="0.3"/>
    <n v="0.28789999999999999"/>
    <n v="0.52"/>
    <n v="0.25369999999999998"/>
    <n v="15"/>
    <n v="74"/>
    <n v="89"/>
    <x v="1"/>
  </r>
  <r>
    <n v="817"/>
    <d v="2011-02-06T00:00:00"/>
    <n v="1"/>
    <n v="0"/>
    <n v="2"/>
    <n v="11"/>
    <x v="0"/>
    <n v="0"/>
    <n v="1"/>
    <n v="0.32"/>
    <n v="0.30299999999999999"/>
    <n v="0.49"/>
    <n v="0.25369999999999998"/>
    <n v="28"/>
    <n v="89"/>
    <n v="117"/>
    <x v="1"/>
  </r>
  <r>
    <n v="818"/>
    <d v="2011-02-06T00:00:00"/>
    <n v="1"/>
    <n v="0"/>
    <n v="2"/>
    <n v="12"/>
    <x v="0"/>
    <n v="0"/>
    <n v="1"/>
    <n v="0.34"/>
    <n v="0.33329999999999999"/>
    <n v="0.46"/>
    <n v="0"/>
    <n v="48"/>
    <n v="126"/>
    <n v="174"/>
    <x v="1"/>
  </r>
  <r>
    <n v="819"/>
    <d v="2011-02-06T00:00:00"/>
    <n v="1"/>
    <n v="0"/>
    <n v="2"/>
    <n v="13"/>
    <x v="0"/>
    <n v="0"/>
    <n v="1"/>
    <n v="0.34"/>
    <n v="0.36359999999999998"/>
    <n v="0.46"/>
    <n v="0"/>
    <n v="47"/>
    <n v="135"/>
    <n v="182"/>
    <x v="1"/>
  </r>
  <r>
    <n v="820"/>
    <d v="2011-02-06T00:00:00"/>
    <n v="1"/>
    <n v="0"/>
    <n v="2"/>
    <n v="14"/>
    <x v="0"/>
    <n v="0"/>
    <n v="1"/>
    <n v="0.34"/>
    <n v="0.34849999999999998"/>
    <n v="0.46"/>
    <n v="8.9599999999999999E-2"/>
    <n v="47"/>
    <n v="114"/>
    <n v="161"/>
    <x v="1"/>
  </r>
  <r>
    <n v="821"/>
    <d v="2011-02-06T00:00:00"/>
    <n v="1"/>
    <n v="0"/>
    <n v="2"/>
    <n v="15"/>
    <x v="0"/>
    <n v="0"/>
    <n v="1"/>
    <n v="0.34"/>
    <n v="0.34849999999999998"/>
    <n v="0.46"/>
    <n v="8.9599999999999999E-2"/>
    <n v="52"/>
    <n v="130"/>
    <n v="182"/>
    <x v="1"/>
  </r>
  <r>
    <n v="822"/>
    <d v="2011-02-06T00:00:00"/>
    <n v="1"/>
    <n v="0"/>
    <n v="2"/>
    <n v="16"/>
    <x v="0"/>
    <n v="0"/>
    <n v="1"/>
    <n v="0.34"/>
    <n v="0.34849999999999998"/>
    <n v="0.49"/>
    <n v="0.1045"/>
    <n v="42"/>
    <n v="115"/>
    <n v="157"/>
    <x v="1"/>
  </r>
  <r>
    <n v="823"/>
    <d v="2011-02-06T00:00:00"/>
    <n v="1"/>
    <n v="0"/>
    <n v="2"/>
    <n v="17"/>
    <x v="0"/>
    <n v="0"/>
    <n v="1"/>
    <n v="0.34"/>
    <n v="0.36359999999999998"/>
    <n v="0.46"/>
    <n v="0"/>
    <n v="24"/>
    <n v="97"/>
    <n v="121"/>
    <x v="1"/>
  </r>
  <r>
    <n v="824"/>
    <d v="2011-02-06T00:00:00"/>
    <n v="1"/>
    <n v="0"/>
    <n v="2"/>
    <n v="18"/>
    <x v="0"/>
    <n v="0"/>
    <n v="1"/>
    <n v="0.3"/>
    <n v="0.30299999999999999"/>
    <n v="0.56000000000000005"/>
    <n v="0.16420000000000001"/>
    <n v="13"/>
    <n v="65"/>
    <n v="78"/>
    <x v="1"/>
  </r>
  <r>
    <n v="825"/>
    <d v="2011-02-06T00:00:00"/>
    <n v="1"/>
    <n v="0"/>
    <n v="2"/>
    <n v="19"/>
    <x v="0"/>
    <n v="0"/>
    <n v="1"/>
    <n v="0.28000000000000003"/>
    <n v="0.28789999999999999"/>
    <n v="0.61"/>
    <n v="0.1343"/>
    <n v="1"/>
    <n v="20"/>
    <n v="21"/>
    <x v="1"/>
  </r>
  <r>
    <n v="826"/>
    <d v="2011-02-06T00:00:00"/>
    <n v="1"/>
    <n v="0"/>
    <n v="2"/>
    <n v="20"/>
    <x v="0"/>
    <n v="0"/>
    <n v="1"/>
    <n v="0.28000000000000003"/>
    <n v="0.28789999999999999"/>
    <n v="0.61"/>
    <n v="0.1045"/>
    <n v="5"/>
    <n v="21"/>
    <n v="26"/>
    <x v="1"/>
  </r>
  <r>
    <n v="827"/>
    <d v="2011-02-06T00:00:00"/>
    <n v="1"/>
    <n v="0"/>
    <n v="2"/>
    <n v="21"/>
    <x v="0"/>
    <n v="0"/>
    <n v="1"/>
    <n v="0.26"/>
    <n v="0.30299999999999999"/>
    <n v="0.6"/>
    <n v="0"/>
    <n v="5"/>
    <n v="22"/>
    <n v="27"/>
    <x v="1"/>
  </r>
  <r>
    <n v="828"/>
    <d v="2011-02-06T00:00:00"/>
    <n v="1"/>
    <n v="0"/>
    <n v="2"/>
    <n v="22"/>
    <x v="0"/>
    <n v="0"/>
    <n v="1"/>
    <n v="0.26"/>
    <n v="0.30299999999999999"/>
    <n v="0.6"/>
    <n v="0"/>
    <n v="5"/>
    <n v="57"/>
    <n v="62"/>
    <x v="1"/>
  </r>
  <r>
    <n v="829"/>
    <d v="2011-02-06T00:00:00"/>
    <n v="1"/>
    <n v="0"/>
    <n v="2"/>
    <n v="23"/>
    <x v="0"/>
    <n v="0"/>
    <n v="1"/>
    <n v="0.24"/>
    <n v="0.28789999999999999"/>
    <n v="0.65"/>
    <n v="0"/>
    <n v="4"/>
    <n v="26"/>
    <n v="30"/>
    <x v="1"/>
  </r>
  <r>
    <n v="830"/>
    <d v="2011-02-07T00:00:00"/>
    <n v="1"/>
    <n v="0"/>
    <n v="2"/>
    <n v="0"/>
    <x v="0"/>
    <n v="1"/>
    <n v="1"/>
    <n v="0.24"/>
    <n v="0.28789999999999999"/>
    <n v="0.65"/>
    <n v="0"/>
    <n v="1"/>
    <n v="14"/>
    <n v="15"/>
    <x v="2"/>
  </r>
  <r>
    <n v="831"/>
    <d v="2011-02-07T00:00:00"/>
    <n v="1"/>
    <n v="0"/>
    <n v="2"/>
    <n v="1"/>
    <x v="0"/>
    <n v="1"/>
    <n v="1"/>
    <n v="0.22"/>
    <n v="0.2727"/>
    <n v="0.75"/>
    <n v="0"/>
    <n v="1"/>
    <n v="4"/>
    <n v="5"/>
    <x v="2"/>
  </r>
  <r>
    <n v="832"/>
    <d v="2011-02-07T00:00:00"/>
    <n v="1"/>
    <n v="0"/>
    <n v="2"/>
    <n v="2"/>
    <x v="0"/>
    <n v="1"/>
    <n v="1"/>
    <n v="0.2"/>
    <n v="0.2576"/>
    <n v="0.8"/>
    <n v="0"/>
    <n v="0"/>
    <n v="3"/>
    <n v="3"/>
    <x v="2"/>
  </r>
  <r>
    <n v="833"/>
    <d v="2011-02-07T00:00:00"/>
    <n v="1"/>
    <n v="0"/>
    <n v="2"/>
    <n v="3"/>
    <x v="0"/>
    <n v="1"/>
    <n v="1"/>
    <n v="0.2"/>
    <n v="0.2576"/>
    <n v="0.86"/>
    <n v="0"/>
    <n v="0"/>
    <n v="1"/>
    <n v="1"/>
    <x v="2"/>
  </r>
  <r>
    <n v="834"/>
    <d v="2011-02-07T00:00:00"/>
    <n v="1"/>
    <n v="0"/>
    <n v="2"/>
    <n v="4"/>
    <x v="0"/>
    <n v="1"/>
    <n v="1"/>
    <n v="0.2"/>
    <n v="0.2576"/>
    <n v="0.86"/>
    <n v="0"/>
    <n v="1"/>
    <n v="1"/>
    <n v="2"/>
    <x v="2"/>
  </r>
  <r>
    <n v="835"/>
    <d v="2011-02-07T00:00:00"/>
    <n v="1"/>
    <n v="0"/>
    <n v="2"/>
    <n v="5"/>
    <x v="0"/>
    <n v="1"/>
    <n v="1"/>
    <n v="0.2"/>
    <n v="0.2576"/>
    <n v="0.86"/>
    <n v="0"/>
    <n v="1"/>
    <n v="9"/>
    <n v="10"/>
    <x v="2"/>
  </r>
  <r>
    <n v="836"/>
    <d v="2011-02-07T00:00:00"/>
    <n v="1"/>
    <n v="0"/>
    <n v="2"/>
    <n v="6"/>
    <x v="0"/>
    <n v="1"/>
    <n v="1"/>
    <n v="0.18"/>
    <n v="0.2424"/>
    <n v="0.93"/>
    <n v="0"/>
    <n v="1"/>
    <n v="29"/>
    <n v="30"/>
    <x v="2"/>
  </r>
  <r>
    <n v="837"/>
    <d v="2011-02-07T00:00:00"/>
    <n v="1"/>
    <n v="0"/>
    <n v="2"/>
    <n v="7"/>
    <x v="0"/>
    <n v="1"/>
    <n v="1"/>
    <n v="0.18"/>
    <n v="0.2424"/>
    <n v="0.86"/>
    <n v="0"/>
    <n v="6"/>
    <n v="89"/>
    <n v="95"/>
    <x v="2"/>
  </r>
  <r>
    <n v="838"/>
    <d v="2011-02-07T00:00:00"/>
    <n v="1"/>
    <n v="0"/>
    <n v="2"/>
    <n v="8"/>
    <x v="0"/>
    <n v="1"/>
    <n v="2"/>
    <n v="0.16"/>
    <n v="0.2273"/>
    <n v="1"/>
    <n v="0"/>
    <n v="7"/>
    <n v="223"/>
    <n v="230"/>
    <x v="2"/>
  </r>
  <r>
    <n v="839"/>
    <d v="2011-02-07T00:00:00"/>
    <n v="1"/>
    <n v="0"/>
    <n v="2"/>
    <n v="9"/>
    <x v="0"/>
    <n v="1"/>
    <n v="1"/>
    <n v="0.22"/>
    <n v="0.2727"/>
    <n v="0.8"/>
    <n v="0"/>
    <n v="3"/>
    <n v="115"/>
    <n v="118"/>
    <x v="2"/>
  </r>
  <r>
    <n v="840"/>
    <d v="2011-02-07T00:00:00"/>
    <n v="1"/>
    <n v="0"/>
    <n v="2"/>
    <n v="10"/>
    <x v="0"/>
    <n v="1"/>
    <n v="1"/>
    <n v="0.24"/>
    <n v="0.2576"/>
    <n v="0.75"/>
    <n v="0.1045"/>
    <n v="6"/>
    <n v="49"/>
    <n v="55"/>
    <x v="2"/>
  </r>
  <r>
    <n v="841"/>
    <d v="2011-02-07T00:00:00"/>
    <n v="1"/>
    <n v="0"/>
    <n v="2"/>
    <n v="11"/>
    <x v="0"/>
    <n v="1"/>
    <n v="1"/>
    <n v="0.3"/>
    <n v="0.31819999999999998"/>
    <n v="0.65"/>
    <n v="8.9599999999999999E-2"/>
    <n v="11"/>
    <n v="36"/>
    <n v="47"/>
    <x v="2"/>
  </r>
  <r>
    <n v="842"/>
    <d v="2011-02-07T00:00:00"/>
    <n v="1"/>
    <n v="0"/>
    <n v="2"/>
    <n v="12"/>
    <x v="0"/>
    <n v="1"/>
    <n v="2"/>
    <n v="0.32"/>
    <n v="0.34849999999999998"/>
    <n v="0.62"/>
    <n v="0"/>
    <n v="7"/>
    <n v="59"/>
    <n v="66"/>
    <x v="2"/>
  </r>
  <r>
    <n v="843"/>
    <d v="2011-02-07T00:00:00"/>
    <n v="1"/>
    <n v="0"/>
    <n v="2"/>
    <n v="13"/>
    <x v="0"/>
    <n v="1"/>
    <n v="2"/>
    <n v="0.36"/>
    <n v="0.36359999999999998"/>
    <n v="0.56999999999999995"/>
    <n v="8.9599999999999999E-2"/>
    <n v="10"/>
    <n v="54"/>
    <n v="64"/>
    <x v="2"/>
  </r>
  <r>
    <n v="844"/>
    <d v="2011-02-07T00:00:00"/>
    <n v="1"/>
    <n v="0"/>
    <n v="2"/>
    <n v="14"/>
    <x v="0"/>
    <n v="1"/>
    <n v="2"/>
    <n v="0.36"/>
    <n v="0.36359999999999998"/>
    <n v="0.56999999999999995"/>
    <n v="8.9599999999999999E-2"/>
    <n v="8"/>
    <n v="52"/>
    <n v="60"/>
    <x v="2"/>
  </r>
  <r>
    <n v="845"/>
    <d v="2011-02-07T00:00:00"/>
    <n v="1"/>
    <n v="0"/>
    <n v="2"/>
    <n v="15"/>
    <x v="0"/>
    <n v="1"/>
    <n v="2"/>
    <n v="0.38"/>
    <n v="0.39389999999999997"/>
    <n v="0.54"/>
    <n v="8.9599999999999999E-2"/>
    <n v="4"/>
    <n v="46"/>
    <n v="50"/>
    <x v="2"/>
  </r>
  <r>
    <n v="846"/>
    <d v="2011-02-07T00:00:00"/>
    <n v="1"/>
    <n v="0"/>
    <n v="2"/>
    <n v="16"/>
    <x v="0"/>
    <n v="1"/>
    <n v="2"/>
    <n v="0.36"/>
    <n v="0.34849999999999998"/>
    <n v="0.56999999999999995"/>
    <n v="0.1343"/>
    <n v="16"/>
    <n v="98"/>
    <n v="114"/>
    <x v="2"/>
  </r>
  <r>
    <n v="847"/>
    <d v="2011-02-07T00:00:00"/>
    <n v="1"/>
    <n v="0"/>
    <n v="2"/>
    <n v="17"/>
    <x v="0"/>
    <n v="1"/>
    <n v="2"/>
    <n v="0.32"/>
    <n v="0.31819999999999998"/>
    <n v="0.7"/>
    <n v="0.16420000000000001"/>
    <n v="9"/>
    <n v="207"/>
    <n v="216"/>
    <x v="2"/>
  </r>
  <r>
    <n v="848"/>
    <d v="2011-02-07T00:00:00"/>
    <n v="1"/>
    <n v="0"/>
    <n v="2"/>
    <n v="18"/>
    <x v="0"/>
    <n v="1"/>
    <n v="2"/>
    <n v="0.34"/>
    <n v="0.33329999999999999"/>
    <n v="0.66"/>
    <n v="0.1343"/>
    <n v="5"/>
    <n v="170"/>
    <n v="175"/>
    <x v="2"/>
  </r>
  <r>
    <n v="849"/>
    <d v="2011-02-07T00:00:00"/>
    <n v="1"/>
    <n v="0"/>
    <n v="2"/>
    <n v="19"/>
    <x v="0"/>
    <n v="1"/>
    <n v="2"/>
    <n v="0.32"/>
    <n v="0.34849999999999998"/>
    <n v="0.7"/>
    <n v="0"/>
    <n v="5"/>
    <n v="123"/>
    <n v="128"/>
    <x v="2"/>
  </r>
  <r>
    <n v="850"/>
    <d v="2011-02-07T00:00:00"/>
    <n v="1"/>
    <n v="0"/>
    <n v="2"/>
    <n v="20"/>
    <x v="0"/>
    <n v="1"/>
    <n v="2"/>
    <n v="0.32"/>
    <n v="0.33329999999999999"/>
    <n v="0.7"/>
    <n v="0.1045"/>
    <n v="6"/>
    <n v="82"/>
    <n v="88"/>
    <x v="2"/>
  </r>
  <r>
    <n v="851"/>
    <d v="2011-02-07T00:00:00"/>
    <n v="1"/>
    <n v="0"/>
    <n v="2"/>
    <n v="21"/>
    <x v="0"/>
    <n v="1"/>
    <n v="1"/>
    <n v="0.32"/>
    <n v="0.34849999999999998"/>
    <n v="0.7"/>
    <n v="0"/>
    <n v="3"/>
    <n v="75"/>
    <n v="78"/>
    <x v="2"/>
  </r>
  <r>
    <n v="852"/>
    <d v="2011-02-07T00:00:00"/>
    <n v="1"/>
    <n v="0"/>
    <n v="2"/>
    <n v="22"/>
    <x v="0"/>
    <n v="1"/>
    <n v="1"/>
    <n v="0.28000000000000003"/>
    <n v="0.30299999999999999"/>
    <n v="0.81"/>
    <n v="8.9599999999999999E-2"/>
    <n v="3"/>
    <n v="34"/>
    <n v="37"/>
    <x v="2"/>
  </r>
  <r>
    <n v="853"/>
    <d v="2011-02-07T00:00:00"/>
    <n v="1"/>
    <n v="0"/>
    <n v="2"/>
    <n v="23"/>
    <x v="0"/>
    <n v="1"/>
    <n v="2"/>
    <n v="0.3"/>
    <n v="0.33329999999999999"/>
    <n v="0.81"/>
    <n v="0"/>
    <n v="6"/>
    <n v="19"/>
    <n v="25"/>
    <x v="2"/>
  </r>
  <r>
    <n v="854"/>
    <d v="2011-02-08T00:00:00"/>
    <n v="1"/>
    <n v="0"/>
    <n v="2"/>
    <n v="0"/>
    <x v="0"/>
    <n v="2"/>
    <n v="2"/>
    <n v="0.28000000000000003"/>
    <n v="0.31819999999999998"/>
    <n v="0.87"/>
    <n v="0"/>
    <n v="4"/>
    <n v="6"/>
    <n v="10"/>
    <x v="3"/>
  </r>
  <r>
    <n v="855"/>
    <d v="2011-02-08T00:00:00"/>
    <n v="1"/>
    <n v="0"/>
    <n v="2"/>
    <n v="1"/>
    <x v="0"/>
    <n v="2"/>
    <n v="2"/>
    <n v="0.28000000000000003"/>
    <n v="0.31819999999999998"/>
    <n v="0.87"/>
    <n v="0"/>
    <n v="0"/>
    <n v="4"/>
    <n v="4"/>
    <x v="3"/>
  </r>
  <r>
    <n v="856"/>
    <d v="2011-02-08T00:00:00"/>
    <n v="1"/>
    <n v="0"/>
    <n v="2"/>
    <n v="2"/>
    <x v="0"/>
    <n v="2"/>
    <n v="2"/>
    <n v="0.26"/>
    <n v="0.2727"/>
    <n v="0.93"/>
    <n v="0.1045"/>
    <n v="1"/>
    <n v="1"/>
    <n v="2"/>
    <x v="3"/>
  </r>
  <r>
    <n v="857"/>
    <d v="2011-02-08T00:00:00"/>
    <n v="1"/>
    <n v="0"/>
    <n v="2"/>
    <n v="3"/>
    <x v="0"/>
    <n v="2"/>
    <n v="3"/>
    <n v="0.28000000000000003"/>
    <n v="0.2727"/>
    <n v="0.93"/>
    <n v="0.16420000000000001"/>
    <n v="0"/>
    <n v="1"/>
    <n v="1"/>
    <x v="3"/>
  </r>
  <r>
    <n v="858"/>
    <d v="2011-02-08T00:00:00"/>
    <n v="1"/>
    <n v="0"/>
    <n v="2"/>
    <n v="4"/>
    <x v="0"/>
    <n v="2"/>
    <n v="1"/>
    <n v="0.26"/>
    <n v="0.2576"/>
    <n v="0.93"/>
    <n v="0.16420000000000001"/>
    <n v="0"/>
    <n v="3"/>
    <n v="3"/>
    <x v="3"/>
  </r>
  <r>
    <n v="859"/>
    <d v="2011-02-08T00:00:00"/>
    <n v="1"/>
    <n v="0"/>
    <n v="2"/>
    <n v="5"/>
    <x v="0"/>
    <n v="2"/>
    <n v="1"/>
    <n v="0.26"/>
    <n v="0.2273"/>
    <n v="0.81"/>
    <n v="0.32840000000000003"/>
    <n v="0"/>
    <n v="2"/>
    <n v="2"/>
    <x v="3"/>
  </r>
  <r>
    <n v="860"/>
    <d v="2011-02-08T00:00:00"/>
    <n v="1"/>
    <n v="0"/>
    <n v="2"/>
    <n v="6"/>
    <x v="0"/>
    <n v="2"/>
    <n v="1"/>
    <n v="0.26"/>
    <n v="0.2273"/>
    <n v="0.7"/>
    <n v="0.32840000000000003"/>
    <n v="0"/>
    <n v="39"/>
    <n v="39"/>
    <x v="3"/>
  </r>
  <r>
    <n v="861"/>
    <d v="2011-02-08T00:00:00"/>
    <n v="1"/>
    <n v="0"/>
    <n v="2"/>
    <n v="7"/>
    <x v="0"/>
    <n v="2"/>
    <n v="1"/>
    <n v="0.24"/>
    <n v="0.19700000000000001"/>
    <n v="0.65"/>
    <n v="0.41789999999999999"/>
    <n v="3"/>
    <n v="97"/>
    <n v="100"/>
    <x v="3"/>
  </r>
  <r>
    <n v="862"/>
    <d v="2011-02-08T00:00:00"/>
    <n v="1"/>
    <n v="0"/>
    <n v="2"/>
    <n v="8"/>
    <x v="0"/>
    <n v="2"/>
    <n v="1"/>
    <n v="0.24"/>
    <n v="0.19700000000000001"/>
    <n v="0.56000000000000005"/>
    <n v="0.49249999999999999"/>
    <n v="7"/>
    <n v="236"/>
    <n v="243"/>
    <x v="3"/>
  </r>
  <r>
    <n v="863"/>
    <d v="2011-02-08T00:00:00"/>
    <n v="1"/>
    <n v="0"/>
    <n v="2"/>
    <n v="9"/>
    <x v="0"/>
    <n v="2"/>
    <n v="1"/>
    <n v="0.24"/>
    <n v="0.19700000000000001"/>
    <n v="0.52"/>
    <n v="0.49249999999999999"/>
    <n v="7"/>
    <n v="128"/>
    <n v="135"/>
    <x v="3"/>
  </r>
  <r>
    <n v="864"/>
    <d v="2011-02-08T00:00:00"/>
    <n v="1"/>
    <n v="0"/>
    <n v="2"/>
    <n v="10"/>
    <x v="0"/>
    <n v="2"/>
    <n v="1"/>
    <n v="0.22"/>
    <n v="0.18179999999999999"/>
    <n v="0.47"/>
    <n v="0.55220000000000002"/>
    <n v="4"/>
    <n v="44"/>
    <n v="48"/>
    <x v="3"/>
  </r>
  <r>
    <n v="865"/>
    <d v="2011-02-08T00:00:00"/>
    <n v="1"/>
    <n v="0"/>
    <n v="2"/>
    <n v="11"/>
    <x v="0"/>
    <n v="2"/>
    <n v="1"/>
    <n v="0.22"/>
    <n v="0.18179999999999999"/>
    <n v="0.47"/>
    <n v="0.4627"/>
    <n v="1"/>
    <n v="49"/>
    <n v="50"/>
    <x v="3"/>
  </r>
  <r>
    <n v="866"/>
    <d v="2011-02-08T00:00:00"/>
    <n v="1"/>
    <n v="0"/>
    <n v="2"/>
    <n v="12"/>
    <x v="0"/>
    <n v="2"/>
    <n v="1"/>
    <n v="0.24"/>
    <n v="0.19700000000000001"/>
    <n v="0.38"/>
    <n v="0.49249999999999999"/>
    <n v="2"/>
    <n v="63"/>
    <n v="65"/>
    <x v="3"/>
  </r>
  <r>
    <n v="867"/>
    <d v="2011-02-08T00:00:00"/>
    <n v="1"/>
    <n v="0"/>
    <n v="2"/>
    <n v="13"/>
    <x v="0"/>
    <n v="2"/>
    <n v="2"/>
    <n v="0.24"/>
    <n v="0.19700000000000001"/>
    <n v="0.32"/>
    <n v="0.44779999999999998"/>
    <n v="2"/>
    <n v="48"/>
    <n v="50"/>
    <x v="3"/>
  </r>
  <r>
    <n v="868"/>
    <d v="2011-02-08T00:00:00"/>
    <n v="1"/>
    <n v="0"/>
    <n v="2"/>
    <n v="14"/>
    <x v="0"/>
    <n v="2"/>
    <n v="1"/>
    <n v="0.22"/>
    <n v="0.19700000000000001"/>
    <n v="0.37"/>
    <n v="0.41789999999999999"/>
    <n v="3"/>
    <n v="61"/>
    <n v="64"/>
    <x v="3"/>
  </r>
  <r>
    <n v="869"/>
    <d v="2011-02-08T00:00:00"/>
    <n v="1"/>
    <n v="0"/>
    <n v="2"/>
    <n v="15"/>
    <x v="0"/>
    <n v="2"/>
    <n v="1"/>
    <n v="0.22"/>
    <n v="0.19700000000000001"/>
    <n v="0.35"/>
    <n v="0.3881"/>
    <n v="6"/>
    <n v="45"/>
    <n v="51"/>
    <x v="3"/>
  </r>
  <r>
    <n v="870"/>
    <d v="2011-02-08T00:00:00"/>
    <n v="1"/>
    <n v="0"/>
    <n v="2"/>
    <n v="16"/>
    <x v="0"/>
    <n v="2"/>
    <n v="1"/>
    <n v="0.22"/>
    <n v="0.18179999999999999"/>
    <n v="0.35"/>
    <n v="0.52239999999999998"/>
    <n v="4"/>
    <n v="79"/>
    <n v="83"/>
    <x v="3"/>
  </r>
  <r>
    <n v="871"/>
    <d v="2011-02-08T00:00:00"/>
    <n v="1"/>
    <n v="0"/>
    <n v="2"/>
    <n v="17"/>
    <x v="0"/>
    <n v="2"/>
    <n v="1"/>
    <n v="0.22"/>
    <n v="0.18179999999999999"/>
    <n v="0.32"/>
    <n v="0.58209999999999995"/>
    <n v="4"/>
    <n v="172"/>
    <n v="176"/>
    <x v="3"/>
  </r>
  <r>
    <n v="872"/>
    <d v="2011-02-08T00:00:00"/>
    <n v="1"/>
    <n v="0"/>
    <n v="2"/>
    <n v="18"/>
    <x v="0"/>
    <n v="2"/>
    <n v="1"/>
    <n v="0.2"/>
    <n v="0.18179999999999999"/>
    <n v="0.32"/>
    <n v="0.3881"/>
    <n v="1"/>
    <n v="151"/>
    <n v="152"/>
    <x v="3"/>
  </r>
  <r>
    <n v="873"/>
    <d v="2011-02-08T00:00:00"/>
    <n v="1"/>
    <n v="0"/>
    <n v="2"/>
    <n v="19"/>
    <x v="0"/>
    <n v="2"/>
    <n v="1"/>
    <n v="0.16"/>
    <n v="0.1212"/>
    <n v="0.4"/>
    <n v="0.4627"/>
    <n v="1"/>
    <n v="100"/>
    <n v="101"/>
    <x v="3"/>
  </r>
  <r>
    <n v="874"/>
    <d v="2011-02-08T00:00:00"/>
    <n v="1"/>
    <n v="0"/>
    <n v="2"/>
    <n v="20"/>
    <x v="0"/>
    <n v="2"/>
    <n v="1"/>
    <n v="0.16"/>
    <n v="0.13639999999999999"/>
    <n v="0.4"/>
    <n v="0.32840000000000003"/>
    <n v="3"/>
    <n v="53"/>
    <n v="56"/>
    <x v="3"/>
  </r>
  <r>
    <n v="875"/>
    <d v="2011-02-08T00:00:00"/>
    <n v="1"/>
    <n v="0"/>
    <n v="2"/>
    <n v="21"/>
    <x v="0"/>
    <n v="2"/>
    <n v="1"/>
    <n v="0.14000000000000001"/>
    <n v="0.1061"/>
    <n v="0.33"/>
    <n v="0.4627"/>
    <n v="8"/>
    <n v="46"/>
    <n v="54"/>
    <x v="3"/>
  </r>
  <r>
    <n v="876"/>
    <d v="2011-02-08T00:00:00"/>
    <n v="1"/>
    <n v="0"/>
    <n v="2"/>
    <n v="22"/>
    <x v="0"/>
    <n v="2"/>
    <n v="1"/>
    <n v="0.12"/>
    <n v="0.1061"/>
    <n v="0.33"/>
    <n v="0.35820000000000002"/>
    <n v="0"/>
    <n v="29"/>
    <n v="29"/>
    <x v="3"/>
  </r>
  <r>
    <n v="877"/>
    <d v="2011-02-08T00:00:00"/>
    <n v="1"/>
    <n v="0"/>
    <n v="2"/>
    <n v="23"/>
    <x v="0"/>
    <n v="2"/>
    <n v="1"/>
    <n v="0.12"/>
    <n v="0.1061"/>
    <n v="0.33"/>
    <n v="0.32840000000000003"/>
    <n v="3"/>
    <n v="9"/>
    <n v="12"/>
    <x v="3"/>
  </r>
  <r>
    <n v="878"/>
    <d v="2011-02-09T00:00:00"/>
    <n v="1"/>
    <n v="0"/>
    <n v="2"/>
    <n v="0"/>
    <x v="0"/>
    <n v="3"/>
    <n v="1"/>
    <n v="0.1"/>
    <n v="7.5800000000000006E-2"/>
    <n v="0.36"/>
    <n v="0.35820000000000002"/>
    <n v="0"/>
    <n v="17"/>
    <n v="17"/>
    <x v="4"/>
  </r>
  <r>
    <n v="879"/>
    <d v="2011-02-09T00:00:00"/>
    <n v="1"/>
    <n v="0"/>
    <n v="2"/>
    <n v="1"/>
    <x v="0"/>
    <n v="3"/>
    <n v="1"/>
    <n v="0.1"/>
    <n v="0.1061"/>
    <n v="0.36"/>
    <n v="0.22389999999999999"/>
    <n v="0"/>
    <n v="7"/>
    <n v="7"/>
    <x v="4"/>
  </r>
  <r>
    <n v="880"/>
    <d v="2011-02-09T00:00:00"/>
    <n v="1"/>
    <n v="0"/>
    <n v="2"/>
    <n v="2"/>
    <x v="0"/>
    <n v="3"/>
    <n v="1"/>
    <n v="0.08"/>
    <n v="7.5800000000000006E-2"/>
    <n v="0.38"/>
    <n v="0.28360000000000002"/>
    <n v="1"/>
    <n v="2"/>
    <n v="3"/>
    <x v="4"/>
  </r>
  <r>
    <n v="881"/>
    <d v="2011-02-09T00:00:00"/>
    <n v="1"/>
    <n v="0"/>
    <n v="2"/>
    <n v="3"/>
    <x v="0"/>
    <n v="3"/>
    <n v="1"/>
    <n v="0.06"/>
    <n v="7.5800000000000006E-2"/>
    <n v="0.45"/>
    <n v="0.1343"/>
    <n v="0"/>
    <n v="2"/>
    <n v="2"/>
    <x v="4"/>
  </r>
  <r>
    <n v="882"/>
    <d v="2011-02-09T00:00:00"/>
    <n v="1"/>
    <n v="0"/>
    <n v="2"/>
    <n v="5"/>
    <x v="0"/>
    <n v="3"/>
    <n v="1"/>
    <n v="0.06"/>
    <n v="0.1061"/>
    <n v="0.45"/>
    <n v="0.1045"/>
    <n v="0"/>
    <n v="7"/>
    <n v="7"/>
    <x v="4"/>
  </r>
  <r>
    <n v="883"/>
    <d v="2011-02-09T00:00:00"/>
    <n v="1"/>
    <n v="0"/>
    <n v="2"/>
    <n v="6"/>
    <x v="0"/>
    <n v="3"/>
    <n v="1"/>
    <n v="0.06"/>
    <n v="0.1515"/>
    <n v="0.45"/>
    <n v="0"/>
    <n v="0"/>
    <n v="43"/>
    <n v="43"/>
    <x v="4"/>
  </r>
  <r>
    <n v="884"/>
    <d v="2011-02-09T00:00:00"/>
    <n v="1"/>
    <n v="0"/>
    <n v="2"/>
    <n v="7"/>
    <x v="0"/>
    <n v="3"/>
    <n v="1"/>
    <n v="0.06"/>
    <n v="0.1061"/>
    <n v="0.49"/>
    <n v="0.1045"/>
    <n v="4"/>
    <n v="95"/>
    <n v="99"/>
    <x v="4"/>
  </r>
  <r>
    <n v="885"/>
    <d v="2011-02-09T00:00:00"/>
    <n v="1"/>
    <n v="0"/>
    <n v="2"/>
    <n v="8"/>
    <x v="0"/>
    <n v="3"/>
    <n v="1"/>
    <n v="0.1"/>
    <n v="0.13639999999999999"/>
    <n v="0.42"/>
    <n v="0"/>
    <n v="1"/>
    <n v="198"/>
    <n v="199"/>
    <x v="4"/>
  </r>
  <r>
    <n v="886"/>
    <d v="2011-02-09T00:00:00"/>
    <n v="1"/>
    <n v="0"/>
    <n v="2"/>
    <n v="9"/>
    <x v="0"/>
    <n v="3"/>
    <n v="1"/>
    <n v="0.12"/>
    <n v="0.13639999999999999"/>
    <n v="0.39"/>
    <n v="0.16420000000000001"/>
    <n v="4"/>
    <n v="119"/>
    <n v="123"/>
    <x v="4"/>
  </r>
  <r>
    <n v="887"/>
    <d v="2011-02-09T00:00:00"/>
    <n v="1"/>
    <n v="0"/>
    <n v="2"/>
    <n v="10"/>
    <x v="0"/>
    <n v="3"/>
    <n v="1"/>
    <n v="0.14000000000000001"/>
    <n v="0.18179999999999999"/>
    <n v="0.36"/>
    <n v="0"/>
    <n v="8"/>
    <n v="51"/>
    <n v="59"/>
    <x v="4"/>
  </r>
  <r>
    <n v="888"/>
    <d v="2011-02-09T00:00:00"/>
    <n v="1"/>
    <n v="0"/>
    <n v="2"/>
    <n v="11"/>
    <x v="0"/>
    <n v="3"/>
    <n v="2"/>
    <n v="0.14000000000000001"/>
    <n v="0.1515"/>
    <n v="0.43"/>
    <n v="0.16420000000000001"/>
    <n v="1"/>
    <n v="40"/>
    <n v="41"/>
    <x v="4"/>
  </r>
  <r>
    <n v="889"/>
    <d v="2011-02-09T00:00:00"/>
    <n v="1"/>
    <n v="0"/>
    <n v="2"/>
    <n v="12"/>
    <x v="0"/>
    <n v="3"/>
    <n v="2"/>
    <n v="0.18"/>
    <n v="0.18179999999999999"/>
    <n v="0.4"/>
    <n v="0.22389999999999999"/>
    <n v="4"/>
    <n v="57"/>
    <n v="61"/>
    <x v="4"/>
  </r>
  <r>
    <n v="890"/>
    <d v="2011-02-09T00:00:00"/>
    <n v="1"/>
    <n v="0"/>
    <n v="2"/>
    <n v="13"/>
    <x v="0"/>
    <n v="3"/>
    <n v="1"/>
    <n v="0.18"/>
    <n v="0.16669999999999999"/>
    <n v="0.4"/>
    <n v="0.25369999999999998"/>
    <n v="2"/>
    <n v="67"/>
    <n v="69"/>
    <x v="4"/>
  </r>
  <r>
    <n v="891"/>
    <d v="2011-02-09T00:00:00"/>
    <n v="1"/>
    <n v="0"/>
    <n v="2"/>
    <n v="14"/>
    <x v="0"/>
    <n v="3"/>
    <n v="1"/>
    <n v="0.2"/>
    <n v="0.18179999999999999"/>
    <n v="0.34"/>
    <n v="0.29849999999999999"/>
    <n v="2"/>
    <n v="56"/>
    <n v="58"/>
    <x v="4"/>
  </r>
  <r>
    <n v="892"/>
    <d v="2011-02-09T00:00:00"/>
    <n v="1"/>
    <n v="0"/>
    <n v="2"/>
    <n v="15"/>
    <x v="0"/>
    <n v="3"/>
    <n v="2"/>
    <n v="0.2"/>
    <n v="0.18179999999999999"/>
    <n v="0.34"/>
    <n v="0.28360000000000002"/>
    <n v="3"/>
    <n v="61"/>
    <n v="64"/>
    <x v="4"/>
  </r>
  <r>
    <n v="893"/>
    <d v="2011-02-09T00:00:00"/>
    <n v="1"/>
    <n v="0"/>
    <n v="2"/>
    <n v="16"/>
    <x v="0"/>
    <n v="3"/>
    <n v="2"/>
    <n v="0.2"/>
    <n v="0.19700000000000001"/>
    <n v="0.37"/>
    <n v="0.25369999999999998"/>
    <n v="7"/>
    <n v="72"/>
    <n v="79"/>
    <x v="4"/>
  </r>
  <r>
    <n v="894"/>
    <d v="2011-02-09T00:00:00"/>
    <n v="1"/>
    <n v="0"/>
    <n v="2"/>
    <n v="17"/>
    <x v="0"/>
    <n v="3"/>
    <n v="2"/>
    <n v="0.2"/>
    <n v="0.19700000000000001"/>
    <n v="0.34"/>
    <n v="0.25369999999999998"/>
    <n v="9"/>
    <n v="157"/>
    <n v="166"/>
    <x v="4"/>
  </r>
  <r>
    <n v="895"/>
    <d v="2011-02-09T00:00:00"/>
    <n v="1"/>
    <n v="0"/>
    <n v="2"/>
    <n v="18"/>
    <x v="0"/>
    <n v="3"/>
    <n v="2"/>
    <n v="0.18"/>
    <n v="0.16669999999999999"/>
    <n v="0.47"/>
    <n v="0.29849999999999999"/>
    <n v="2"/>
    <n v="168"/>
    <n v="170"/>
    <x v="4"/>
  </r>
  <r>
    <n v="896"/>
    <d v="2011-02-09T00:00:00"/>
    <n v="1"/>
    <n v="0"/>
    <n v="2"/>
    <n v="19"/>
    <x v="0"/>
    <n v="3"/>
    <n v="3"/>
    <n v="0.14000000000000001"/>
    <n v="0.1212"/>
    <n v="0.86"/>
    <n v="0.25369999999999998"/>
    <n v="1"/>
    <n v="87"/>
    <n v="88"/>
    <x v="4"/>
  </r>
  <r>
    <n v="897"/>
    <d v="2011-02-09T00:00:00"/>
    <n v="1"/>
    <n v="0"/>
    <n v="2"/>
    <n v="20"/>
    <x v="0"/>
    <n v="3"/>
    <n v="3"/>
    <n v="0.14000000000000001"/>
    <n v="0.1515"/>
    <n v="0.86"/>
    <n v="0.16420000000000001"/>
    <n v="0"/>
    <n v="84"/>
    <n v="84"/>
    <x v="4"/>
  </r>
  <r>
    <n v="898"/>
    <d v="2011-02-09T00:00:00"/>
    <n v="1"/>
    <n v="0"/>
    <n v="2"/>
    <n v="21"/>
    <x v="0"/>
    <n v="3"/>
    <n v="2"/>
    <n v="0.14000000000000001"/>
    <n v="0.1515"/>
    <n v="0.86"/>
    <n v="0.16420000000000001"/>
    <n v="0"/>
    <n v="83"/>
    <n v="83"/>
    <x v="4"/>
  </r>
  <r>
    <n v="899"/>
    <d v="2011-02-09T00:00:00"/>
    <n v="1"/>
    <n v="0"/>
    <n v="2"/>
    <n v="22"/>
    <x v="0"/>
    <n v="3"/>
    <n v="3"/>
    <n v="0.16"/>
    <n v="0.16669999999999999"/>
    <n v="0.8"/>
    <n v="0.16420000000000001"/>
    <n v="4"/>
    <n v="42"/>
    <n v="46"/>
    <x v="4"/>
  </r>
  <r>
    <n v="900"/>
    <d v="2011-02-09T00:00:00"/>
    <n v="1"/>
    <n v="0"/>
    <n v="2"/>
    <n v="23"/>
    <x v="0"/>
    <n v="3"/>
    <n v="3"/>
    <n v="0.16"/>
    <n v="0.1515"/>
    <n v="0.8"/>
    <n v="0.19400000000000001"/>
    <n v="0"/>
    <n v="37"/>
    <n v="37"/>
    <x v="4"/>
  </r>
  <r>
    <n v="901"/>
    <d v="2011-02-10T00:00:00"/>
    <n v="1"/>
    <n v="0"/>
    <n v="2"/>
    <n v="0"/>
    <x v="0"/>
    <n v="4"/>
    <n v="3"/>
    <n v="0.14000000000000001"/>
    <n v="0.13639999999999999"/>
    <n v="0.86"/>
    <n v="0.19400000000000001"/>
    <n v="0"/>
    <n v="16"/>
    <n v="16"/>
    <x v="5"/>
  </r>
  <r>
    <n v="902"/>
    <d v="2011-02-10T00:00:00"/>
    <n v="1"/>
    <n v="0"/>
    <n v="2"/>
    <n v="1"/>
    <x v="0"/>
    <n v="4"/>
    <n v="3"/>
    <n v="0.14000000000000001"/>
    <n v="0.1515"/>
    <n v="0.8"/>
    <n v="0.1343"/>
    <n v="0"/>
    <n v="7"/>
    <n v="7"/>
    <x v="5"/>
  </r>
  <r>
    <n v="903"/>
    <d v="2011-02-10T00:00:00"/>
    <n v="1"/>
    <n v="0"/>
    <n v="2"/>
    <n v="2"/>
    <x v="0"/>
    <n v="4"/>
    <n v="3"/>
    <n v="0.14000000000000001"/>
    <n v="0.1515"/>
    <n v="0.8"/>
    <n v="0.1343"/>
    <n v="0"/>
    <n v="3"/>
    <n v="3"/>
    <x v="5"/>
  </r>
  <r>
    <n v="904"/>
    <d v="2011-02-10T00:00:00"/>
    <n v="1"/>
    <n v="0"/>
    <n v="2"/>
    <n v="4"/>
    <x v="0"/>
    <n v="4"/>
    <n v="2"/>
    <n v="0.14000000000000001"/>
    <n v="0.13639999999999999"/>
    <n v="0.59"/>
    <n v="0.22389999999999999"/>
    <n v="0"/>
    <n v="1"/>
    <n v="1"/>
    <x v="5"/>
  </r>
  <r>
    <n v="905"/>
    <d v="2011-02-10T00:00:00"/>
    <n v="1"/>
    <n v="0"/>
    <n v="2"/>
    <n v="5"/>
    <x v="0"/>
    <n v="4"/>
    <n v="2"/>
    <n v="0.12"/>
    <n v="0.1212"/>
    <n v="0.5"/>
    <n v="0.22389999999999999"/>
    <n v="0"/>
    <n v="6"/>
    <n v="6"/>
    <x v="5"/>
  </r>
  <r>
    <n v="906"/>
    <d v="2011-02-10T00:00:00"/>
    <n v="1"/>
    <n v="0"/>
    <n v="2"/>
    <n v="6"/>
    <x v="0"/>
    <n v="4"/>
    <n v="2"/>
    <n v="0.12"/>
    <n v="0.1212"/>
    <n v="0.54"/>
    <n v="0.28360000000000002"/>
    <n v="0"/>
    <n v="26"/>
    <n v="26"/>
    <x v="5"/>
  </r>
  <r>
    <n v="907"/>
    <d v="2011-02-10T00:00:00"/>
    <n v="1"/>
    <n v="0"/>
    <n v="2"/>
    <n v="7"/>
    <x v="0"/>
    <n v="4"/>
    <n v="1"/>
    <n v="0.1"/>
    <n v="7.5800000000000006E-2"/>
    <n v="0.5"/>
    <n v="0.41789999999999999"/>
    <n v="0"/>
    <n v="99"/>
    <n v="99"/>
    <x v="5"/>
  </r>
  <r>
    <n v="908"/>
    <d v="2011-02-10T00:00:00"/>
    <n v="1"/>
    <n v="0"/>
    <n v="2"/>
    <n v="8"/>
    <x v="0"/>
    <n v="4"/>
    <n v="1"/>
    <n v="0.1"/>
    <n v="7.5800000000000006E-2"/>
    <n v="0.49"/>
    <n v="0.32840000000000003"/>
    <n v="5"/>
    <n v="173"/>
    <n v="178"/>
    <x v="5"/>
  </r>
  <r>
    <n v="909"/>
    <d v="2011-02-10T00:00:00"/>
    <n v="1"/>
    <n v="0"/>
    <n v="2"/>
    <n v="9"/>
    <x v="0"/>
    <n v="4"/>
    <n v="1"/>
    <n v="0.12"/>
    <n v="0.1061"/>
    <n v="0.42"/>
    <n v="0.35820000000000002"/>
    <n v="1"/>
    <n v="121"/>
    <n v="122"/>
    <x v="5"/>
  </r>
  <r>
    <n v="910"/>
    <d v="2011-02-10T00:00:00"/>
    <n v="1"/>
    <n v="0"/>
    <n v="2"/>
    <n v="10"/>
    <x v="0"/>
    <n v="4"/>
    <n v="1"/>
    <n v="0.12"/>
    <n v="0.1061"/>
    <n v="0.42"/>
    <n v="0.29849999999999999"/>
    <n v="1"/>
    <n v="34"/>
    <n v="35"/>
    <x v="5"/>
  </r>
  <r>
    <n v="911"/>
    <d v="2011-02-10T00:00:00"/>
    <n v="1"/>
    <n v="0"/>
    <n v="2"/>
    <n v="11"/>
    <x v="0"/>
    <n v="4"/>
    <n v="1"/>
    <n v="0.14000000000000001"/>
    <n v="0.1212"/>
    <n v="0.39"/>
    <n v="0.35820000000000002"/>
    <n v="1"/>
    <n v="44"/>
    <n v="45"/>
    <x v="5"/>
  </r>
  <r>
    <n v="912"/>
    <d v="2011-02-10T00:00:00"/>
    <n v="1"/>
    <n v="0"/>
    <n v="2"/>
    <n v="12"/>
    <x v="0"/>
    <n v="4"/>
    <n v="1"/>
    <n v="0.16"/>
    <n v="0.13639999999999999"/>
    <n v="0.34"/>
    <n v="0.3881"/>
    <n v="4"/>
    <n v="65"/>
    <n v="69"/>
    <x v="5"/>
  </r>
  <r>
    <n v="913"/>
    <d v="2011-02-10T00:00:00"/>
    <n v="1"/>
    <n v="0"/>
    <n v="2"/>
    <n v="13"/>
    <x v="0"/>
    <n v="4"/>
    <n v="1"/>
    <n v="0.18"/>
    <n v="0.16669999999999999"/>
    <n v="0.28999999999999998"/>
    <n v="0.29849999999999999"/>
    <n v="3"/>
    <n v="59"/>
    <n v="62"/>
    <x v="5"/>
  </r>
  <r>
    <n v="914"/>
    <d v="2011-02-10T00:00:00"/>
    <n v="1"/>
    <n v="0"/>
    <n v="2"/>
    <n v="14"/>
    <x v="0"/>
    <n v="4"/>
    <n v="1"/>
    <n v="0.2"/>
    <n v="0.18179999999999999"/>
    <n v="0.27"/>
    <n v="0.28360000000000002"/>
    <n v="6"/>
    <n v="42"/>
    <n v="48"/>
    <x v="5"/>
  </r>
  <r>
    <n v="915"/>
    <d v="2011-02-10T00:00:00"/>
    <n v="1"/>
    <n v="0"/>
    <n v="2"/>
    <n v="15"/>
    <x v="0"/>
    <n v="4"/>
    <n v="1"/>
    <n v="0.2"/>
    <n v="0.19700000000000001"/>
    <n v="0.25"/>
    <n v="0.25369999999999998"/>
    <n v="0"/>
    <n v="50"/>
    <n v="50"/>
    <x v="5"/>
  </r>
  <r>
    <n v="916"/>
    <d v="2011-02-10T00:00:00"/>
    <n v="1"/>
    <n v="0"/>
    <n v="2"/>
    <n v="16"/>
    <x v="0"/>
    <n v="4"/>
    <n v="1"/>
    <n v="0.2"/>
    <n v="0.18179999999999999"/>
    <n v="0.27"/>
    <n v="0.29849999999999999"/>
    <n v="4"/>
    <n v="76"/>
    <n v="80"/>
    <x v="5"/>
  </r>
  <r>
    <n v="917"/>
    <d v="2011-02-10T00:00:00"/>
    <n v="1"/>
    <n v="0"/>
    <n v="2"/>
    <n v="17"/>
    <x v="0"/>
    <n v="4"/>
    <n v="1"/>
    <n v="0.18"/>
    <n v="0.18179999999999999"/>
    <n v="0.26"/>
    <n v="0.19400000000000001"/>
    <n v="6"/>
    <n v="159"/>
    <n v="165"/>
    <x v="5"/>
  </r>
  <r>
    <n v="918"/>
    <d v="2011-02-10T00:00:00"/>
    <n v="1"/>
    <n v="0"/>
    <n v="2"/>
    <n v="18"/>
    <x v="0"/>
    <n v="4"/>
    <n v="1"/>
    <n v="0.16"/>
    <n v="0.18179999999999999"/>
    <n v="0.28000000000000003"/>
    <n v="0.1343"/>
    <n v="3"/>
    <n v="157"/>
    <n v="160"/>
    <x v="5"/>
  </r>
  <r>
    <n v="919"/>
    <d v="2011-02-10T00:00:00"/>
    <n v="1"/>
    <n v="0"/>
    <n v="2"/>
    <n v="19"/>
    <x v="0"/>
    <n v="4"/>
    <n v="1"/>
    <n v="0.14000000000000001"/>
    <n v="0.16669999999999999"/>
    <n v="0.28000000000000003"/>
    <n v="0.1045"/>
    <n v="2"/>
    <n v="110"/>
    <n v="112"/>
    <x v="5"/>
  </r>
  <r>
    <n v="920"/>
    <d v="2011-02-10T00:00:00"/>
    <n v="1"/>
    <n v="0"/>
    <n v="2"/>
    <n v="20"/>
    <x v="0"/>
    <n v="4"/>
    <n v="1"/>
    <n v="0.14000000000000001"/>
    <n v="0.18179999999999999"/>
    <n v="0.31"/>
    <n v="8.9599999999999999E-2"/>
    <n v="4"/>
    <n v="93"/>
    <n v="97"/>
    <x v="5"/>
  </r>
  <r>
    <n v="921"/>
    <d v="2011-02-10T00:00:00"/>
    <n v="1"/>
    <n v="0"/>
    <n v="2"/>
    <n v="21"/>
    <x v="0"/>
    <n v="4"/>
    <n v="1"/>
    <n v="0.14000000000000001"/>
    <n v="0.21210000000000001"/>
    <n v="0.39"/>
    <n v="0"/>
    <n v="2"/>
    <n v="70"/>
    <n v="72"/>
    <x v="5"/>
  </r>
  <r>
    <n v="922"/>
    <d v="2011-02-10T00:00:00"/>
    <n v="1"/>
    <n v="0"/>
    <n v="2"/>
    <n v="22"/>
    <x v="0"/>
    <n v="4"/>
    <n v="1"/>
    <n v="0.12"/>
    <n v="0.19700000000000001"/>
    <n v="0.39"/>
    <n v="0"/>
    <n v="4"/>
    <n v="47"/>
    <n v="51"/>
    <x v="5"/>
  </r>
  <r>
    <n v="923"/>
    <d v="2011-02-10T00:00:00"/>
    <n v="1"/>
    <n v="0"/>
    <n v="2"/>
    <n v="23"/>
    <x v="0"/>
    <n v="4"/>
    <n v="1"/>
    <n v="0.12"/>
    <n v="0.1515"/>
    <n v="0.42"/>
    <n v="0.1045"/>
    <n v="1"/>
    <n v="33"/>
    <n v="34"/>
    <x v="5"/>
  </r>
  <r>
    <n v="924"/>
    <d v="2011-02-11T00:00:00"/>
    <n v="1"/>
    <n v="0"/>
    <n v="2"/>
    <n v="0"/>
    <x v="0"/>
    <n v="5"/>
    <n v="1"/>
    <n v="0.1"/>
    <n v="0.13639999999999999"/>
    <n v="0.49"/>
    <n v="0.1045"/>
    <n v="2"/>
    <n v="12"/>
    <n v="14"/>
    <x v="6"/>
  </r>
  <r>
    <n v="925"/>
    <d v="2011-02-11T00:00:00"/>
    <n v="1"/>
    <n v="0"/>
    <n v="2"/>
    <n v="1"/>
    <x v="0"/>
    <n v="5"/>
    <n v="1"/>
    <n v="0.1"/>
    <n v="0.13639999999999999"/>
    <n v="0.54"/>
    <n v="8.9599999999999999E-2"/>
    <n v="1"/>
    <n v="6"/>
    <n v="7"/>
    <x v="6"/>
  </r>
  <r>
    <n v="926"/>
    <d v="2011-02-11T00:00:00"/>
    <n v="1"/>
    <n v="0"/>
    <n v="2"/>
    <n v="2"/>
    <x v="0"/>
    <n v="5"/>
    <n v="1"/>
    <n v="0.1"/>
    <n v="0.13639999999999999"/>
    <n v="0.54"/>
    <n v="8.9599999999999999E-2"/>
    <n v="0"/>
    <n v="3"/>
    <n v="3"/>
    <x v="6"/>
  </r>
  <r>
    <n v="927"/>
    <d v="2011-02-11T00:00:00"/>
    <n v="1"/>
    <n v="0"/>
    <n v="2"/>
    <n v="5"/>
    <x v="0"/>
    <n v="5"/>
    <n v="1"/>
    <n v="0.08"/>
    <n v="0.1212"/>
    <n v="0.63"/>
    <n v="8.9599999999999999E-2"/>
    <n v="0"/>
    <n v="4"/>
    <n v="4"/>
    <x v="6"/>
  </r>
  <r>
    <n v="928"/>
    <d v="2011-02-11T00:00:00"/>
    <n v="1"/>
    <n v="0"/>
    <n v="2"/>
    <n v="6"/>
    <x v="0"/>
    <n v="5"/>
    <n v="1"/>
    <n v="0.1"/>
    <n v="0.18179999999999999"/>
    <n v="0.68"/>
    <n v="0"/>
    <n v="1"/>
    <n v="23"/>
    <n v="24"/>
    <x v="6"/>
  </r>
  <r>
    <n v="929"/>
    <d v="2011-02-11T00:00:00"/>
    <n v="1"/>
    <n v="0"/>
    <n v="2"/>
    <n v="7"/>
    <x v="0"/>
    <n v="5"/>
    <n v="1"/>
    <n v="0.08"/>
    <n v="0.16669999999999999"/>
    <n v="0.73"/>
    <n v="0"/>
    <n v="1"/>
    <n v="73"/>
    <n v="74"/>
    <x v="6"/>
  </r>
  <r>
    <n v="930"/>
    <d v="2011-02-11T00:00:00"/>
    <n v="1"/>
    <n v="0"/>
    <n v="2"/>
    <n v="8"/>
    <x v="0"/>
    <n v="5"/>
    <n v="1"/>
    <n v="0.1"/>
    <n v="0.1212"/>
    <n v="0.74"/>
    <n v="0.16420000000000001"/>
    <n v="4"/>
    <n v="212"/>
    <n v="216"/>
    <x v="6"/>
  </r>
  <r>
    <n v="931"/>
    <d v="2011-02-11T00:00:00"/>
    <n v="1"/>
    <n v="0"/>
    <n v="2"/>
    <n v="9"/>
    <x v="0"/>
    <n v="5"/>
    <n v="1"/>
    <n v="0.12"/>
    <n v="0.1212"/>
    <n v="0.74"/>
    <n v="0.22389999999999999"/>
    <n v="8"/>
    <n v="132"/>
    <n v="140"/>
    <x v="6"/>
  </r>
  <r>
    <n v="932"/>
    <d v="2011-02-11T00:00:00"/>
    <n v="1"/>
    <n v="0"/>
    <n v="2"/>
    <n v="10"/>
    <x v="0"/>
    <n v="5"/>
    <n v="1"/>
    <n v="0.14000000000000001"/>
    <n v="0.13639999999999999"/>
    <n v="0.69"/>
    <n v="0.19400000000000001"/>
    <n v="5"/>
    <n v="39"/>
    <n v="44"/>
    <x v="6"/>
  </r>
  <r>
    <n v="933"/>
    <d v="2011-02-11T00:00:00"/>
    <n v="1"/>
    <n v="0"/>
    <n v="2"/>
    <n v="11"/>
    <x v="0"/>
    <n v="5"/>
    <n v="1"/>
    <n v="0.22"/>
    <n v="0.2273"/>
    <n v="0.47"/>
    <n v="0.1343"/>
    <n v="12"/>
    <n v="52"/>
    <n v="64"/>
    <x v="6"/>
  </r>
  <r>
    <n v="934"/>
    <d v="2011-02-11T00:00:00"/>
    <n v="1"/>
    <n v="0"/>
    <n v="2"/>
    <n v="12"/>
    <x v="0"/>
    <n v="5"/>
    <n v="1"/>
    <n v="0.22"/>
    <n v="0.2273"/>
    <n v="0.47"/>
    <n v="0.1343"/>
    <n v="7"/>
    <n v="64"/>
    <n v="71"/>
    <x v="6"/>
  </r>
  <r>
    <n v="935"/>
    <d v="2011-02-11T00:00:00"/>
    <n v="1"/>
    <n v="0"/>
    <n v="2"/>
    <n v="13"/>
    <x v="0"/>
    <n v="5"/>
    <n v="1"/>
    <n v="0.24"/>
    <n v="0.2273"/>
    <n v="0.35"/>
    <n v="0.19400000000000001"/>
    <n v="21"/>
    <n v="89"/>
    <n v="110"/>
    <x v="6"/>
  </r>
  <r>
    <n v="936"/>
    <d v="2011-02-11T00:00:00"/>
    <n v="1"/>
    <n v="0"/>
    <n v="2"/>
    <n v="14"/>
    <x v="0"/>
    <n v="5"/>
    <n v="1"/>
    <n v="0.3"/>
    <n v="0.28789999999999999"/>
    <n v="0.26"/>
    <n v="0.25369999999999998"/>
    <n v="17"/>
    <n v="67"/>
    <n v="84"/>
    <x v="6"/>
  </r>
  <r>
    <n v="937"/>
    <d v="2011-02-11T00:00:00"/>
    <n v="1"/>
    <n v="0"/>
    <n v="2"/>
    <n v="15"/>
    <x v="0"/>
    <n v="5"/>
    <n v="1"/>
    <n v="0.32"/>
    <n v="0.31819999999999998"/>
    <n v="0.21"/>
    <n v="0.16420000000000001"/>
    <n v="12"/>
    <n v="62"/>
    <n v="74"/>
    <x v="6"/>
  </r>
  <r>
    <n v="938"/>
    <d v="2011-02-11T00:00:00"/>
    <n v="1"/>
    <n v="0"/>
    <n v="2"/>
    <n v="16"/>
    <x v="0"/>
    <n v="5"/>
    <n v="1"/>
    <n v="0.3"/>
    <n v="0.28789999999999999"/>
    <n v="0.28000000000000003"/>
    <n v="0.19400000000000001"/>
    <n v="14"/>
    <n v="111"/>
    <n v="125"/>
    <x v="6"/>
  </r>
  <r>
    <n v="939"/>
    <d v="2011-02-11T00:00:00"/>
    <n v="1"/>
    <n v="0"/>
    <n v="2"/>
    <n v="17"/>
    <x v="0"/>
    <n v="5"/>
    <n v="1"/>
    <n v="0.3"/>
    <n v="0.33329999999999999"/>
    <n v="0.24"/>
    <n v="0"/>
    <n v="18"/>
    <n v="193"/>
    <n v="211"/>
    <x v="6"/>
  </r>
  <r>
    <n v="940"/>
    <d v="2011-02-11T00:00:00"/>
    <n v="1"/>
    <n v="0"/>
    <n v="2"/>
    <n v="18"/>
    <x v="0"/>
    <n v="5"/>
    <n v="1"/>
    <n v="0.28000000000000003"/>
    <n v="0.31819999999999998"/>
    <n v="0.28000000000000003"/>
    <n v="0"/>
    <n v="9"/>
    <n v="165"/>
    <n v="174"/>
    <x v="6"/>
  </r>
  <r>
    <n v="941"/>
    <d v="2011-02-11T00:00:00"/>
    <n v="1"/>
    <n v="0"/>
    <n v="2"/>
    <n v="19"/>
    <x v="0"/>
    <n v="5"/>
    <n v="1"/>
    <n v="0.26"/>
    <n v="0.30299999999999999"/>
    <n v="0.33"/>
    <n v="0"/>
    <n v="7"/>
    <n v="94"/>
    <n v="101"/>
    <x v="6"/>
  </r>
  <r>
    <n v="942"/>
    <d v="2011-02-11T00:00:00"/>
    <n v="1"/>
    <n v="0"/>
    <n v="2"/>
    <n v="20"/>
    <x v="0"/>
    <n v="5"/>
    <n v="1"/>
    <n v="0.22"/>
    <n v="0.2273"/>
    <n v="0.55000000000000004"/>
    <n v="0.1343"/>
    <n v="2"/>
    <n v="61"/>
    <n v="63"/>
    <x v="6"/>
  </r>
  <r>
    <n v="943"/>
    <d v="2011-02-11T00:00:00"/>
    <n v="1"/>
    <n v="0"/>
    <n v="2"/>
    <n v="21"/>
    <x v="0"/>
    <n v="5"/>
    <n v="1"/>
    <n v="0.2"/>
    <n v="0.21210000000000001"/>
    <n v="0.59"/>
    <n v="0.1343"/>
    <n v="1"/>
    <n v="46"/>
    <n v="47"/>
    <x v="6"/>
  </r>
  <r>
    <n v="944"/>
    <d v="2011-02-11T00:00:00"/>
    <n v="1"/>
    <n v="0"/>
    <n v="2"/>
    <n v="22"/>
    <x v="0"/>
    <n v="5"/>
    <n v="1"/>
    <n v="0.2"/>
    <n v="0.2273"/>
    <n v="0.64"/>
    <n v="8.9599999999999999E-2"/>
    <n v="2"/>
    <n v="41"/>
    <n v="43"/>
    <x v="6"/>
  </r>
  <r>
    <n v="945"/>
    <d v="2011-02-11T00:00:00"/>
    <n v="1"/>
    <n v="0"/>
    <n v="2"/>
    <n v="23"/>
    <x v="0"/>
    <n v="5"/>
    <n v="1"/>
    <n v="0.18"/>
    <n v="0.2424"/>
    <n v="0.69"/>
    <n v="0"/>
    <n v="5"/>
    <n v="48"/>
    <n v="53"/>
    <x v="6"/>
  </r>
  <r>
    <n v="946"/>
    <d v="2011-02-12T00:00:00"/>
    <n v="1"/>
    <n v="0"/>
    <n v="2"/>
    <n v="0"/>
    <x v="0"/>
    <n v="6"/>
    <n v="1"/>
    <n v="0.16"/>
    <n v="0.19700000000000001"/>
    <n v="0.69"/>
    <n v="8.9599999999999999E-2"/>
    <n v="3"/>
    <n v="27"/>
    <n v="30"/>
    <x v="0"/>
  </r>
  <r>
    <n v="947"/>
    <d v="2011-02-12T00:00:00"/>
    <n v="1"/>
    <n v="0"/>
    <n v="2"/>
    <n v="1"/>
    <x v="0"/>
    <n v="6"/>
    <n v="1"/>
    <n v="0.14000000000000001"/>
    <n v="0.21210000000000001"/>
    <n v="0.86"/>
    <n v="0"/>
    <n v="2"/>
    <n v="22"/>
    <n v="24"/>
    <x v="0"/>
  </r>
  <r>
    <n v="948"/>
    <d v="2011-02-12T00:00:00"/>
    <n v="1"/>
    <n v="0"/>
    <n v="2"/>
    <n v="2"/>
    <x v="0"/>
    <n v="6"/>
    <n v="1"/>
    <n v="0.14000000000000001"/>
    <n v="0.21210000000000001"/>
    <n v="0.8"/>
    <n v="0"/>
    <n v="2"/>
    <n v="13"/>
    <n v="15"/>
    <x v="0"/>
  </r>
  <r>
    <n v="949"/>
    <d v="2011-02-12T00:00:00"/>
    <n v="1"/>
    <n v="0"/>
    <n v="2"/>
    <n v="3"/>
    <x v="0"/>
    <n v="6"/>
    <n v="1"/>
    <n v="0.12"/>
    <n v="0.19700000000000001"/>
    <n v="0.8"/>
    <n v="0"/>
    <n v="3"/>
    <n v="7"/>
    <n v="10"/>
    <x v="0"/>
  </r>
  <r>
    <n v="950"/>
    <d v="2011-02-12T00:00:00"/>
    <n v="1"/>
    <n v="0"/>
    <n v="2"/>
    <n v="4"/>
    <x v="0"/>
    <n v="6"/>
    <n v="1"/>
    <n v="0.12"/>
    <n v="0.16669999999999999"/>
    <n v="0.74"/>
    <n v="8.9599999999999999E-2"/>
    <n v="0"/>
    <n v="4"/>
    <n v="4"/>
    <x v="0"/>
  </r>
  <r>
    <n v="951"/>
    <d v="2011-02-12T00:00:00"/>
    <n v="1"/>
    <n v="0"/>
    <n v="2"/>
    <n v="5"/>
    <x v="0"/>
    <n v="6"/>
    <n v="1"/>
    <n v="0.12"/>
    <n v="0.16669999999999999"/>
    <n v="0.74"/>
    <n v="8.9599999999999999E-2"/>
    <n v="0"/>
    <n v="1"/>
    <n v="1"/>
    <x v="0"/>
  </r>
  <r>
    <n v="952"/>
    <d v="2011-02-12T00:00:00"/>
    <n v="1"/>
    <n v="0"/>
    <n v="2"/>
    <n v="6"/>
    <x v="0"/>
    <n v="6"/>
    <n v="1"/>
    <n v="0.12"/>
    <n v="0.13639999999999999"/>
    <n v="0.93"/>
    <n v="0.19400000000000001"/>
    <n v="1"/>
    <n v="1"/>
    <n v="2"/>
    <x v="0"/>
  </r>
  <r>
    <n v="953"/>
    <d v="2011-02-12T00:00:00"/>
    <n v="1"/>
    <n v="0"/>
    <n v="2"/>
    <n v="7"/>
    <x v="0"/>
    <n v="6"/>
    <n v="1"/>
    <n v="0.12"/>
    <n v="0.1515"/>
    <n v="0.8"/>
    <n v="0.1045"/>
    <n v="2"/>
    <n v="9"/>
    <n v="11"/>
    <x v="0"/>
  </r>
  <r>
    <n v="954"/>
    <d v="2011-02-12T00:00:00"/>
    <n v="1"/>
    <n v="0"/>
    <n v="2"/>
    <n v="8"/>
    <x v="0"/>
    <n v="6"/>
    <n v="1"/>
    <n v="0.14000000000000001"/>
    <n v="0.1515"/>
    <n v="0.86"/>
    <n v="0.1343"/>
    <n v="2"/>
    <n v="28"/>
    <n v="30"/>
    <x v="0"/>
  </r>
  <r>
    <n v="955"/>
    <d v="2011-02-12T00:00:00"/>
    <n v="1"/>
    <n v="0"/>
    <n v="2"/>
    <n v="9"/>
    <x v="0"/>
    <n v="6"/>
    <n v="1"/>
    <n v="0.16"/>
    <n v="0.18179999999999999"/>
    <n v="0.64"/>
    <n v="0.1343"/>
    <n v="5"/>
    <n v="38"/>
    <n v="43"/>
    <x v="0"/>
  </r>
  <r>
    <n v="956"/>
    <d v="2011-02-12T00:00:00"/>
    <n v="1"/>
    <n v="0"/>
    <n v="2"/>
    <n v="10"/>
    <x v="0"/>
    <n v="6"/>
    <n v="1"/>
    <n v="0.22"/>
    <n v="0.21210000000000001"/>
    <n v="0.41"/>
    <n v="0.25369999999999998"/>
    <n v="13"/>
    <n v="71"/>
    <n v="84"/>
    <x v="0"/>
  </r>
  <r>
    <n v="957"/>
    <d v="2011-02-12T00:00:00"/>
    <n v="1"/>
    <n v="0"/>
    <n v="2"/>
    <n v="11"/>
    <x v="0"/>
    <n v="6"/>
    <n v="1"/>
    <n v="0.3"/>
    <n v="0.2727"/>
    <n v="0.28000000000000003"/>
    <n v="0.32840000000000003"/>
    <n v="30"/>
    <n v="84"/>
    <n v="114"/>
    <x v="0"/>
  </r>
  <r>
    <n v="958"/>
    <d v="2011-02-12T00:00:00"/>
    <n v="1"/>
    <n v="0"/>
    <n v="2"/>
    <n v="12"/>
    <x v="0"/>
    <n v="6"/>
    <n v="1"/>
    <n v="0.3"/>
    <n v="0.2727"/>
    <n v="0.39"/>
    <n v="0.4627"/>
    <n v="27"/>
    <n v="93"/>
    <n v="120"/>
    <x v="0"/>
  </r>
  <r>
    <n v="959"/>
    <d v="2011-02-12T00:00:00"/>
    <n v="1"/>
    <n v="0"/>
    <n v="2"/>
    <n v="13"/>
    <x v="0"/>
    <n v="6"/>
    <n v="1"/>
    <n v="0.3"/>
    <n v="0.2727"/>
    <n v="0.39"/>
    <n v="0.41789999999999999"/>
    <n v="32"/>
    <n v="103"/>
    <n v="135"/>
    <x v="0"/>
  </r>
  <r>
    <n v="960"/>
    <d v="2011-02-12T00:00:00"/>
    <n v="1"/>
    <n v="0"/>
    <n v="2"/>
    <n v="14"/>
    <x v="0"/>
    <n v="6"/>
    <n v="1"/>
    <n v="0.34"/>
    <n v="0.31819999999999998"/>
    <n v="0.31"/>
    <n v="0.28360000000000002"/>
    <n v="30"/>
    <n v="90"/>
    <n v="120"/>
    <x v="0"/>
  </r>
  <r>
    <n v="961"/>
    <d v="2011-02-12T00:00:00"/>
    <n v="1"/>
    <n v="0"/>
    <n v="2"/>
    <n v="15"/>
    <x v="0"/>
    <n v="6"/>
    <n v="1"/>
    <n v="0.34"/>
    <n v="0.30299999999999999"/>
    <n v="0.28999999999999998"/>
    <n v="0.41789999999999999"/>
    <n v="47"/>
    <n v="127"/>
    <n v="174"/>
    <x v="0"/>
  </r>
  <r>
    <n v="962"/>
    <d v="2011-02-12T00:00:00"/>
    <n v="1"/>
    <n v="0"/>
    <n v="2"/>
    <n v="16"/>
    <x v="0"/>
    <n v="6"/>
    <n v="1"/>
    <n v="0.34"/>
    <n v="0.30299999999999999"/>
    <n v="0.28999999999999998"/>
    <n v="0.41789999999999999"/>
    <n v="42"/>
    <n v="103"/>
    <n v="145"/>
    <x v="0"/>
  </r>
  <r>
    <n v="963"/>
    <d v="2011-02-12T00:00:00"/>
    <n v="1"/>
    <n v="0"/>
    <n v="2"/>
    <n v="17"/>
    <x v="0"/>
    <n v="6"/>
    <n v="1"/>
    <n v="0.32"/>
    <n v="0.28789999999999999"/>
    <n v="0.31"/>
    <n v="0.52239999999999998"/>
    <n v="24"/>
    <n v="113"/>
    <n v="137"/>
    <x v="0"/>
  </r>
  <r>
    <n v="964"/>
    <d v="2011-02-12T00:00:00"/>
    <n v="1"/>
    <n v="0"/>
    <n v="2"/>
    <n v="18"/>
    <x v="0"/>
    <n v="6"/>
    <n v="1"/>
    <n v="0.28000000000000003"/>
    <n v="0.2576"/>
    <n v="0.38"/>
    <n v="0.32840000000000003"/>
    <n v="4"/>
    <n v="60"/>
    <n v="64"/>
    <x v="0"/>
  </r>
  <r>
    <n v="965"/>
    <d v="2011-02-12T00:00:00"/>
    <n v="1"/>
    <n v="0"/>
    <n v="2"/>
    <n v="19"/>
    <x v="0"/>
    <n v="6"/>
    <n v="1"/>
    <n v="0.28000000000000003"/>
    <n v="0.2727"/>
    <n v="0.38"/>
    <n v="0.16420000000000001"/>
    <n v="2"/>
    <n v="39"/>
    <n v="41"/>
    <x v="0"/>
  </r>
  <r>
    <n v="966"/>
    <d v="2011-02-12T00:00:00"/>
    <n v="1"/>
    <n v="0"/>
    <n v="2"/>
    <n v="20"/>
    <x v="0"/>
    <n v="6"/>
    <n v="1"/>
    <n v="0.26"/>
    <n v="0.2576"/>
    <n v="0.41"/>
    <n v="0.22389999999999999"/>
    <n v="1"/>
    <n v="39"/>
    <n v="40"/>
    <x v="0"/>
  </r>
  <r>
    <n v="967"/>
    <d v="2011-02-12T00:00:00"/>
    <n v="1"/>
    <n v="0"/>
    <n v="2"/>
    <n v="21"/>
    <x v="0"/>
    <n v="6"/>
    <n v="1"/>
    <n v="0.26"/>
    <n v="0.30299999999999999"/>
    <n v="0.41"/>
    <n v="0"/>
    <n v="9"/>
    <n v="42"/>
    <n v="51"/>
    <x v="0"/>
  </r>
  <r>
    <n v="968"/>
    <d v="2011-02-12T00:00:00"/>
    <n v="1"/>
    <n v="0"/>
    <n v="2"/>
    <n v="22"/>
    <x v="0"/>
    <n v="6"/>
    <n v="1"/>
    <n v="0.24"/>
    <n v="0.2576"/>
    <n v="0.44"/>
    <n v="8.9599999999999999E-2"/>
    <n v="6"/>
    <n v="39"/>
    <n v="45"/>
    <x v="0"/>
  </r>
  <r>
    <n v="969"/>
    <d v="2011-02-12T00:00:00"/>
    <n v="1"/>
    <n v="0"/>
    <n v="2"/>
    <n v="23"/>
    <x v="0"/>
    <n v="6"/>
    <n v="1"/>
    <n v="0.22"/>
    <n v="0.2273"/>
    <n v="0.51"/>
    <n v="0.1343"/>
    <n v="1"/>
    <n v="31"/>
    <n v="32"/>
    <x v="0"/>
  </r>
  <r>
    <n v="970"/>
    <d v="2011-02-13T00:00:00"/>
    <n v="1"/>
    <n v="0"/>
    <n v="2"/>
    <n v="0"/>
    <x v="0"/>
    <n v="0"/>
    <n v="1"/>
    <n v="0.2"/>
    <n v="0.2273"/>
    <n v="0.64"/>
    <n v="0.1045"/>
    <n v="5"/>
    <n v="34"/>
    <n v="39"/>
    <x v="1"/>
  </r>
  <r>
    <n v="971"/>
    <d v="2011-02-13T00:00:00"/>
    <n v="1"/>
    <n v="0"/>
    <n v="2"/>
    <n v="1"/>
    <x v="0"/>
    <n v="0"/>
    <n v="1"/>
    <n v="0.2"/>
    <n v="0.2273"/>
    <n v="0.59"/>
    <n v="8.9599999999999999E-2"/>
    <n v="1"/>
    <n v="23"/>
    <n v="24"/>
    <x v="1"/>
  </r>
  <r>
    <n v="972"/>
    <d v="2011-02-13T00:00:00"/>
    <n v="1"/>
    <n v="0"/>
    <n v="2"/>
    <n v="2"/>
    <x v="0"/>
    <n v="0"/>
    <n v="2"/>
    <n v="0.2"/>
    <n v="0.2273"/>
    <n v="0.75"/>
    <n v="8.9599999999999999E-2"/>
    <n v="1"/>
    <n v="19"/>
    <n v="20"/>
    <x v="1"/>
  </r>
  <r>
    <n v="973"/>
    <d v="2011-02-13T00:00:00"/>
    <n v="1"/>
    <n v="0"/>
    <n v="2"/>
    <n v="3"/>
    <x v="0"/>
    <n v="0"/>
    <n v="2"/>
    <n v="0.2"/>
    <n v="0.2273"/>
    <n v="0.69"/>
    <n v="0.1045"/>
    <n v="4"/>
    <n v="8"/>
    <n v="12"/>
    <x v="1"/>
  </r>
  <r>
    <n v="974"/>
    <d v="2011-02-13T00:00:00"/>
    <n v="1"/>
    <n v="0"/>
    <n v="2"/>
    <n v="4"/>
    <x v="0"/>
    <n v="0"/>
    <n v="2"/>
    <n v="0.2"/>
    <n v="0.21210000000000001"/>
    <n v="0.69"/>
    <n v="0.16420000000000001"/>
    <n v="0"/>
    <n v="2"/>
    <n v="2"/>
    <x v="1"/>
  </r>
  <r>
    <n v="975"/>
    <d v="2011-02-13T00:00:00"/>
    <n v="1"/>
    <n v="0"/>
    <n v="2"/>
    <n v="6"/>
    <x v="0"/>
    <n v="0"/>
    <n v="2"/>
    <n v="0.2"/>
    <n v="0.21210000000000001"/>
    <n v="0.69"/>
    <n v="0.1343"/>
    <n v="2"/>
    <n v="3"/>
    <n v="5"/>
    <x v="1"/>
  </r>
  <r>
    <n v="976"/>
    <d v="2011-02-13T00:00:00"/>
    <n v="1"/>
    <n v="0"/>
    <n v="2"/>
    <n v="7"/>
    <x v="0"/>
    <n v="0"/>
    <n v="2"/>
    <n v="0.22"/>
    <n v="0.2727"/>
    <n v="0.55000000000000004"/>
    <n v="0"/>
    <n v="0"/>
    <n v="3"/>
    <n v="3"/>
    <x v="1"/>
  </r>
  <r>
    <n v="977"/>
    <d v="2011-02-13T00:00:00"/>
    <n v="1"/>
    <n v="0"/>
    <n v="2"/>
    <n v="8"/>
    <x v="0"/>
    <n v="0"/>
    <n v="2"/>
    <n v="0.22"/>
    <n v="0.2273"/>
    <n v="0.64"/>
    <n v="0.19400000000000001"/>
    <n v="1"/>
    <n v="11"/>
    <n v="12"/>
    <x v="1"/>
  </r>
  <r>
    <n v="978"/>
    <d v="2011-02-13T00:00:00"/>
    <n v="1"/>
    <n v="0"/>
    <n v="2"/>
    <n v="9"/>
    <x v="0"/>
    <n v="0"/>
    <n v="2"/>
    <n v="0.24"/>
    <n v="0.2273"/>
    <n v="0.6"/>
    <n v="0.22389999999999999"/>
    <n v="12"/>
    <n v="35"/>
    <n v="47"/>
    <x v="1"/>
  </r>
  <r>
    <n v="979"/>
    <d v="2011-02-13T00:00:00"/>
    <n v="1"/>
    <n v="0"/>
    <n v="2"/>
    <n v="10"/>
    <x v="0"/>
    <n v="0"/>
    <n v="1"/>
    <n v="0.3"/>
    <n v="0.2727"/>
    <n v="0.45"/>
    <n v="0.32840000000000003"/>
    <n v="19"/>
    <n v="86"/>
    <n v="105"/>
    <x v="1"/>
  </r>
  <r>
    <n v="980"/>
    <d v="2011-02-13T00:00:00"/>
    <n v="1"/>
    <n v="0"/>
    <n v="2"/>
    <n v="11"/>
    <x v="0"/>
    <n v="0"/>
    <n v="1"/>
    <n v="0.32"/>
    <n v="0.28789999999999999"/>
    <n v="0.39"/>
    <n v="0.44779999999999998"/>
    <n v="26"/>
    <n v="86"/>
    <n v="112"/>
    <x v="1"/>
  </r>
  <r>
    <n v="981"/>
    <d v="2011-02-13T00:00:00"/>
    <n v="1"/>
    <n v="0"/>
    <n v="2"/>
    <n v="12"/>
    <x v="0"/>
    <n v="0"/>
    <n v="1"/>
    <n v="0.36"/>
    <n v="0.31819999999999998"/>
    <n v="0.32"/>
    <n v="0.4627"/>
    <n v="58"/>
    <n v="94"/>
    <n v="152"/>
    <x v="1"/>
  </r>
  <r>
    <n v="982"/>
    <d v="2011-02-13T00:00:00"/>
    <n v="1"/>
    <n v="0"/>
    <n v="2"/>
    <n v="13"/>
    <x v="0"/>
    <n v="0"/>
    <n v="1"/>
    <n v="0.38"/>
    <n v="0.39389999999999997"/>
    <n v="0.28999999999999998"/>
    <n v="0.35820000000000002"/>
    <n v="62"/>
    <n v="92"/>
    <n v="154"/>
    <x v="1"/>
  </r>
  <r>
    <n v="983"/>
    <d v="2011-02-13T00:00:00"/>
    <n v="1"/>
    <n v="0"/>
    <n v="2"/>
    <n v="14"/>
    <x v="0"/>
    <n v="0"/>
    <n v="2"/>
    <n v="0.4"/>
    <n v="0.40910000000000002"/>
    <n v="0.3"/>
    <n v="0.41789999999999999"/>
    <n v="51"/>
    <n v="110"/>
    <n v="161"/>
    <x v="1"/>
  </r>
  <r>
    <n v="984"/>
    <d v="2011-02-13T00:00:00"/>
    <n v="1"/>
    <n v="0"/>
    <n v="2"/>
    <n v="15"/>
    <x v="0"/>
    <n v="0"/>
    <n v="2"/>
    <n v="0.4"/>
    <n v="0.40910000000000002"/>
    <n v="0.3"/>
    <n v="0.29849999999999999"/>
    <n v="40"/>
    <n v="122"/>
    <n v="162"/>
    <x v="1"/>
  </r>
  <r>
    <n v="985"/>
    <d v="2011-02-13T00:00:00"/>
    <n v="1"/>
    <n v="0"/>
    <n v="2"/>
    <n v="16"/>
    <x v="0"/>
    <n v="0"/>
    <n v="2"/>
    <n v="0.42"/>
    <n v="0.42420000000000002"/>
    <n v="0.28000000000000003"/>
    <n v="0.32840000000000003"/>
    <n v="28"/>
    <n v="106"/>
    <n v="134"/>
    <x v="1"/>
  </r>
  <r>
    <n v="986"/>
    <d v="2011-02-13T00:00:00"/>
    <n v="1"/>
    <n v="0"/>
    <n v="2"/>
    <n v="17"/>
    <x v="0"/>
    <n v="0"/>
    <n v="1"/>
    <n v="0.42"/>
    <n v="0.42420000000000002"/>
    <n v="0.28000000000000003"/>
    <n v="0.32840000000000003"/>
    <n v="30"/>
    <n v="95"/>
    <n v="125"/>
    <x v="1"/>
  </r>
  <r>
    <n v="987"/>
    <d v="2011-02-13T00:00:00"/>
    <n v="1"/>
    <n v="0"/>
    <n v="2"/>
    <n v="18"/>
    <x v="0"/>
    <n v="0"/>
    <n v="1"/>
    <n v="0.4"/>
    <n v="0.40910000000000002"/>
    <n v="0.32"/>
    <n v="0.29849999999999999"/>
    <n v="17"/>
    <n v="78"/>
    <n v="95"/>
    <x v="1"/>
  </r>
  <r>
    <n v="988"/>
    <d v="2011-02-13T00:00:00"/>
    <n v="1"/>
    <n v="0"/>
    <n v="2"/>
    <n v="19"/>
    <x v="0"/>
    <n v="0"/>
    <n v="1"/>
    <n v="0.4"/>
    <n v="0.40910000000000002"/>
    <n v="0.35"/>
    <n v="0.28360000000000002"/>
    <n v="11"/>
    <n v="50"/>
    <n v="61"/>
    <x v="1"/>
  </r>
  <r>
    <n v="989"/>
    <d v="2011-02-13T00:00:00"/>
    <n v="1"/>
    <n v="0"/>
    <n v="2"/>
    <n v="20"/>
    <x v="0"/>
    <n v="0"/>
    <n v="1"/>
    <n v="0.4"/>
    <n v="0.40910000000000002"/>
    <n v="0.35"/>
    <n v="0.32840000000000003"/>
    <n v="15"/>
    <n v="32"/>
    <n v="47"/>
    <x v="1"/>
  </r>
  <r>
    <n v="990"/>
    <d v="2011-02-13T00:00:00"/>
    <n v="1"/>
    <n v="0"/>
    <n v="2"/>
    <n v="21"/>
    <x v="0"/>
    <n v="0"/>
    <n v="1"/>
    <n v="0.4"/>
    <n v="0.40910000000000002"/>
    <n v="0.35"/>
    <n v="0.35820000000000002"/>
    <n v="6"/>
    <n v="45"/>
    <n v="51"/>
    <x v="1"/>
  </r>
  <r>
    <n v="991"/>
    <d v="2011-02-13T00:00:00"/>
    <n v="1"/>
    <n v="0"/>
    <n v="2"/>
    <n v="22"/>
    <x v="0"/>
    <n v="0"/>
    <n v="1"/>
    <n v="0.4"/>
    <n v="0.40910000000000002"/>
    <n v="0.35"/>
    <n v="0.29849999999999999"/>
    <n v="5"/>
    <n v="31"/>
    <n v="36"/>
    <x v="1"/>
  </r>
  <r>
    <n v="992"/>
    <d v="2011-02-13T00:00:00"/>
    <n v="1"/>
    <n v="0"/>
    <n v="2"/>
    <n v="23"/>
    <x v="0"/>
    <n v="0"/>
    <n v="1"/>
    <n v="0.4"/>
    <n v="0.40910000000000002"/>
    <n v="0.35"/>
    <n v="0.35820000000000002"/>
    <n v="3"/>
    <n v="27"/>
    <n v="30"/>
    <x v="1"/>
  </r>
  <r>
    <n v="993"/>
    <d v="2011-02-14T00:00:00"/>
    <n v="1"/>
    <n v="0"/>
    <n v="2"/>
    <n v="0"/>
    <x v="0"/>
    <n v="1"/>
    <n v="1"/>
    <n v="0.38"/>
    <n v="0.39389999999999997"/>
    <n v="0.37"/>
    <n v="0.35820000000000002"/>
    <n v="3"/>
    <n v="8"/>
    <n v="11"/>
    <x v="2"/>
  </r>
  <r>
    <n v="994"/>
    <d v="2011-02-14T00:00:00"/>
    <n v="1"/>
    <n v="0"/>
    <n v="2"/>
    <n v="1"/>
    <x v="0"/>
    <n v="1"/>
    <n v="1"/>
    <n v="0.38"/>
    <n v="0.39389999999999997"/>
    <n v="0.37"/>
    <n v="0.35820000000000002"/>
    <n v="1"/>
    <n v="6"/>
    <n v="7"/>
    <x v="2"/>
  </r>
  <r>
    <n v="995"/>
    <d v="2011-02-14T00:00:00"/>
    <n v="1"/>
    <n v="0"/>
    <n v="2"/>
    <n v="2"/>
    <x v="0"/>
    <n v="1"/>
    <n v="1"/>
    <n v="0.36"/>
    <n v="0.33329999999999999"/>
    <n v="0.4"/>
    <n v="0.29849999999999999"/>
    <n v="0"/>
    <n v="2"/>
    <n v="2"/>
    <x v="2"/>
  </r>
  <r>
    <n v="996"/>
    <d v="2011-02-14T00:00:00"/>
    <n v="1"/>
    <n v="0"/>
    <n v="2"/>
    <n v="3"/>
    <x v="0"/>
    <n v="1"/>
    <n v="1"/>
    <n v="0.34"/>
    <n v="0.31819999999999998"/>
    <n v="0.46"/>
    <n v="0.22389999999999999"/>
    <n v="1"/>
    <n v="1"/>
    <n v="2"/>
    <x v="2"/>
  </r>
  <r>
    <n v="997"/>
    <d v="2011-02-14T00:00:00"/>
    <n v="1"/>
    <n v="0"/>
    <n v="2"/>
    <n v="4"/>
    <x v="0"/>
    <n v="1"/>
    <n v="1"/>
    <n v="0.32"/>
    <n v="0.30299999999999999"/>
    <n v="0.53"/>
    <n v="0.28360000000000002"/>
    <n v="0"/>
    <n v="2"/>
    <n v="2"/>
    <x v="2"/>
  </r>
  <r>
    <n v="998"/>
    <d v="2011-02-14T00:00:00"/>
    <n v="1"/>
    <n v="0"/>
    <n v="2"/>
    <n v="5"/>
    <x v="0"/>
    <n v="1"/>
    <n v="1"/>
    <n v="0.32"/>
    <n v="0.30299999999999999"/>
    <n v="0.53"/>
    <n v="0.28360000000000002"/>
    <n v="0"/>
    <n v="3"/>
    <n v="3"/>
    <x v="2"/>
  </r>
  <r>
    <n v="999"/>
    <d v="2011-02-14T00:00:00"/>
    <n v="1"/>
    <n v="0"/>
    <n v="2"/>
    <n v="6"/>
    <x v="0"/>
    <n v="1"/>
    <n v="1"/>
    <n v="0.34"/>
    <n v="0.30299999999999999"/>
    <n v="0.46"/>
    <n v="0.29849999999999999"/>
    <n v="1"/>
    <n v="25"/>
    <n v="26"/>
    <x v="2"/>
  </r>
  <r>
    <n v="1000"/>
    <d v="2011-02-14T00:00:00"/>
    <n v="1"/>
    <n v="0"/>
    <n v="2"/>
    <n v="7"/>
    <x v="0"/>
    <n v="1"/>
    <n v="1"/>
    <n v="0.34"/>
    <n v="0.30299999999999999"/>
    <n v="0.46"/>
    <n v="0.29849999999999999"/>
    <n v="2"/>
    <n v="96"/>
    <n v="98"/>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1-01-01T00:00:00"/>
    <n v="1"/>
    <n v="0"/>
    <n v="1"/>
    <n v="0"/>
    <x v="0"/>
    <n v="6"/>
    <n v="1"/>
    <n v="0.24"/>
    <n v="0.28789999999999999"/>
    <n v="0.81"/>
    <n v="0"/>
    <n v="13"/>
    <n v="16"/>
    <s v="Saturday"/>
    <x v="0"/>
    <n v="3"/>
  </r>
  <r>
    <d v="2011-01-02T00:00:00"/>
    <n v="1"/>
    <n v="0"/>
    <n v="1"/>
    <n v="1"/>
    <x v="0"/>
    <n v="6"/>
    <n v="1"/>
    <n v="0.22"/>
    <n v="0.2727"/>
    <n v="0.8"/>
    <n v="0"/>
    <n v="32"/>
    <n v="40"/>
    <s v="Sunday"/>
    <x v="1"/>
    <n v="8"/>
  </r>
  <r>
    <d v="2011-01-03T00:00:00"/>
    <n v="1"/>
    <n v="0"/>
    <n v="1"/>
    <n v="2"/>
    <x v="0"/>
    <n v="6"/>
    <n v="1"/>
    <n v="0.22"/>
    <n v="0.2727"/>
    <n v="0.8"/>
    <n v="0"/>
    <n v="27"/>
    <n v="32"/>
    <s v="Monday"/>
    <x v="1"/>
    <n v="5"/>
  </r>
  <r>
    <d v="2011-01-04T00:00:00"/>
    <n v="1"/>
    <n v="0"/>
    <n v="1"/>
    <n v="3"/>
    <x v="0"/>
    <n v="6"/>
    <n v="1"/>
    <n v="0.24"/>
    <n v="0.28789999999999999"/>
    <n v="0.75"/>
    <n v="0"/>
    <n v="10"/>
    <n v="13"/>
    <s v="Tuesday"/>
    <x v="0"/>
    <n v="3"/>
  </r>
  <r>
    <d v="2011-01-05T00:00:00"/>
    <n v="1"/>
    <n v="0"/>
    <n v="1"/>
    <n v="4"/>
    <x v="0"/>
    <n v="6"/>
    <n v="1"/>
    <n v="0.24"/>
    <n v="0.28789999999999999"/>
    <n v="0.75"/>
    <n v="0"/>
    <n v="1"/>
    <n v="1"/>
    <s v="Wednesday"/>
    <x v="0"/>
    <n v="0"/>
  </r>
  <r>
    <d v="2011-01-06T00:00:00"/>
    <n v="1"/>
    <n v="0"/>
    <n v="1"/>
    <n v="5"/>
    <x v="0"/>
    <n v="6"/>
    <n v="2"/>
    <n v="0.24"/>
    <n v="0.2576"/>
    <n v="0.75"/>
    <n v="8.9599999999999999E-2"/>
    <n v="1"/>
    <n v="1"/>
    <s v="Thursday"/>
    <x v="0"/>
    <n v="0"/>
  </r>
  <r>
    <d v="2011-01-07T00:00:00"/>
    <n v="1"/>
    <n v="0"/>
    <n v="1"/>
    <n v="6"/>
    <x v="0"/>
    <n v="6"/>
    <n v="1"/>
    <n v="0.22"/>
    <n v="0.2727"/>
    <n v="0.8"/>
    <n v="0"/>
    <n v="0"/>
    <n v="2"/>
    <s v="Friday"/>
    <x v="1"/>
    <n v="2"/>
  </r>
  <r>
    <d v="2011-01-08T00:00:00"/>
    <n v="1"/>
    <n v="0"/>
    <n v="1"/>
    <n v="7"/>
    <x v="0"/>
    <n v="6"/>
    <n v="1"/>
    <n v="0.2"/>
    <n v="0.2576"/>
    <n v="0.86"/>
    <n v="0"/>
    <n v="2"/>
    <n v="3"/>
    <s v="Saturday"/>
    <x v="1"/>
    <n v="1"/>
  </r>
  <r>
    <d v="2011-01-09T00:00:00"/>
    <n v="1"/>
    <n v="0"/>
    <n v="1"/>
    <n v="8"/>
    <x v="0"/>
    <n v="6"/>
    <n v="1"/>
    <n v="0.24"/>
    <n v="0.21179999999999999"/>
    <n v="0.75"/>
    <n v="0"/>
    <n v="7"/>
    <n v="8"/>
    <s v="Sunday"/>
    <x v="0"/>
    <n v="1"/>
  </r>
  <r>
    <d v="2011-01-10T00:00:00"/>
    <n v="1"/>
    <n v="0"/>
    <n v="1"/>
    <n v="9"/>
    <x v="0"/>
    <n v="6"/>
    <n v="1"/>
    <n v="0.32"/>
    <n v="0.34849999999999998"/>
    <n v="0.76"/>
    <n v="0"/>
    <n v="6"/>
    <n v="14"/>
    <s v="Monday"/>
    <x v="0"/>
    <n v="8"/>
  </r>
  <r>
    <d v="2011-01-11T00:00:00"/>
    <n v="1"/>
    <n v="0"/>
    <n v="1"/>
    <n v="10"/>
    <x v="0"/>
    <n v="6"/>
    <n v="1"/>
    <n v="0.38"/>
    <n v="0.39389999999999997"/>
    <n v="0.76"/>
    <n v="0.25369999999999998"/>
    <n v="24"/>
    <n v="36"/>
    <s v="Tuesday"/>
    <x v="0"/>
    <n v="12"/>
  </r>
  <r>
    <d v="2011-01-12T00:00:00"/>
    <n v="1"/>
    <n v="0"/>
    <n v="1"/>
    <n v="11"/>
    <x v="0"/>
    <n v="6"/>
    <n v="1"/>
    <n v="0.36"/>
    <n v="0.33329999999999999"/>
    <n v="0.81"/>
    <n v="0.28360000000000002"/>
    <n v="30"/>
    <n v="56"/>
    <s v="Wednesday"/>
    <x v="0"/>
    <n v="26"/>
  </r>
  <r>
    <d v="2011-01-13T00:00:00"/>
    <n v="1"/>
    <n v="0"/>
    <n v="1"/>
    <n v="12"/>
    <x v="0"/>
    <n v="6"/>
    <n v="1"/>
    <n v="0.42"/>
    <n v="0.42420000000000002"/>
    <n v="0.77"/>
    <n v="0.28360000000000002"/>
    <n v="55"/>
    <n v="84"/>
    <s v="Thursday"/>
    <x v="0"/>
    <n v="29"/>
  </r>
  <r>
    <d v="2011-01-14T00:00:00"/>
    <n v="1"/>
    <n v="0"/>
    <n v="1"/>
    <n v="13"/>
    <x v="0"/>
    <n v="6"/>
    <n v="2"/>
    <n v="0.46"/>
    <n v="0.45450000000000002"/>
    <n v="0.72"/>
    <n v="0.29849999999999999"/>
    <n v="47"/>
    <n v="94"/>
    <s v="Friday"/>
    <x v="0"/>
    <n v="47"/>
  </r>
  <r>
    <d v="2011-01-15T00:00:00"/>
    <n v="1"/>
    <n v="0"/>
    <n v="1"/>
    <n v="14"/>
    <x v="0"/>
    <n v="6"/>
    <n v="2"/>
    <n v="0.46"/>
    <n v="0.45450000000000002"/>
    <n v="0.72"/>
    <n v="0.28360000000000002"/>
    <n v="71"/>
    <n v="106"/>
    <s v="Saturday"/>
    <x v="0"/>
    <n v="35"/>
  </r>
  <r>
    <d v="2011-01-16T00:00:00"/>
    <n v="1"/>
    <n v="0"/>
    <n v="1"/>
    <n v="15"/>
    <x v="0"/>
    <n v="6"/>
    <n v="2"/>
    <n v="0.44"/>
    <n v="0.43940000000000001"/>
    <n v="0.77"/>
    <n v="0.29849999999999999"/>
    <n v="70"/>
    <n v="110"/>
    <s v="Sunday"/>
    <x v="0"/>
    <n v="40"/>
  </r>
  <r>
    <d v="2011-01-17T00:00:00"/>
    <n v="1"/>
    <n v="0"/>
    <n v="1"/>
    <n v="16"/>
    <x v="0"/>
    <n v="6"/>
    <n v="2"/>
    <n v="0.42"/>
    <n v="0.42420000000000002"/>
    <n v="0.82"/>
    <n v="0.29849999999999999"/>
    <m/>
    <n v="93"/>
    <s v="Monday"/>
    <x v="0"/>
    <n v="41"/>
  </r>
  <r>
    <d v="2011-01-18T00:00:00"/>
    <n v="1"/>
    <n v="0"/>
    <n v="1"/>
    <n v="17"/>
    <x v="0"/>
    <n v="6"/>
    <n v="2"/>
    <n v="0.44"/>
    <n v="0.21179999999999999"/>
    <n v="0.82"/>
    <n v="0.28360000000000002"/>
    <n v="52"/>
    <n v="67"/>
    <s v="Tuesday"/>
    <x v="0"/>
    <n v="15"/>
  </r>
  <r>
    <d v="2011-01-19T00:00:00"/>
    <n v="1"/>
    <n v="0"/>
    <n v="1"/>
    <n v="18"/>
    <x v="0"/>
    <n v="6"/>
    <n v="3"/>
    <n v="0.42"/>
    <n v="0.42420000000000002"/>
    <n v="0.88"/>
    <n v="0.25369999999999998"/>
    <n v="26"/>
    <n v="35"/>
    <s v="Wednesday"/>
    <x v="0"/>
    <n v="9"/>
  </r>
  <r>
    <d v="2011-01-20T00:00:00"/>
    <n v="1"/>
    <n v="0"/>
    <n v="1"/>
    <n v="19"/>
    <x v="0"/>
    <n v="6"/>
    <n v="3"/>
    <n v="0.42"/>
    <n v="0.42420000000000002"/>
    <n v="0.88"/>
    <n v="0.25369999999999998"/>
    <n v="31"/>
    <n v="37"/>
    <s v="Thursday"/>
    <x v="0"/>
    <n v="6"/>
  </r>
  <r>
    <d v="2011-01-21T00:00:00"/>
    <n v="1"/>
    <n v="0"/>
    <n v="1"/>
    <n v="20"/>
    <x v="0"/>
    <n v="6"/>
    <n v="2"/>
    <n v="0.4"/>
    <n v="0.40910000000000002"/>
    <n v="0.87"/>
    <n v="0.25369999999999998"/>
    <n v="25"/>
    <n v="36"/>
    <s v="Friday"/>
    <x v="0"/>
    <n v="11"/>
  </r>
  <r>
    <d v="2011-01-22T00:00:00"/>
    <n v="1"/>
    <n v="0"/>
    <n v="1"/>
    <n v="21"/>
    <x v="0"/>
    <n v="6"/>
    <n v="2"/>
    <n v="0.4"/>
    <n v="0.40910000000000002"/>
    <n v="0.87"/>
    <n v="0.19400000000000001"/>
    <n v="31"/>
    <n v="34"/>
    <s v="Saturday"/>
    <x v="0"/>
    <n v="3"/>
  </r>
  <r>
    <d v="2011-01-23T00:00:00"/>
    <n v="1"/>
    <n v="0"/>
    <n v="1"/>
    <n v="22"/>
    <x v="0"/>
    <n v="6"/>
    <n v="2"/>
    <n v="0.4"/>
    <n v="0.40910000000000002"/>
    <n v="0.94"/>
    <n v="0.22389999999999999"/>
    <n v="17"/>
    <n v="28"/>
    <s v="Sunday"/>
    <x v="0"/>
    <n v="11"/>
  </r>
  <r>
    <d v="2011-01-24T00:00:00"/>
    <n v="1"/>
    <n v="0"/>
    <n v="1"/>
    <n v="23"/>
    <x v="0"/>
    <n v="6"/>
    <n v="2"/>
    <n v="0.46"/>
    <n v="0.21179999999999999"/>
    <n v="0.88"/>
    <n v="0.29849999999999999"/>
    <n v="24"/>
    <n v="39"/>
    <s v="Monday"/>
    <x v="0"/>
    <n v="15"/>
  </r>
  <r>
    <d v="2011-01-25T00:00:00"/>
    <n v="1"/>
    <n v="0"/>
    <n v="1"/>
    <n v="0"/>
    <x v="0"/>
    <n v="0"/>
    <n v="2"/>
    <n v="0.46"/>
    <n v="0.45450000000000002"/>
    <n v="0.88"/>
    <n v="0.29849999999999999"/>
    <n v="13"/>
    <n v="17"/>
    <s v="Tuesday"/>
    <x v="0"/>
    <n v="4"/>
  </r>
  <r>
    <d v="2011-01-26T00:00:00"/>
    <n v="1"/>
    <n v="0"/>
    <n v="1"/>
    <n v="1"/>
    <x v="0"/>
    <n v="0"/>
    <n v="2"/>
    <n v="0.44"/>
    <n v="0.43940000000000001"/>
    <n v="0.94"/>
    <n v="0.25369999999999998"/>
    <n v="16"/>
    <n v="17"/>
    <s v="Wednesday"/>
    <x v="0"/>
    <n v="1"/>
  </r>
  <r>
    <d v="2011-01-27T00:00:00"/>
    <n v="1"/>
    <n v="0"/>
    <n v="1"/>
    <n v="2"/>
    <x v="0"/>
    <n v="0"/>
    <n v="2"/>
    <n v="0.42"/>
    <n v="0.42420000000000002"/>
    <n v="1"/>
    <n v="0.28360000000000002"/>
    <n v="8"/>
    <n v="9"/>
    <s v="Thursday"/>
    <x v="0"/>
    <n v="1"/>
  </r>
  <r>
    <d v="2011-01-28T00:00:00"/>
    <n v="1"/>
    <n v="0"/>
    <n v="1"/>
    <n v="3"/>
    <x v="0"/>
    <n v="0"/>
    <n v="2"/>
    <n v="0.46"/>
    <n v="0.45450000000000002"/>
    <n v="0.94"/>
    <n v="0.19400000000000001"/>
    <n v="4"/>
    <n v="6"/>
    <s v="Friday"/>
    <x v="0"/>
    <n v="2"/>
  </r>
  <r>
    <d v="2011-01-29T00:00:00"/>
    <n v="1"/>
    <n v="0"/>
    <n v="1"/>
    <n v="4"/>
    <x v="0"/>
    <n v="0"/>
    <n v="2"/>
    <n v="0.46"/>
    <n v="0.21179999999999999"/>
    <n v="0.94"/>
    <n v="0.19400000000000001"/>
    <n v="1"/>
    <n v="3"/>
    <s v="Saturday"/>
    <x v="0"/>
    <n v="2"/>
  </r>
  <r>
    <d v="2011-01-30T00:00:00"/>
    <n v="1"/>
    <n v="0"/>
    <n v="1"/>
    <n v="6"/>
    <x v="0"/>
    <n v="0"/>
    <n v="3"/>
    <n v="0.42"/>
    <n v="0.42420000000000002"/>
    <n v="0.77"/>
    <n v="0.29849999999999999"/>
    <n v="2"/>
    <n v="2"/>
    <s v="Sunday"/>
    <x v="0"/>
    <n v="0"/>
  </r>
  <r>
    <d v="2011-01-31T00:00:00"/>
    <n v="1"/>
    <n v="0"/>
    <n v="1"/>
    <n v="7"/>
    <x v="0"/>
    <n v="0"/>
    <n v="2"/>
    <n v="0.4"/>
    <n v="0.40910000000000002"/>
    <n v="0.76"/>
    <n v="0.19400000000000001"/>
    <n v="1"/>
    <n v="1"/>
    <s v="Monday"/>
    <x v="0"/>
    <n v="0"/>
  </r>
  <r>
    <d v="2011-02-01T00:00:00"/>
    <n v="1"/>
    <n v="0"/>
    <n v="1"/>
    <n v="8"/>
    <x v="0"/>
    <n v="0"/>
    <n v="3"/>
    <n v="0.4"/>
    <n v="0.40910000000000002"/>
    <n v="0.71"/>
    <n v="0.22389999999999999"/>
    <n v="8"/>
    <n v="8"/>
    <s v="Tuesday"/>
    <x v="0"/>
    <n v="0"/>
  </r>
  <r>
    <d v="2011-02-02T00:00:00"/>
    <n v="1"/>
    <n v="0"/>
    <n v="1"/>
    <n v="9"/>
    <x v="0"/>
    <n v="0"/>
    <n v="2"/>
    <n v="0.38"/>
    <n v="0.21179999999999999"/>
    <n v="0.76"/>
    <n v="0.22389999999999999"/>
    <n v="19"/>
    <n v="20"/>
    <s v="Wednesday"/>
    <x v="0"/>
    <n v="1"/>
  </r>
  <r>
    <d v="2011-02-03T00:00:00"/>
    <n v="1"/>
    <n v="0"/>
    <n v="1"/>
    <n v="10"/>
    <x v="0"/>
    <n v="0"/>
    <n v="2"/>
    <n v="0.36"/>
    <n v="0.34849999999999998"/>
    <n v="0.81"/>
    <n v="0.22389999999999999"/>
    <n v="46"/>
    <n v="53"/>
    <s v="Thursday"/>
    <x v="0"/>
    <n v="7"/>
  </r>
  <r>
    <d v="2011-02-04T00:00:00"/>
    <n v="1"/>
    <n v="0"/>
    <n v="1"/>
    <n v="11"/>
    <x v="0"/>
    <n v="0"/>
    <n v="2"/>
    <n v="0.36"/>
    <n v="0.33329999999999999"/>
    <n v="0.71"/>
    <n v="0.25369999999999998"/>
    <n v="54"/>
    <n v="70"/>
    <s v="Friday"/>
    <x v="0"/>
    <n v="16"/>
  </r>
  <r>
    <d v="2011-02-05T00:00:00"/>
    <n v="1"/>
    <n v="0"/>
    <n v="1"/>
    <n v="12"/>
    <x v="0"/>
    <n v="0"/>
    <n v="2"/>
    <n v="0.36"/>
    <n v="0.33329999999999999"/>
    <n v="0.66"/>
    <n v="0.29849999999999999"/>
    <n v="73"/>
    <n v="93"/>
    <s v="Saturday"/>
    <x v="0"/>
    <n v="20"/>
  </r>
  <r>
    <d v="2011-02-06T00:00:00"/>
    <n v="1"/>
    <n v="0"/>
    <n v="1"/>
    <n v="13"/>
    <x v="0"/>
    <n v="0"/>
    <n v="2"/>
    <n v="0.36"/>
    <n v="0.34849999999999998"/>
    <n v="0.66"/>
    <n v="0.1343"/>
    <n v="64"/>
    <n v="75"/>
    <s v="Sunday"/>
    <x v="0"/>
    <n v="11"/>
  </r>
  <r>
    <d v="2011-02-07T00:00:00"/>
    <n v="1"/>
    <n v="0"/>
    <n v="1"/>
    <n v="14"/>
    <x v="0"/>
    <n v="0"/>
    <n v="3"/>
    <n v="0.36"/>
    <n v="0.21179999999999999"/>
    <n v="0.76"/>
    <n v="0.19400000000000001"/>
    <n v="55"/>
    <n v="59"/>
    <s v="Monday"/>
    <x v="0"/>
    <n v="4"/>
  </r>
  <r>
    <d v="2011-02-08T00:00:00"/>
    <n v="1"/>
    <n v="0"/>
    <n v="1"/>
    <n v="15"/>
    <x v="0"/>
    <n v="0"/>
    <n v="3"/>
    <n v="0.34"/>
    <n v="0.33329999999999999"/>
    <n v="0.81"/>
    <n v="0.16420000000000001"/>
    <n v="55"/>
    <n v="74"/>
    <s v="Tuesday"/>
    <x v="0"/>
    <n v="19"/>
  </r>
  <r>
    <d v="2011-02-09T00:00:00"/>
    <n v="1"/>
    <n v="0"/>
    <n v="1"/>
    <n v="16"/>
    <x v="0"/>
    <n v="0"/>
    <n v="3"/>
    <n v="0.34"/>
    <n v="0.33329999999999999"/>
    <n v="0.71"/>
    <n v="0.16420000000000001"/>
    <n v="67"/>
    <n v="76"/>
    <s v="Wednesday"/>
    <x v="0"/>
    <n v="9"/>
  </r>
  <r>
    <d v="2011-02-10T00:00:00"/>
    <n v="1"/>
    <n v="0"/>
    <n v="1"/>
    <n v="17"/>
    <x v="0"/>
    <n v="0"/>
    <n v="1"/>
    <n v="0.34"/>
    <n v="0.33329999999999999"/>
    <n v="0.56999999999999995"/>
    <n v="0.19400000000000001"/>
    <n v="58"/>
    <n v="65"/>
    <s v="Thursday"/>
    <x v="0"/>
    <n v="7"/>
  </r>
  <r>
    <d v="2011-02-11T00:00:00"/>
    <n v="1"/>
    <n v="0"/>
    <n v="1"/>
    <n v="18"/>
    <x v="0"/>
    <n v="0"/>
    <n v="2"/>
    <n v="0.36"/>
    <n v="0.33329999999999999"/>
    <n v="0.46"/>
    <n v="0.32840000000000003"/>
    <n v="43"/>
    <n v="53"/>
    <s v="Friday"/>
    <x v="0"/>
    <n v="10"/>
  </r>
  <r>
    <d v="2011-02-12T00:00:00"/>
    <n v="1"/>
    <n v="0"/>
    <n v="1"/>
    <n v="19"/>
    <x v="0"/>
    <n v="0"/>
    <n v="1"/>
    <n v="0.32"/>
    <n v="0.28789999999999999"/>
    <n v="0.42"/>
    <n v="0.44779999999999998"/>
    <n v="29"/>
    <n v="30"/>
    <s v="Saturday"/>
    <x v="0"/>
    <n v="1"/>
  </r>
  <r>
    <d v="2011-02-13T00:00:00"/>
    <n v="1"/>
    <n v="0"/>
    <n v="1"/>
    <n v="20"/>
    <x v="0"/>
    <n v="0"/>
    <n v="1"/>
    <n v="0.3"/>
    <n v="0.21179999999999999"/>
    <n v="0.39"/>
    <n v="0.35820000000000002"/>
    <n v="17"/>
    <n v="22"/>
    <s v="Sunday"/>
    <x v="0"/>
    <n v="5"/>
  </r>
  <r>
    <d v="2011-02-14T00:00:00"/>
    <n v="1"/>
    <n v="0"/>
    <n v="1"/>
    <n v="21"/>
    <x v="0"/>
    <n v="0"/>
    <n v="1"/>
    <n v="0.26"/>
    <n v="0.2273"/>
    <n v="0.44"/>
    <n v="0.32840000000000003"/>
    <n v="20"/>
    <n v="31"/>
    <s v="Monday"/>
    <x v="0"/>
    <n v="11"/>
  </r>
  <r>
    <d v="2011-02-15T00:00:00"/>
    <n v="1"/>
    <n v="0"/>
    <n v="1"/>
    <n v="22"/>
    <x v="0"/>
    <n v="0"/>
    <n v="1"/>
    <n v="0.24"/>
    <n v="0.21210000000000001"/>
    <n v="0.44"/>
    <n v="0.29849999999999999"/>
    <n v="9"/>
    <n v="9"/>
    <s v="Tuesday"/>
    <x v="0"/>
    <n v="0"/>
  </r>
  <r>
    <d v="2011-02-16T00:00:00"/>
    <n v="1"/>
    <n v="0"/>
    <n v="1"/>
    <n v="23"/>
    <x v="0"/>
    <n v="0"/>
    <n v="1"/>
    <n v="0.22"/>
    <n v="0.2273"/>
    <n v="0.47"/>
    <n v="0.16420000000000001"/>
    <n v="8"/>
    <n v="8"/>
    <s v="Wednesday"/>
    <x v="1"/>
    <n v="0"/>
  </r>
  <r>
    <d v="2011-02-17T00:00:00"/>
    <n v="1"/>
    <n v="0"/>
    <n v="1"/>
    <n v="0"/>
    <x v="0"/>
    <n v="1"/>
    <n v="1"/>
    <n v="0.22"/>
    <n v="0.19700000000000001"/>
    <n v="0.44"/>
    <n v="0.35820000000000002"/>
    <n v="5"/>
    <n v="5"/>
    <s v="Thursday"/>
    <x v="1"/>
    <n v="0"/>
  </r>
  <r>
    <d v="2011-02-18T00:00:00"/>
    <n v="1"/>
    <n v="0"/>
    <n v="1"/>
    <n v="1"/>
    <x v="0"/>
    <n v="1"/>
    <n v="1"/>
    <n v="0.2"/>
    <n v="0.21179999999999999"/>
    <n v="0.44"/>
    <n v="0.41789999999999999"/>
    <n v="2"/>
    <n v="2"/>
    <s v="Friday"/>
    <x v="1"/>
    <n v="0"/>
  </r>
  <r>
    <d v="2011-02-19T00:00:00"/>
    <n v="1"/>
    <n v="0"/>
    <n v="1"/>
    <n v="4"/>
    <x v="0"/>
    <n v="1"/>
    <n v="1"/>
    <n v="0.16"/>
    <n v="0.13639999999999999"/>
    <n v="0.47"/>
    <n v="0.3881"/>
    <n v="1"/>
    <n v="1"/>
    <s v="Saturday"/>
    <x v="1"/>
    <n v="0"/>
  </r>
  <r>
    <d v="2011-02-20T00:00:00"/>
    <n v="1"/>
    <n v="0"/>
    <n v="1"/>
    <n v="5"/>
    <x v="0"/>
    <n v="1"/>
    <n v="1"/>
    <n v="0.16"/>
    <n v="0.13639999999999999"/>
    <n v="0.47"/>
    <n v="0.28360000000000002"/>
    <n v="3"/>
    <n v="3"/>
    <s v="Sunday"/>
    <x v="1"/>
    <n v="0"/>
  </r>
  <r>
    <d v="2011-02-21T00:00:00"/>
    <n v="1"/>
    <n v="0"/>
    <n v="1"/>
    <n v="6"/>
    <x v="0"/>
    <n v="1"/>
    <n v="1"/>
    <n v="0.14000000000000001"/>
    <n v="0.1061"/>
    <n v="0.5"/>
    <n v="0.3881"/>
    <n v="30"/>
    <n v="30"/>
    <s v="Monday"/>
    <x v="1"/>
    <n v="0"/>
  </r>
  <r>
    <d v="2011-02-22T00:00:00"/>
    <n v="1"/>
    <n v="0"/>
    <n v="1"/>
    <n v="7"/>
    <x v="0"/>
    <n v="1"/>
    <n v="1"/>
    <n v="0.14000000000000001"/>
    <n v="0.13639999999999999"/>
    <n v="0.5"/>
    <n v="0.19400000000000001"/>
    <n v="63"/>
    <n v="64"/>
    <s v="Tuesday"/>
    <x v="1"/>
    <n v="1"/>
  </r>
  <r>
    <d v="2011-02-23T00:00:00"/>
    <n v="1"/>
    <n v="0"/>
    <n v="1"/>
    <n v="8"/>
    <x v="0"/>
    <n v="1"/>
    <n v="1"/>
    <n v="0.14000000000000001"/>
    <n v="0.1212"/>
    <n v="0.5"/>
    <n v="0.28360000000000002"/>
    <n v="153"/>
    <n v="154"/>
    <s v="Wednesday"/>
    <x v="1"/>
    <n v="1"/>
  </r>
  <r>
    <d v="2011-02-24T00:00:00"/>
    <n v="1"/>
    <n v="0"/>
    <n v="1"/>
    <n v="9"/>
    <x v="0"/>
    <n v="1"/>
    <n v="1"/>
    <n v="0.16"/>
    <n v="0.13639999999999999"/>
    <n v="0.43"/>
    <n v="0.3881"/>
    <n v="81"/>
    <n v="88"/>
    <s v="Thursday"/>
    <x v="1"/>
    <n v="7"/>
  </r>
  <r>
    <d v="2011-02-25T00:00:00"/>
    <n v="1"/>
    <n v="0"/>
    <n v="1"/>
    <n v="10"/>
    <x v="0"/>
    <n v="1"/>
    <n v="1"/>
    <n v="0.18"/>
    <n v="0.16669999999999999"/>
    <n v="0.43"/>
    <n v="0.25369999999999998"/>
    <n v="33"/>
    <n v="44"/>
    <s v="Friday"/>
    <x v="1"/>
    <n v="11"/>
  </r>
  <r>
    <d v="2011-02-26T00:00:00"/>
    <n v="1"/>
    <n v="0"/>
    <n v="1"/>
    <n v="11"/>
    <x v="0"/>
    <n v="1"/>
    <n v="1"/>
    <n v="0.2"/>
    <n v="0.18179999999999999"/>
    <n v="0.4"/>
    <n v="0.32840000000000003"/>
    <n v="41"/>
    <n v="51"/>
    <s v="Saturday"/>
    <x v="1"/>
    <n v="10"/>
  </r>
  <r>
    <d v="2011-02-27T00:00:00"/>
    <n v="1"/>
    <n v="0"/>
    <n v="1"/>
    <n v="12"/>
    <x v="0"/>
    <n v="1"/>
    <n v="1"/>
    <n v="0.22"/>
    <n v="0.21210000000000001"/>
    <n v="0.35"/>
    <n v="0.29849999999999999"/>
    <n v="48"/>
    <n v="61"/>
    <s v="Sunday"/>
    <x v="1"/>
    <n v="13"/>
  </r>
  <r>
    <d v="2011-02-28T00:00:00"/>
    <n v="1"/>
    <n v="0"/>
    <n v="1"/>
    <n v="13"/>
    <x v="0"/>
    <n v="1"/>
    <n v="1"/>
    <n v="0.24"/>
    <n v="0.21179999999999999"/>
    <n v="0.35"/>
    <n v="0.28360000000000002"/>
    <n v="53"/>
    <n v="61"/>
    <s v="Monday"/>
    <x v="0"/>
    <n v="8"/>
  </r>
  <r>
    <d v="2011-03-01T00:00:00"/>
    <n v="1"/>
    <n v="0"/>
    <n v="1"/>
    <n v="14"/>
    <x v="0"/>
    <n v="1"/>
    <n v="1"/>
    <n v="0.26"/>
    <n v="0.2424"/>
    <n v="0.3"/>
    <n v="0.28360000000000002"/>
    <n v="66"/>
    <n v="77"/>
    <s v="Tuesday"/>
    <x v="0"/>
    <n v="11"/>
  </r>
  <r>
    <d v="2011-03-02T00:00:00"/>
    <n v="1"/>
    <n v="0"/>
    <n v="1"/>
    <n v="15"/>
    <x v="0"/>
    <n v="1"/>
    <n v="1"/>
    <n v="0.26"/>
    <n v="0.2424"/>
    <n v="0.3"/>
    <n v="0.25369999999999998"/>
    <n v="58"/>
    <n v="72"/>
    <s v="Wednesday"/>
    <x v="0"/>
    <n v="14"/>
  </r>
  <r>
    <d v="2011-03-03T00:00:00"/>
    <n v="1"/>
    <n v="0"/>
    <n v="1"/>
    <n v="16"/>
    <x v="0"/>
    <n v="1"/>
    <n v="1"/>
    <n v="0.26"/>
    <n v="0.2424"/>
    <n v="0.3"/>
    <n v="0.25369999999999998"/>
    <n v="67"/>
    <n v="76"/>
    <s v="Thursday"/>
    <x v="0"/>
    <n v="9"/>
  </r>
  <r>
    <d v="2011-03-04T00:00:00"/>
    <n v="1"/>
    <n v="0"/>
    <n v="1"/>
    <n v="17"/>
    <x v="0"/>
    <n v="1"/>
    <n v="1"/>
    <n v="0.24"/>
    <n v="0.2273"/>
    <n v="0.3"/>
    <n v="0.22389999999999999"/>
    <n v="146"/>
    <n v="157"/>
    <s v="Friday"/>
    <x v="0"/>
    <n v="11"/>
  </r>
  <r>
    <d v="2011-03-05T00:00:00"/>
    <n v="1"/>
    <n v="0"/>
    <n v="1"/>
    <n v="18"/>
    <x v="0"/>
    <n v="1"/>
    <n v="1"/>
    <n v="0.24"/>
    <n v="0.2576"/>
    <n v="0.32"/>
    <n v="0.1045"/>
    <n v="148"/>
    <n v="157"/>
    <s v="Saturday"/>
    <x v="0"/>
    <n v="9"/>
  </r>
  <r>
    <d v="2011-03-06T00:00:00"/>
    <n v="1"/>
    <n v="0"/>
    <n v="1"/>
    <n v="19"/>
    <x v="0"/>
    <n v="1"/>
    <n v="1"/>
    <n v="0.2"/>
    <n v="0.2576"/>
    <n v="0.47"/>
    <n v="0"/>
    <n v="102"/>
    <n v="110"/>
    <s v="Sunday"/>
    <x v="1"/>
    <n v="8"/>
  </r>
  <r>
    <d v="2011-03-07T00:00:00"/>
    <n v="1"/>
    <n v="0"/>
    <n v="1"/>
    <n v="20"/>
    <x v="0"/>
    <n v="1"/>
    <n v="1"/>
    <n v="0.2"/>
    <n v="0.21179999999999999"/>
    <n v="0.47"/>
    <n v="0.1045"/>
    <n v="49"/>
    <n v="52"/>
    <s v="Monday"/>
    <x v="1"/>
    <n v="3"/>
  </r>
  <r>
    <d v="2011-03-08T00:00:00"/>
    <n v="1"/>
    <n v="0"/>
    <n v="1"/>
    <n v="21"/>
    <x v="0"/>
    <n v="1"/>
    <n v="1"/>
    <n v="0.18"/>
    <n v="0.19700000000000001"/>
    <n v="0.64"/>
    <n v="0.1343"/>
    <n v="49"/>
    <n v="52"/>
    <s v="Tuesday"/>
    <x v="1"/>
    <n v="3"/>
  </r>
  <r>
    <d v="2011-03-09T00:00:00"/>
    <n v="1"/>
    <n v="0"/>
    <n v="1"/>
    <n v="22"/>
    <x v="0"/>
    <n v="1"/>
    <n v="1"/>
    <n v="0.14000000000000001"/>
    <n v="0.1515"/>
    <n v="0.69"/>
    <n v="0.1343"/>
    <n v="20"/>
    <n v="20"/>
    <s v="Wednesday"/>
    <x v="1"/>
    <n v="0"/>
  </r>
  <r>
    <d v="2011-03-10T00:00:00"/>
    <n v="1"/>
    <n v="0"/>
    <n v="1"/>
    <n v="23"/>
    <x v="0"/>
    <n v="1"/>
    <n v="1"/>
    <n v="0.18"/>
    <n v="0.21210000000000001"/>
    <n v="0.55000000000000004"/>
    <n v="0.1045"/>
    <n v="11"/>
    <n v="12"/>
    <s v="Thursday"/>
    <x v="1"/>
    <n v="1"/>
  </r>
  <r>
    <d v="2011-03-11T00:00:00"/>
    <n v="1"/>
    <n v="0"/>
    <n v="1"/>
    <n v="0"/>
    <x v="0"/>
    <n v="2"/>
    <n v="1"/>
    <n v="0.16"/>
    <n v="0.21179999999999999"/>
    <n v="0.55000000000000004"/>
    <n v="0.1045"/>
    <n v="5"/>
    <n v="5"/>
    <s v="Friday"/>
    <x v="1"/>
    <n v="0"/>
  </r>
  <r>
    <d v="2011-03-12T00:00:00"/>
    <n v="1"/>
    <n v="0"/>
    <n v="1"/>
    <n v="1"/>
    <x v="0"/>
    <n v="2"/>
    <n v="1"/>
    <n v="0.16"/>
    <n v="0.18179999999999999"/>
    <n v="0.59"/>
    <n v="0.1045"/>
    <n v="2"/>
    <n v="2"/>
    <s v="Saturday"/>
    <x v="1"/>
    <n v="0"/>
  </r>
  <r>
    <d v="2011-03-13T00:00:00"/>
    <n v="1"/>
    <n v="0"/>
    <n v="1"/>
    <n v="2"/>
    <x v="0"/>
    <n v="2"/>
    <n v="1"/>
    <n v="0.14000000000000001"/>
    <n v="0.1515"/>
    <n v="0.63"/>
    <n v="0.1343"/>
    <n v="1"/>
    <n v="1"/>
    <s v="Sunday"/>
    <x v="1"/>
    <n v="0"/>
  </r>
  <r>
    <d v="2011-03-14T00:00:00"/>
    <n v="1"/>
    <n v="0"/>
    <n v="1"/>
    <n v="4"/>
    <x v="0"/>
    <n v="2"/>
    <n v="1"/>
    <n v="0.14000000000000001"/>
    <n v="0.18179999999999999"/>
    <n v="0.63"/>
    <n v="8.9599999999999999E-2"/>
    <n v="2"/>
    <n v="2"/>
    <s v="Monday"/>
    <x v="1"/>
    <n v="0"/>
  </r>
  <r>
    <d v="2011-03-15T00:00:00"/>
    <n v="1"/>
    <n v="0"/>
    <n v="1"/>
    <n v="5"/>
    <x v="0"/>
    <n v="2"/>
    <n v="1"/>
    <n v="0.12"/>
    <n v="0.1515"/>
    <n v="0.68"/>
    <n v="0.1045"/>
    <n v="4"/>
    <n v="4"/>
    <s v="Tuesday"/>
    <x v="1"/>
    <n v="0"/>
  </r>
  <r>
    <d v="2011-03-16T00:00:00"/>
    <n v="1"/>
    <n v="0"/>
    <n v="1"/>
    <n v="6"/>
    <x v="0"/>
    <n v="2"/>
    <n v="1"/>
    <n v="0.12"/>
    <n v="0.1515"/>
    <n v="0.74"/>
    <n v="0.1045"/>
    <n v="36"/>
    <n v="36"/>
    <s v="Wednesday"/>
    <x v="1"/>
    <n v="0"/>
  </r>
  <r>
    <d v="2011-03-17T00:00:00"/>
    <n v="1"/>
    <n v="0"/>
    <n v="1"/>
    <n v="7"/>
    <x v="0"/>
    <n v="2"/>
    <n v="1"/>
    <n v="0.12"/>
    <n v="0.1515"/>
    <n v="0.74"/>
    <n v="0.1343"/>
    <n v="92"/>
    <n v="94"/>
    <s v="Thursday"/>
    <x v="1"/>
    <n v="2"/>
  </r>
  <r>
    <d v="2011-03-18T00:00:00"/>
    <n v="1"/>
    <n v="0"/>
    <n v="1"/>
    <n v="8"/>
    <x v="0"/>
    <n v="2"/>
    <n v="1"/>
    <n v="0.14000000000000001"/>
    <n v="0.1515"/>
    <n v="0.69"/>
    <n v="0.16420000000000001"/>
    <n v="177"/>
    <n v="179"/>
    <s v="Friday"/>
    <x v="1"/>
    <n v="2"/>
  </r>
  <r>
    <d v="2011-03-19T00:00:00"/>
    <n v="1"/>
    <n v="0"/>
    <n v="1"/>
    <n v="9"/>
    <x v="0"/>
    <n v="2"/>
    <n v="1"/>
    <n v="0.16"/>
    <n v="0.1515"/>
    <n v="0.64"/>
    <n v="0.22389999999999999"/>
    <n v="98"/>
    <n v="100"/>
    <s v="Saturday"/>
    <x v="1"/>
    <n v="2"/>
  </r>
  <r>
    <d v="2011-03-20T00:00:00"/>
    <n v="1"/>
    <n v="0"/>
    <n v="1"/>
    <n v="10"/>
    <x v="0"/>
    <n v="2"/>
    <n v="2"/>
    <n v="0.16"/>
    <n v="0.13639999999999999"/>
    <n v="0.69"/>
    <n v="0.32840000000000003"/>
    <n v="37"/>
    <n v="42"/>
    <s v="Sunday"/>
    <x v="1"/>
    <n v="5"/>
  </r>
  <r>
    <d v="2011-03-21T00:00:00"/>
    <n v="1"/>
    <n v="0"/>
    <n v="1"/>
    <n v="11"/>
    <x v="0"/>
    <n v="2"/>
    <n v="1"/>
    <n v="0.22"/>
    <n v="0.21210000000000001"/>
    <n v="0.51"/>
    <n v="0.29849999999999999"/>
    <n v="50"/>
    <n v="57"/>
    <s v="Monday"/>
    <x v="1"/>
    <n v="7"/>
  </r>
  <r>
    <d v="2011-03-22T00:00:00"/>
    <n v="1"/>
    <n v="0"/>
    <n v="1"/>
    <n v="12"/>
    <x v="0"/>
    <n v="2"/>
    <n v="1"/>
    <n v="0.22"/>
    <n v="0.2273"/>
    <n v="0.51"/>
    <n v="0.16420000000000001"/>
    <n v="66"/>
    <n v="78"/>
    <s v="Tuesday"/>
    <x v="1"/>
    <n v="12"/>
  </r>
  <r>
    <d v="2011-03-23T00:00:00"/>
    <n v="1"/>
    <n v="0"/>
    <n v="1"/>
    <n v="13"/>
    <x v="0"/>
    <n v="2"/>
    <n v="1"/>
    <n v="0.24"/>
    <n v="0.2273"/>
    <n v="0.56000000000000005"/>
    <n v="0.19400000000000001"/>
    <n v="79"/>
    <n v="97"/>
    <s v="Wednesday"/>
    <x v="0"/>
    <n v="18"/>
  </r>
  <r>
    <d v="2011-03-24T00:00:00"/>
    <n v="1"/>
    <n v="0"/>
    <n v="1"/>
    <n v="14"/>
    <x v="0"/>
    <n v="2"/>
    <n v="1"/>
    <n v="0.26"/>
    <n v="0.2576"/>
    <n v="0.52"/>
    <n v="0.22389999999999999"/>
    <n v="54"/>
    <n v="63"/>
    <s v="Thursday"/>
    <x v="0"/>
    <n v="9"/>
  </r>
  <r>
    <d v="2011-03-25T00:00:00"/>
    <n v="1"/>
    <n v="0"/>
    <n v="1"/>
    <n v="15"/>
    <x v="0"/>
    <n v="2"/>
    <n v="1"/>
    <n v="0.28000000000000003"/>
    <n v="0.2727"/>
    <n v="0.52"/>
    <n v="0.25369999999999998"/>
    <n v="48"/>
    <n v="65"/>
    <s v="Friday"/>
    <x v="0"/>
    <n v="17"/>
  </r>
  <r>
    <d v="2011-03-26T00:00:00"/>
    <n v="1"/>
    <n v="0"/>
    <n v="1"/>
    <n v="16"/>
    <x v="0"/>
    <n v="2"/>
    <n v="1"/>
    <n v="0.3"/>
    <n v="0.28789999999999999"/>
    <n v="0.49"/>
    <n v="0.25369999999999998"/>
    <n v="68"/>
    <n v="83"/>
    <s v="Saturday"/>
    <x v="0"/>
    <n v="15"/>
  </r>
  <r>
    <d v="2011-03-27T00:00:00"/>
    <n v="1"/>
    <n v="0"/>
    <n v="1"/>
    <n v="17"/>
    <x v="0"/>
    <n v="2"/>
    <n v="1"/>
    <n v="0.28000000000000003"/>
    <n v="0.2727"/>
    <n v="0.48"/>
    <n v="0.22389999999999999"/>
    <n v="202"/>
    <n v="212"/>
    <s v="Sunday"/>
    <x v="0"/>
    <n v="10"/>
  </r>
  <r>
    <d v="2011-03-28T00:00:00"/>
    <n v="1"/>
    <n v="0"/>
    <n v="1"/>
    <n v="18"/>
    <x v="0"/>
    <n v="2"/>
    <n v="1"/>
    <n v="0.26"/>
    <n v="0.2576"/>
    <n v="0.48"/>
    <n v="0.19400000000000001"/>
    <n v="179"/>
    <n v="182"/>
    <s v="Monday"/>
    <x v="0"/>
    <n v="3"/>
  </r>
  <r>
    <d v="2011-03-29T00:00:00"/>
    <n v="1"/>
    <n v="0"/>
    <n v="1"/>
    <n v="19"/>
    <x v="0"/>
    <n v="2"/>
    <n v="1"/>
    <n v="0.24"/>
    <n v="0.2576"/>
    <n v="0.48"/>
    <n v="0.1045"/>
    <n v="110"/>
    <n v="112"/>
    <s v="Tuesday"/>
    <x v="0"/>
    <n v="2"/>
  </r>
  <r>
    <d v="2011-03-30T00:00:00"/>
    <n v="1"/>
    <n v="0"/>
    <n v="1"/>
    <n v="20"/>
    <x v="0"/>
    <n v="2"/>
    <n v="1"/>
    <n v="0.24"/>
    <n v="0.2576"/>
    <n v="0.48"/>
    <n v="0.1045"/>
    <n v="53"/>
    <n v="54"/>
    <s v="Wednesday"/>
    <x v="0"/>
    <n v="1"/>
  </r>
  <r>
    <d v="2011-03-31T00:00:00"/>
    <n v="1"/>
    <n v="0"/>
    <n v="1"/>
    <n v="21"/>
    <x v="0"/>
    <n v="2"/>
    <n v="1"/>
    <n v="0.22"/>
    <n v="0.2727"/>
    <n v="0.64"/>
    <n v="0"/>
    <n v="48"/>
    <n v="48"/>
    <s v="Thursday"/>
    <x v="1"/>
    <n v="0"/>
  </r>
  <r>
    <d v="2011-04-01T00:00:00"/>
    <n v="1"/>
    <n v="0"/>
    <n v="1"/>
    <n v="22"/>
    <x v="0"/>
    <n v="2"/>
    <n v="1"/>
    <n v="0.22"/>
    <n v="0.2576"/>
    <n v="0.64"/>
    <n v="8.9599999999999999E-2"/>
    <n v="34"/>
    <n v="35"/>
    <s v="Friday"/>
    <x v="1"/>
    <n v="1"/>
  </r>
  <r>
    <d v="2011-04-02T00:00:00"/>
    <n v="1"/>
    <n v="0"/>
    <n v="1"/>
    <n v="23"/>
    <x v="0"/>
    <n v="2"/>
    <n v="1"/>
    <n v="0.2"/>
    <n v="0.2273"/>
    <n v="0.69"/>
    <n v="8.9599999999999999E-2"/>
    <n v="9"/>
    <n v="11"/>
    <s v="Saturday"/>
    <x v="1"/>
    <n v="2"/>
  </r>
  <r>
    <d v="2011-04-03T00:00:00"/>
    <n v="1"/>
    <n v="0"/>
    <n v="1"/>
    <n v="0"/>
    <x v="0"/>
    <n v="3"/>
    <n v="1"/>
    <n v="0.2"/>
    <n v="0.2576"/>
    <n v="0.64"/>
    <n v="0"/>
    <n v="6"/>
    <n v="6"/>
    <s v="Sunday"/>
    <x v="1"/>
    <n v="0"/>
  </r>
  <r>
    <d v="2011-04-04T00:00:00"/>
    <n v="1"/>
    <n v="0"/>
    <n v="1"/>
    <n v="1"/>
    <x v="0"/>
    <n v="3"/>
    <n v="1"/>
    <n v="0.16"/>
    <n v="0.19700000000000001"/>
    <n v="0.74"/>
    <n v="8.9599999999999999E-2"/>
    <n v="6"/>
    <n v="6"/>
    <s v="Monday"/>
    <x v="1"/>
    <n v="0"/>
  </r>
  <r>
    <d v="2011-04-05T00:00:00"/>
    <n v="1"/>
    <n v="0"/>
    <n v="1"/>
    <n v="2"/>
    <x v="0"/>
    <n v="3"/>
    <n v="1"/>
    <n v="0.16"/>
    <n v="0.19700000000000001"/>
    <n v="0.74"/>
    <n v="8.9599999999999999E-2"/>
    <n v="2"/>
    <n v="2"/>
    <s v="Tuesday"/>
    <x v="1"/>
    <n v="0"/>
  </r>
  <r>
    <d v="2011-04-06T00:00:00"/>
    <n v="1"/>
    <n v="0"/>
    <n v="1"/>
    <n v="4"/>
    <x v="0"/>
    <n v="3"/>
    <n v="1"/>
    <n v="0.24"/>
    <n v="0.2273"/>
    <n v="0.48"/>
    <n v="0.22389999999999999"/>
    <n v="2"/>
    <n v="2"/>
    <s v="Wednesday"/>
    <x v="0"/>
    <n v="0"/>
  </r>
  <r>
    <d v="2011-04-07T00:00:00"/>
    <n v="1"/>
    <n v="0"/>
    <n v="1"/>
    <n v="5"/>
    <x v="0"/>
    <n v="3"/>
    <n v="1"/>
    <n v="0.22"/>
    <n v="0.2273"/>
    <n v="0.47"/>
    <n v="0.16420000000000001"/>
    <n v="3"/>
    <n v="3"/>
    <s v="Thursday"/>
    <x v="1"/>
    <n v="0"/>
  </r>
  <r>
    <d v="2011-04-08T00:00:00"/>
    <n v="1"/>
    <n v="0"/>
    <n v="1"/>
    <n v="6"/>
    <x v="0"/>
    <n v="3"/>
    <n v="1"/>
    <n v="0.2"/>
    <n v="0.19700000000000001"/>
    <n v="0.47"/>
    <n v="0.22389999999999999"/>
    <n v="33"/>
    <n v="33"/>
    <s v="Friday"/>
    <x v="1"/>
    <n v="0"/>
  </r>
  <r>
    <d v="2011-04-09T00:00:00"/>
    <n v="1"/>
    <n v="0"/>
    <n v="1"/>
    <n v="7"/>
    <x v="0"/>
    <n v="3"/>
    <n v="1"/>
    <n v="0.18"/>
    <n v="0.18179999999999999"/>
    <n v="0.43"/>
    <n v="0.19400000000000001"/>
    <n v="87"/>
    <n v="88"/>
    <s v="Saturday"/>
    <x v="1"/>
    <n v="1"/>
  </r>
  <r>
    <d v="2011-04-10T00:00:00"/>
    <n v="1"/>
    <n v="0"/>
    <n v="1"/>
    <n v="8"/>
    <x v="0"/>
    <n v="3"/>
    <n v="1"/>
    <n v="0.2"/>
    <n v="0.18179999999999999"/>
    <n v="0.4"/>
    <n v="0.29849999999999999"/>
    <n v="192"/>
    <n v="195"/>
    <s v="Sunday"/>
    <x v="1"/>
    <n v="3"/>
  </r>
  <r>
    <d v="2011-04-11T00:00:00"/>
    <n v="1"/>
    <n v="0"/>
    <n v="1"/>
    <n v="9"/>
    <x v="0"/>
    <n v="3"/>
    <n v="1"/>
    <n v="0.22"/>
    <n v="0.19700000000000001"/>
    <n v="0.37"/>
    <n v="0.32840000000000003"/>
    <n v="109"/>
    <n v="115"/>
    <s v="Monday"/>
    <x v="1"/>
    <n v="6"/>
  </r>
  <r>
    <d v="2011-04-12T00:00:00"/>
    <n v="1"/>
    <n v="0"/>
    <n v="1"/>
    <n v="10"/>
    <x v="0"/>
    <n v="3"/>
    <n v="1"/>
    <n v="0.22"/>
    <n v="0.19700000000000001"/>
    <n v="0.37"/>
    <n v="0.32840000000000003"/>
    <n v="53"/>
    <n v="57"/>
    <s v="Tuesday"/>
    <x v="1"/>
    <n v="4"/>
  </r>
  <r>
    <d v="2011-04-13T00:00:00"/>
    <n v="1"/>
    <n v="0"/>
    <n v="1"/>
    <n v="11"/>
    <x v="0"/>
    <n v="3"/>
    <n v="1"/>
    <n v="0.26"/>
    <n v="0.2273"/>
    <n v="0.33"/>
    <n v="0.32840000000000003"/>
    <n v="34"/>
    <n v="46"/>
    <s v="Wednesday"/>
    <x v="0"/>
    <n v="12"/>
  </r>
  <r>
    <d v="2011-04-14T00:00:00"/>
    <n v="1"/>
    <n v="0"/>
    <n v="1"/>
    <n v="12"/>
    <x v="0"/>
    <n v="3"/>
    <n v="1"/>
    <n v="0.26"/>
    <n v="0.2273"/>
    <n v="0.33"/>
    <n v="0.32840000000000003"/>
    <n v="74"/>
    <n v="79"/>
    <s v="Thursday"/>
    <x v="0"/>
    <n v="5"/>
  </r>
  <r>
    <d v="2011-04-15T00:00:00"/>
    <n v="1"/>
    <n v="0"/>
    <n v="1"/>
    <n v="13"/>
    <x v="0"/>
    <n v="3"/>
    <n v="1"/>
    <n v="0.28000000000000003"/>
    <n v="0.2576"/>
    <n v="0.3"/>
    <n v="0.29849999999999999"/>
    <n v="65"/>
    <n v="71"/>
    <s v="Friday"/>
    <x v="0"/>
    <n v="6"/>
  </r>
  <r>
    <d v="2011-04-16T00:00:00"/>
    <n v="1"/>
    <n v="0"/>
    <n v="1"/>
    <n v="14"/>
    <x v="0"/>
    <n v="3"/>
    <n v="1"/>
    <n v="0.3"/>
    <n v="0.28789999999999999"/>
    <n v="0.28000000000000003"/>
    <n v="0.19400000000000001"/>
    <n v="52"/>
    <n v="62"/>
    <s v="Saturday"/>
    <x v="0"/>
    <n v="10"/>
  </r>
  <r>
    <d v="2011-04-17T00:00:00"/>
    <n v="1"/>
    <n v="0"/>
    <n v="1"/>
    <n v="15"/>
    <x v="0"/>
    <n v="3"/>
    <n v="1"/>
    <n v="0.3"/>
    <n v="0.28789999999999999"/>
    <n v="0.28000000000000003"/>
    <n v="0.19400000000000001"/>
    <n v="55"/>
    <n v="62"/>
    <s v="Sunday"/>
    <x v="0"/>
    <n v="7"/>
  </r>
  <r>
    <d v="2011-04-18T00:00:00"/>
    <n v="1"/>
    <n v="0"/>
    <n v="1"/>
    <n v="16"/>
    <x v="0"/>
    <n v="3"/>
    <n v="1"/>
    <n v="0.3"/>
    <n v="0.31819999999999998"/>
    <n v="0.28000000000000003"/>
    <n v="8.9599999999999999E-2"/>
    <n v="85"/>
    <n v="89"/>
    <s v="Monday"/>
    <x v="0"/>
    <n v="4"/>
  </r>
  <r>
    <d v="2011-04-19T00:00:00"/>
    <n v="1"/>
    <n v="0"/>
    <n v="1"/>
    <n v="17"/>
    <x v="0"/>
    <n v="3"/>
    <n v="1"/>
    <n v="0.24"/>
    <n v="0.2273"/>
    <n v="0.38"/>
    <n v="0.19400000000000001"/>
    <n v="186"/>
    <n v="190"/>
    <s v="Tuesday"/>
    <x v="0"/>
    <n v="4"/>
  </r>
  <r>
    <d v="2011-04-20T00:00:00"/>
    <n v="1"/>
    <n v="0"/>
    <n v="1"/>
    <n v="18"/>
    <x v="0"/>
    <n v="3"/>
    <n v="1"/>
    <n v="0.24"/>
    <n v="0.2424"/>
    <n v="0.38"/>
    <n v="0.1343"/>
    <n v="166"/>
    <n v="169"/>
    <s v="Wednesday"/>
    <x v="0"/>
    <n v="3"/>
  </r>
  <r>
    <d v="2011-04-21T00:00:00"/>
    <n v="1"/>
    <n v="0"/>
    <n v="1"/>
    <n v="19"/>
    <x v="0"/>
    <n v="3"/>
    <n v="1"/>
    <n v="0.24"/>
    <n v="0.2576"/>
    <n v="0.38"/>
    <n v="0.1045"/>
    <n v="127"/>
    <n v="132"/>
    <s v="Thursday"/>
    <x v="0"/>
    <n v="5"/>
  </r>
  <r>
    <d v="2011-04-22T00:00:00"/>
    <n v="1"/>
    <n v="0"/>
    <n v="1"/>
    <n v="20"/>
    <x v="0"/>
    <n v="3"/>
    <n v="1"/>
    <n v="0.22"/>
    <n v="0.2273"/>
    <n v="0.47"/>
    <n v="0.16420000000000001"/>
    <n v="82"/>
    <n v="89"/>
    <s v="Friday"/>
    <x v="1"/>
    <n v="7"/>
  </r>
  <r>
    <d v="2011-04-23T00:00:00"/>
    <n v="1"/>
    <n v="0"/>
    <n v="1"/>
    <n v="21"/>
    <x v="0"/>
    <n v="3"/>
    <n v="1"/>
    <n v="0.2"/>
    <n v="0.19700000000000001"/>
    <n v="0.51"/>
    <n v="0.19400000000000001"/>
    <n v="40"/>
    <n v="43"/>
    <s v="Saturday"/>
    <x v="1"/>
    <n v="3"/>
  </r>
  <r>
    <d v="2011-04-24T00:00:00"/>
    <n v="1"/>
    <n v="0"/>
    <n v="1"/>
    <n v="22"/>
    <x v="0"/>
    <n v="3"/>
    <n v="1"/>
    <n v="0.18"/>
    <n v="0.19700000000000001"/>
    <n v="0.55000000000000004"/>
    <n v="0.1343"/>
    <n v="41"/>
    <n v="42"/>
    <s v="Sunday"/>
    <x v="1"/>
    <n v="1"/>
  </r>
  <r>
    <d v="2011-04-25T00:00:00"/>
    <n v="1"/>
    <n v="0"/>
    <n v="1"/>
    <n v="23"/>
    <x v="0"/>
    <n v="3"/>
    <n v="1"/>
    <n v="0.2"/>
    <n v="0.2576"/>
    <n v="0.47"/>
    <n v="0"/>
    <n v="18"/>
    <n v="19"/>
    <s v="Monday"/>
    <x v="1"/>
    <n v="1"/>
  </r>
  <r>
    <d v="2011-04-26T00:00:00"/>
    <n v="1"/>
    <n v="0"/>
    <n v="1"/>
    <n v="0"/>
    <x v="0"/>
    <n v="4"/>
    <n v="1"/>
    <n v="0.18"/>
    <n v="0.2424"/>
    <n v="0.55000000000000004"/>
    <n v="0"/>
    <n v="11"/>
    <n v="11"/>
    <s v="Tuesday"/>
    <x v="1"/>
    <n v="0"/>
  </r>
  <r>
    <d v="2011-04-27T00:00:00"/>
    <n v="1"/>
    <n v="0"/>
    <n v="1"/>
    <n v="1"/>
    <x v="0"/>
    <n v="4"/>
    <n v="1"/>
    <n v="0.16"/>
    <n v="0.2273"/>
    <n v="0.64"/>
    <n v="0"/>
    <n v="4"/>
    <n v="4"/>
    <s v="Wednesday"/>
    <x v="1"/>
    <n v="0"/>
  </r>
  <r>
    <d v="2011-04-28T00:00:00"/>
    <n v="1"/>
    <n v="0"/>
    <n v="1"/>
    <n v="2"/>
    <x v="0"/>
    <n v="4"/>
    <n v="1"/>
    <n v="0.16"/>
    <n v="0.2273"/>
    <n v="0.64"/>
    <n v="0"/>
    <n v="2"/>
    <n v="2"/>
    <s v="Thursday"/>
    <x v="1"/>
    <n v="0"/>
  </r>
  <r>
    <d v="2011-04-29T00:00:00"/>
    <n v="1"/>
    <n v="0"/>
    <n v="1"/>
    <n v="4"/>
    <x v="0"/>
    <n v="4"/>
    <n v="2"/>
    <n v="0.16"/>
    <n v="0.19700000000000001"/>
    <n v="0.64"/>
    <n v="8.9599999999999999E-2"/>
    <n v="1"/>
    <n v="1"/>
    <s v="Friday"/>
    <x v="1"/>
    <n v="0"/>
  </r>
  <r>
    <d v="2011-04-30T00:00:00"/>
    <n v="1"/>
    <n v="0"/>
    <n v="1"/>
    <n v="5"/>
    <x v="0"/>
    <n v="4"/>
    <n v="2"/>
    <n v="0.14000000000000001"/>
    <n v="0.18179999999999999"/>
    <n v="0.69"/>
    <n v="8.9599999999999999E-2"/>
    <n v="4"/>
    <n v="4"/>
    <s v="Saturday"/>
    <x v="1"/>
    <n v="0"/>
  </r>
  <r>
    <d v="2011-05-01T00:00:00"/>
    <n v="1"/>
    <n v="0"/>
    <n v="1"/>
    <n v="6"/>
    <x v="0"/>
    <n v="4"/>
    <n v="2"/>
    <n v="0.14000000000000001"/>
    <n v="0.16669999999999999"/>
    <n v="0.63"/>
    <n v="0.1045"/>
    <n v="36"/>
    <n v="36"/>
    <s v="Sunday"/>
    <x v="1"/>
    <n v="0"/>
  </r>
  <r>
    <d v="2011-05-02T00:00:00"/>
    <n v="1"/>
    <n v="0"/>
    <n v="1"/>
    <n v="7"/>
    <x v="0"/>
    <n v="4"/>
    <n v="2"/>
    <n v="0.16"/>
    <n v="0.2273"/>
    <n v="0.59"/>
    <n v="0"/>
    <n v="95"/>
    <n v="95"/>
    <s v="Monday"/>
    <x v="1"/>
    <n v="0"/>
  </r>
  <r>
    <d v="2011-05-03T00:00:00"/>
    <n v="1"/>
    <n v="0"/>
    <n v="1"/>
    <n v="8"/>
    <x v="0"/>
    <n v="4"/>
    <n v="1"/>
    <n v="0.16"/>
    <n v="0.2273"/>
    <n v="0.59"/>
    <n v="0"/>
    <n v="216"/>
    <n v="219"/>
    <s v="Tuesday"/>
    <x v="1"/>
    <n v="3"/>
  </r>
  <r>
    <d v="2011-05-04T00:00:00"/>
    <n v="1"/>
    <n v="0"/>
    <n v="1"/>
    <n v="9"/>
    <x v="0"/>
    <n v="4"/>
    <n v="2"/>
    <n v="0.18"/>
    <n v="0.2424"/>
    <n v="0.51"/>
    <n v="0"/>
    <n v="116"/>
    <n v="122"/>
    <s v="Wednesday"/>
    <x v="1"/>
    <n v="6"/>
  </r>
  <r>
    <d v="2011-05-05T00:00:00"/>
    <n v="1"/>
    <n v="0"/>
    <n v="1"/>
    <n v="10"/>
    <x v="0"/>
    <n v="4"/>
    <n v="1"/>
    <n v="0.2"/>
    <n v="0.2576"/>
    <n v="0.47"/>
    <n v="0"/>
    <n v="42"/>
    <n v="45"/>
    <s v="Thursday"/>
    <x v="1"/>
    <n v="3"/>
  </r>
  <r>
    <d v="2011-05-06T00:00:00"/>
    <n v="1"/>
    <n v="0"/>
    <n v="1"/>
    <n v="11"/>
    <x v="0"/>
    <n v="4"/>
    <n v="1"/>
    <n v="0.22"/>
    <n v="0.2576"/>
    <n v="0.44"/>
    <n v="8.9599999999999999E-2"/>
    <n v="57"/>
    <n v="59"/>
    <s v="Friday"/>
    <x v="1"/>
    <n v="2"/>
  </r>
  <r>
    <d v="2011-05-07T00:00:00"/>
    <n v="1"/>
    <n v="0"/>
    <n v="1"/>
    <n v="12"/>
    <x v="0"/>
    <n v="4"/>
    <n v="1"/>
    <n v="0.26"/>
    <n v="0.28789999999999999"/>
    <n v="0.35"/>
    <n v="0"/>
    <n v="78"/>
    <n v="84"/>
    <s v="Saturday"/>
    <x v="0"/>
    <n v="6"/>
  </r>
  <r>
    <d v="2011-05-08T00:00:00"/>
    <n v="1"/>
    <n v="0"/>
    <n v="1"/>
    <n v="13"/>
    <x v="0"/>
    <n v="4"/>
    <n v="1"/>
    <n v="0.26"/>
    <n v="0.2727"/>
    <n v="0.35"/>
    <n v="0.1045"/>
    <n v="55"/>
    <n v="67"/>
    <s v="Sunday"/>
    <x v="0"/>
    <n v="12"/>
  </r>
  <r>
    <d v="2011-05-09T00:00:00"/>
    <n v="1"/>
    <n v="0"/>
    <n v="1"/>
    <n v="14"/>
    <x v="0"/>
    <n v="4"/>
    <n v="1"/>
    <n v="0.28000000000000003"/>
    <n v="0.2727"/>
    <n v="0.36"/>
    <n v="0.16420000000000001"/>
    <n v="59"/>
    <n v="70"/>
    <s v="Monday"/>
    <x v="0"/>
    <n v="11"/>
  </r>
  <r>
    <d v="2011-05-10T00:00:00"/>
    <n v="1"/>
    <n v="0"/>
    <n v="1"/>
    <n v="15"/>
    <x v="0"/>
    <n v="4"/>
    <n v="1"/>
    <n v="0.28000000000000003"/>
    <n v="0.2727"/>
    <n v="0.36"/>
    <n v="0"/>
    <n v="54"/>
    <n v="62"/>
    <s v="Tuesday"/>
    <x v="0"/>
    <n v="8"/>
  </r>
  <r>
    <d v="2011-05-11T00:00:00"/>
    <n v="1"/>
    <n v="0"/>
    <n v="1"/>
    <n v="16"/>
    <x v="0"/>
    <n v="4"/>
    <n v="1"/>
    <n v="0.26"/>
    <n v="0.2576"/>
    <n v="0.38"/>
    <n v="0.16420000000000001"/>
    <n v="74"/>
    <n v="86"/>
    <s v="Wednesday"/>
    <x v="0"/>
    <n v="12"/>
  </r>
  <r>
    <d v="2011-05-12T00:00:00"/>
    <n v="1"/>
    <n v="0"/>
    <n v="1"/>
    <n v="17"/>
    <x v="0"/>
    <n v="4"/>
    <n v="1"/>
    <n v="0.22"/>
    <n v="0.2273"/>
    <n v="0.51"/>
    <n v="0.16420000000000001"/>
    <n v="163"/>
    <n v="172"/>
    <s v="Thursday"/>
    <x v="1"/>
    <n v="9"/>
  </r>
  <r>
    <d v="2011-05-13T00:00:00"/>
    <n v="1"/>
    <n v="0"/>
    <n v="1"/>
    <n v="18"/>
    <x v="0"/>
    <n v="4"/>
    <n v="1"/>
    <n v="0.22"/>
    <n v="0.2273"/>
    <n v="0.51"/>
    <n v="0.1343"/>
    <n v="158"/>
    <n v="163"/>
    <s v="Friday"/>
    <x v="1"/>
    <n v="5"/>
  </r>
  <r>
    <d v="2011-05-14T00:00:00"/>
    <n v="1"/>
    <n v="0"/>
    <n v="1"/>
    <n v="19"/>
    <x v="0"/>
    <n v="4"/>
    <n v="1"/>
    <n v="0.22"/>
    <n v="0.2576"/>
    <n v="0.55000000000000004"/>
    <n v="8.9599999999999999E-2"/>
    <n v="109"/>
    <n v="112"/>
    <s v="Saturday"/>
    <x v="1"/>
    <n v="3"/>
  </r>
  <r>
    <d v="2011-05-15T00:00:00"/>
    <n v="1"/>
    <n v="0"/>
    <n v="1"/>
    <n v="20"/>
    <x v="0"/>
    <n v="4"/>
    <n v="1"/>
    <n v="0.2"/>
    <n v="0.21210000000000001"/>
    <n v="0.51"/>
    <n v="0.16420000000000001"/>
    <n v="66"/>
    <n v="69"/>
    <s v="Sunday"/>
    <x v="1"/>
    <n v="3"/>
  </r>
  <r>
    <d v="2011-05-16T00:00:00"/>
    <n v="1"/>
    <n v="0"/>
    <n v="1"/>
    <n v="21"/>
    <x v="0"/>
    <n v="4"/>
    <n v="2"/>
    <n v="0.22"/>
    <n v="0.21210000000000001"/>
    <n v="0.55000000000000004"/>
    <n v="0.22389999999999999"/>
    <n v="48"/>
    <n v="48"/>
    <s v="Monday"/>
    <x v="1"/>
    <n v="0"/>
  </r>
  <r>
    <d v="2011-05-17T00:00:00"/>
    <n v="1"/>
    <n v="0"/>
    <n v="1"/>
    <n v="22"/>
    <x v="0"/>
    <n v="4"/>
    <n v="2"/>
    <n v="0.22"/>
    <n v="0.21210000000000001"/>
    <n v="0.51"/>
    <n v="0.28360000000000002"/>
    <n v="51"/>
    <n v="52"/>
    <s v="Tuesday"/>
    <x v="1"/>
    <n v="1"/>
  </r>
  <r>
    <d v="2011-05-18T00:00:00"/>
    <n v="1"/>
    <n v="0"/>
    <n v="1"/>
    <n v="23"/>
    <x v="0"/>
    <n v="4"/>
    <n v="2"/>
    <n v="0.2"/>
    <n v="0.19700000000000001"/>
    <n v="0.59"/>
    <n v="0.19400000000000001"/>
    <n v="19"/>
    <n v="23"/>
    <s v="Wednesday"/>
    <x v="1"/>
    <n v="4"/>
  </r>
  <r>
    <d v="2011-05-19T00:00:00"/>
    <n v="1"/>
    <n v="0"/>
    <n v="1"/>
    <n v="0"/>
    <x v="0"/>
    <n v="5"/>
    <n v="2"/>
    <n v="0.2"/>
    <n v="0.19700000000000001"/>
    <n v="0.64"/>
    <n v="0.19400000000000001"/>
    <n v="13"/>
    <n v="17"/>
    <s v="Thursday"/>
    <x v="1"/>
    <n v="4"/>
  </r>
  <r>
    <d v="2011-05-20T00:00:00"/>
    <n v="1"/>
    <n v="0"/>
    <n v="1"/>
    <n v="1"/>
    <x v="0"/>
    <n v="5"/>
    <n v="2"/>
    <n v="0.2"/>
    <n v="0.19700000000000001"/>
    <n v="0.69"/>
    <n v="0.22389999999999999"/>
    <n v="5"/>
    <n v="7"/>
    <s v="Friday"/>
    <x v="1"/>
    <n v="2"/>
  </r>
  <r>
    <d v="2011-05-21T00:00:00"/>
    <n v="1"/>
    <n v="0"/>
    <n v="1"/>
    <n v="2"/>
    <x v="0"/>
    <n v="5"/>
    <n v="2"/>
    <n v="0.2"/>
    <n v="0.19700000000000001"/>
    <n v="0.69"/>
    <n v="0.22389999999999999"/>
    <n v="1"/>
    <n v="1"/>
    <s v="Saturday"/>
    <x v="1"/>
    <n v="0"/>
  </r>
  <r>
    <d v="2011-05-22T00:00:00"/>
    <n v="1"/>
    <n v="0"/>
    <n v="1"/>
    <n v="4"/>
    <x v="0"/>
    <n v="5"/>
    <n v="2"/>
    <n v="0.2"/>
    <n v="0.21210000000000001"/>
    <n v="0.69"/>
    <n v="0.1343"/>
    <n v="1"/>
    <n v="1"/>
    <s v="Sunday"/>
    <x v="1"/>
    <n v="0"/>
  </r>
  <r>
    <d v="2011-05-23T00:00:00"/>
    <n v="1"/>
    <n v="0"/>
    <n v="1"/>
    <n v="5"/>
    <x v="0"/>
    <n v="5"/>
    <n v="3"/>
    <n v="0.22"/>
    <n v="0.2727"/>
    <n v="0.55000000000000004"/>
    <n v="0"/>
    <n v="5"/>
    <n v="5"/>
    <s v="Monday"/>
    <x v="1"/>
    <n v="0"/>
  </r>
  <r>
    <d v="2011-05-24T00:00:00"/>
    <n v="1"/>
    <n v="0"/>
    <n v="1"/>
    <n v="6"/>
    <x v="0"/>
    <n v="5"/>
    <n v="2"/>
    <n v="0.2"/>
    <n v="0.2576"/>
    <n v="0.69"/>
    <n v="0"/>
    <n v="26"/>
    <n v="34"/>
    <s v="Tuesday"/>
    <x v="1"/>
    <n v="8"/>
  </r>
  <r>
    <d v="2011-05-25T00:00:00"/>
    <n v="1"/>
    <n v="0"/>
    <n v="1"/>
    <n v="7"/>
    <x v="0"/>
    <n v="5"/>
    <n v="1"/>
    <n v="0.2"/>
    <n v="0.21210000000000001"/>
    <n v="0.69"/>
    <n v="0.1343"/>
    <n v="76"/>
    <n v="84"/>
    <s v="Wednesday"/>
    <x v="1"/>
    <n v="8"/>
  </r>
  <r>
    <d v="2011-05-26T00:00:00"/>
    <n v="1"/>
    <n v="0"/>
    <n v="1"/>
    <n v="8"/>
    <x v="0"/>
    <n v="5"/>
    <n v="1"/>
    <n v="0.2"/>
    <n v="0.19700000000000001"/>
    <n v="0.51"/>
    <n v="0.25369999999999998"/>
    <n v="190"/>
    <n v="210"/>
    <s v="Thursday"/>
    <x v="1"/>
    <n v="20"/>
  </r>
  <r>
    <d v="2011-05-27T00:00:00"/>
    <n v="1"/>
    <n v="0"/>
    <n v="1"/>
    <n v="9"/>
    <x v="0"/>
    <n v="5"/>
    <n v="1"/>
    <n v="0.2"/>
    <n v="0.18179999999999999"/>
    <n v="0.47"/>
    <n v="0.29849999999999999"/>
    <n v="125"/>
    <n v="134"/>
    <s v="Friday"/>
    <x v="1"/>
    <n v="9"/>
  </r>
  <r>
    <d v="2011-05-28T00:00:00"/>
    <n v="1"/>
    <n v="0"/>
    <n v="1"/>
    <n v="10"/>
    <x v="0"/>
    <n v="5"/>
    <n v="1"/>
    <n v="0.22"/>
    <n v="0.19700000000000001"/>
    <n v="0.37"/>
    <n v="0.32840000000000003"/>
    <n v="47"/>
    <n v="63"/>
    <s v="Saturday"/>
    <x v="1"/>
    <n v="16"/>
  </r>
  <r>
    <d v="2011-05-29T00:00:00"/>
    <n v="1"/>
    <n v="0"/>
    <n v="1"/>
    <n v="11"/>
    <x v="0"/>
    <n v="5"/>
    <n v="2"/>
    <n v="0.2"/>
    <n v="0.19700000000000001"/>
    <n v="0.4"/>
    <n v="0.22389999999999999"/>
    <n v="48"/>
    <n v="67"/>
    <s v="Sunday"/>
    <x v="1"/>
    <n v="19"/>
  </r>
  <r>
    <d v="2011-05-30T00:00:00"/>
    <n v="1"/>
    <n v="0"/>
    <n v="1"/>
    <n v="12"/>
    <x v="0"/>
    <n v="5"/>
    <n v="2"/>
    <n v="0.2"/>
    <n v="0.19700000000000001"/>
    <n v="0.37"/>
    <n v="0.25369999999999998"/>
    <n v="50"/>
    <n v="59"/>
    <s v="Monday"/>
    <x v="1"/>
    <n v="9"/>
  </r>
  <r>
    <d v="2011-05-31T00:00:00"/>
    <n v="1"/>
    <n v="0"/>
    <n v="1"/>
    <n v="13"/>
    <x v="0"/>
    <n v="5"/>
    <n v="2"/>
    <n v="0.2"/>
    <n v="0.18179999999999999"/>
    <n v="0.37"/>
    <n v="0.28360000000000002"/>
    <n v="64"/>
    <n v="73"/>
    <s v="Tuesday"/>
    <x v="1"/>
    <n v="9"/>
  </r>
  <r>
    <d v="2011-06-01T00:00:00"/>
    <n v="1"/>
    <n v="0"/>
    <n v="1"/>
    <n v="14"/>
    <x v="0"/>
    <n v="5"/>
    <n v="2"/>
    <n v="0.2"/>
    <n v="0.19700000000000001"/>
    <n v="0.4"/>
    <n v="0.25369999999999998"/>
    <n v="43"/>
    <n v="50"/>
    <s v="Wednesday"/>
    <x v="1"/>
    <n v="7"/>
  </r>
  <r>
    <d v="2011-06-02T00:00:00"/>
    <n v="1"/>
    <n v="0"/>
    <n v="1"/>
    <n v="15"/>
    <x v="0"/>
    <n v="5"/>
    <n v="2"/>
    <n v="0.2"/>
    <n v="0.21210000000000001"/>
    <n v="0.37"/>
    <n v="0.16420000000000001"/>
    <n v="63"/>
    <n v="72"/>
    <s v="Thursday"/>
    <x v="1"/>
    <n v="9"/>
  </r>
  <r>
    <d v="2011-06-03T00:00:00"/>
    <n v="1"/>
    <n v="0"/>
    <n v="1"/>
    <n v="16"/>
    <x v="0"/>
    <n v="5"/>
    <n v="2"/>
    <n v="0.2"/>
    <n v="0.21210000000000001"/>
    <n v="0.37"/>
    <n v="0.16420000000000001"/>
    <n v="82"/>
    <n v="87"/>
    <s v="Friday"/>
    <x v="1"/>
    <n v="5"/>
  </r>
  <r>
    <d v="2011-06-04T00:00:00"/>
    <n v="1"/>
    <n v="0"/>
    <n v="1"/>
    <n v="17"/>
    <x v="0"/>
    <n v="5"/>
    <n v="2"/>
    <n v="0.2"/>
    <n v="0.2576"/>
    <n v="0.37"/>
    <n v="0"/>
    <n v="178"/>
    <n v="187"/>
    <s v="Saturday"/>
    <x v="1"/>
    <n v="9"/>
  </r>
  <r>
    <d v="2011-06-05T00:00:00"/>
    <n v="1"/>
    <n v="0"/>
    <n v="1"/>
    <n v="18"/>
    <x v="0"/>
    <n v="5"/>
    <n v="1"/>
    <n v="0.2"/>
    <n v="0.2273"/>
    <n v="0.4"/>
    <n v="8.9599999999999999E-2"/>
    <n v="116"/>
    <n v="123"/>
    <s v="Sunday"/>
    <x v="1"/>
    <n v="7"/>
  </r>
  <r>
    <d v="2011-06-06T00:00:00"/>
    <n v="1"/>
    <n v="0"/>
    <n v="1"/>
    <n v="19"/>
    <x v="0"/>
    <n v="5"/>
    <n v="1"/>
    <n v="0.16"/>
    <n v="0.19700000000000001"/>
    <n v="0.55000000000000004"/>
    <n v="8.9599999999999999E-2"/>
    <n v="92"/>
    <n v="95"/>
    <s v="Monday"/>
    <x v="1"/>
    <n v="3"/>
  </r>
  <r>
    <d v="2011-06-07T00:00:00"/>
    <n v="1"/>
    <n v="0"/>
    <n v="1"/>
    <n v="20"/>
    <x v="0"/>
    <n v="5"/>
    <n v="1"/>
    <n v="0.18"/>
    <n v="0.21210000000000001"/>
    <n v="0.47"/>
    <n v="0.1045"/>
    <n v="50"/>
    <n v="51"/>
    <s v="Tuesday"/>
    <x v="1"/>
    <n v="1"/>
  </r>
  <r>
    <d v="2011-06-08T00:00:00"/>
    <n v="1"/>
    <n v="0"/>
    <n v="1"/>
    <n v="21"/>
    <x v="0"/>
    <n v="5"/>
    <n v="1"/>
    <n v="0.18"/>
    <n v="0.19700000000000001"/>
    <n v="0.47"/>
    <n v="0.1343"/>
    <n v="39"/>
    <n v="39"/>
    <s v="Wednesday"/>
    <x v="1"/>
    <n v="0"/>
  </r>
  <r>
    <d v="2011-06-09T00:00:00"/>
    <n v="1"/>
    <n v="0"/>
    <n v="1"/>
    <n v="22"/>
    <x v="0"/>
    <n v="5"/>
    <n v="2"/>
    <n v="0.18"/>
    <n v="0.19700000000000001"/>
    <n v="0.43"/>
    <n v="0.16420000000000001"/>
    <n v="34"/>
    <n v="36"/>
    <s v="Thursday"/>
    <x v="1"/>
    <n v="2"/>
  </r>
  <r>
    <d v="2011-06-10T00:00:00"/>
    <n v="1"/>
    <n v="0"/>
    <n v="1"/>
    <n v="23"/>
    <x v="0"/>
    <n v="5"/>
    <n v="2"/>
    <n v="0.18"/>
    <n v="0.19700000000000001"/>
    <n v="0.51"/>
    <n v="0.16420000000000001"/>
    <n v="14"/>
    <n v="15"/>
    <s v="Friday"/>
    <x v="1"/>
    <n v="1"/>
  </r>
  <r>
    <d v="2011-06-11T00:00:00"/>
    <n v="1"/>
    <n v="0"/>
    <n v="1"/>
    <n v="0"/>
    <x v="0"/>
    <n v="6"/>
    <n v="2"/>
    <n v="0.18"/>
    <n v="0.19700000000000001"/>
    <n v="0.51"/>
    <n v="0.16420000000000001"/>
    <n v="24"/>
    <n v="25"/>
    <s v="Saturday"/>
    <x v="1"/>
    <n v="1"/>
  </r>
  <r>
    <d v="2011-06-12T00:00:00"/>
    <n v="1"/>
    <n v="0"/>
    <n v="1"/>
    <n v="1"/>
    <x v="0"/>
    <n v="6"/>
    <n v="2"/>
    <n v="0.18"/>
    <n v="0.21210000000000001"/>
    <n v="0.55000000000000004"/>
    <n v="8.9599999999999999E-2"/>
    <n v="15"/>
    <n v="16"/>
    <s v="Sunday"/>
    <x v="1"/>
    <n v="1"/>
  </r>
  <r>
    <d v="2011-06-13T00:00:00"/>
    <n v="1"/>
    <n v="0"/>
    <n v="1"/>
    <n v="2"/>
    <x v="0"/>
    <n v="6"/>
    <n v="2"/>
    <n v="0.18"/>
    <n v="0.2424"/>
    <n v="0.55000000000000004"/>
    <n v="0"/>
    <n v="13"/>
    <n v="16"/>
    <s v="Monday"/>
    <x v="1"/>
    <n v="3"/>
  </r>
  <r>
    <d v="2011-06-14T00:00:00"/>
    <n v="1"/>
    <n v="0"/>
    <n v="1"/>
    <n v="3"/>
    <x v="0"/>
    <n v="6"/>
    <n v="3"/>
    <n v="0.18"/>
    <n v="0.19700000000000001"/>
    <n v="0.55000000000000004"/>
    <n v="0.16420000000000001"/>
    <n v="7"/>
    <n v="7"/>
    <s v="Tuesday"/>
    <x v="1"/>
    <n v="0"/>
  </r>
  <r>
    <d v="2011-06-15T00:00:00"/>
    <n v="1"/>
    <n v="0"/>
    <n v="1"/>
    <n v="4"/>
    <x v="0"/>
    <n v="6"/>
    <n v="3"/>
    <n v="0.18"/>
    <n v="0.19700000000000001"/>
    <n v="0.55000000000000004"/>
    <n v="0.16420000000000001"/>
    <n v="1"/>
    <n v="1"/>
    <s v="Wednesday"/>
    <x v="1"/>
    <n v="0"/>
  </r>
  <r>
    <d v="2011-06-16T00:00:00"/>
    <n v="1"/>
    <n v="0"/>
    <n v="1"/>
    <n v="5"/>
    <x v="0"/>
    <n v="6"/>
    <n v="2"/>
    <n v="0.16"/>
    <n v="0.16669999999999999"/>
    <n v="0.74"/>
    <n v="0.16420000000000001"/>
    <n v="5"/>
    <n v="5"/>
    <s v="Thursday"/>
    <x v="1"/>
    <n v="0"/>
  </r>
  <r>
    <d v="2011-06-17T00:00:00"/>
    <n v="1"/>
    <n v="0"/>
    <n v="1"/>
    <n v="6"/>
    <x v="0"/>
    <n v="6"/>
    <n v="2"/>
    <n v="0.16"/>
    <n v="0.16669999999999999"/>
    <n v="0.74"/>
    <n v="0.16420000000000001"/>
    <n v="2"/>
    <n v="2"/>
    <s v="Friday"/>
    <x v="1"/>
    <n v="0"/>
  </r>
  <r>
    <d v="2011-06-18T00:00:00"/>
    <n v="1"/>
    <n v="0"/>
    <n v="1"/>
    <n v="7"/>
    <x v="0"/>
    <n v="6"/>
    <n v="2"/>
    <n v="0.16"/>
    <n v="0.18179999999999999"/>
    <n v="0.74"/>
    <n v="0.1045"/>
    <n v="8"/>
    <n v="9"/>
    <s v="Saturday"/>
    <x v="1"/>
    <n v="1"/>
  </r>
  <r>
    <d v="2011-06-19T00:00:00"/>
    <n v="1"/>
    <n v="0"/>
    <n v="1"/>
    <n v="8"/>
    <x v="0"/>
    <n v="6"/>
    <n v="3"/>
    <n v="0.16"/>
    <n v="0.18179999999999999"/>
    <n v="0.93"/>
    <n v="0.1045"/>
    <n v="15"/>
    <n v="15"/>
    <s v="Sunday"/>
    <x v="1"/>
    <n v="0"/>
  </r>
  <r>
    <d v="2011-06-20T00:00:00"/>
    <n v="1"/>
    <n v="0"/>
    <n v="1"/>
    <n v="9"/>
    <x v="0"/>
    <n v="6"/>
    <n v="3"/>
    <n v="0.16"/>
    <n v="0.18179999999999999"/>
    <n v="0.93"/>
    <n v="0.1045"/>
    <n v="20"/>
    <n v="20"/>
    <s v="Monday"/>
    <x v="1"/>
    <n v="0"/>
  </r>
  <r>
    <d v="2011-06-21T00:00:00"/>
    <n v="1"/>
    <n v="0"/>
    <n v="1"/>
    <n v="10"/>
    <x v="0"/>
    <n v="6"/>
    <n v="2"/>
    <n v="0.18"/>
    <n v="0.19700000000000001"/>
    <n v="0.8"/>
    <n v="0.16420000000000001"/>
    <n v="56"/>
    <n v="61"/>
    <s v="Tuesday"/>
    <x v="1"/>
    <n v="5"/>
  </r>
  <r>
    <d v="2011-06-22T00:00:00"/>
    <n v="1"/>
    <n v="0"/>
    <n v="1"/>
    <n v="11"/>
    <x v="0"/>
    <n v="6"/>
    <n v="2"/>
    <n v="0.2"/>
    <n v="0.18179999999999999"/>
    <n v="0.69"/>
    <n v="0.3881"/>
    <n v="60"/>
    <n v="62"/>
    <s v="Wednesday"/>
    <x v="1"/>
    <n v="2"/>
  </r>
  <r>
    <d v="2011-06-23T00:00:00"/>
    <n v="1"/>
    <n v="0"/>
    <n v="1"/>
    <n v="12"/>
    <x v="0"/>
    <n v="6"/>
    <n v="2"/>
    <n v="0.2"/>
    <n v="0.18179999999999999"/>
    <n v="0.59"/>
    <n v="0.35820000000000002"/>
    <n v="90"/>
    <n v="98"/>
    <s v="Thursday"/>
    <x v="1"/>
    <n v="8"/>
  </r>
  <r>
    <d v="2011-06-24T00:00:00"/>
    <n v="1"/>
    <n v="0"/>
    <n v="1"/>
    <n v="13"/>
    <x v="0"/>
    <n v="6"/>
    <n v="1"/>
    <n v="0.2"/>
    <n v="0.18179999999999999"/>
    <n v="0.44"/>
    <n v="0.32840000000000003"/>
    <n v="95"/>
    <n v="102"/>
    <s v="Friday"/>
    <x v="1"/>
    <n v="7"/>
  </r>
  <r>
    <d v="2011-06-25T00:00:00"/>
    <n v="1"/>
    <n v="0"/>
    <n v="1"/>
    <n v="14"/>
    <x v="0"/>
    <n v="6"/>
    <n v="1"/>
    <n v="0.2"/>
    <n v="0.16669999999999999"/>
    <n v="0.32"/>
    <n v="0.49249999999999999"/>
    <n v="83"/>
    <n v="95"/>
    <s v="Saturday"/>
    <x v="1"/>
    <n v="12"/>
  </r>
  <r>
    <d v="2011-06-26T00:00:00"/>
    <n v="1"/>
    <n v="0"/>
    <n v="1"/>
    <n v="15"/>
    <x v="0"/>
    <n v="6"/>
    <n v="1"/>
    <n v="0.2"/>
    <n v="0.16669999999999999"/>
    <n v="0.32"/>
    <n v="0.44779999999999998"/>
    <n v="69"/>
    <n v="74"/>
    <s v="Sunday"/>
    <x v="1"/>
    <n v="5"/>
  </r>
  <r>
    <d v="2011-06-27T00:00:00"/>
    <n v="1"/>
    <n v="0"/>
    <n v="1"/>
    <n v="16"/>
    <x v="0"/>
    <n v="6"/>
    <n v="1"/>
    <n v="0.18"/>
    <n v="0.13639999999999999"/>
    <n v="0.28999999999999998"/>
    <n v="0.44779999999999998"/>
    <n v="68"/>
    <n v="76"/>
    <s v="Monday"/>
    <x v="1"/>
    <n v="8"/>
  </r>
  <r>
    <d v="2011-06-28T00:00:00"/>
    <n v="1"/>
    <n v="0"/>
    <n v="1"/>
    <n v="17"/>
    <x v="0"/>
    <n v="6"/>
    <n v="1"/>
    <n v="0.16"/>
    <n v="0.1212"/>
    <n v="0.37"/>
    <n v="0.55220000000000002"/>
    <n v="64"/>
    <n v="69"/>
    <s v="Tuesday"/>
    <x v="1"/>
    <n v="5"/>
  </r>
  <r>
    <d v="2011-06-29T00:00:00"/>
    <n v="1"/>
    <n v="0"/>
    <n v="1"/>
    <n v="18"/>
    <x v="0"/>
    <n v="6"/>
    <n v="1"/>
    <n v="0.14000000000000001"/>
    <n v="0.1212"/>
    <n v="0.39"/>
    <n v="0.29849999999999999"/>
    <n v="52"/>
    <n v="55"/>
    <s v="Wednesday"/>
    <x v="1"/>
    <n v="3"/>
  </r>
  <r>
    <d v="2011-06-30T00:00:00"/>
    <n v="1"/>
    <n v="0"/>
    <n v="1"/>
    <n v="19"/>
    <x v="0"/>
    <n v="6"/>
    <n v="1"/>
    <n v="0.14000000000000001"/>
    <n v="0.1212"/>
    <n v="0.36"/>
    <n v="0.25369999999999998"/>
    <n v="26"/>
    <n v="30"/>
    <s v="Thursday"/>
    <x v="1"/>
    <n v="4"/>
  </r>
  <r>
    <d v="2011-07-01T00:00:00"/>
    <n v="1"/>
    <n v="0"/>
    <n v="1"/>
    <n v="20"/>
    <x v="0"/>
    <n v="6"/>
    <n v="1"/>
    <n v="0.12"/>
    <n v="0.1212"/>
    <n v="0.36"/>
    <n v="0.25369999999999998"/>
    <n v="28"/>
    <n v="28"/>
    <s v="Friday"/>
    <x v="1"/>
    <n v="0"/>
  </r>
  <r>
    <d v="2011-07-02T00:00:00"/>
    <n v="1"/>
    <n v="0"/>
    <n v="1"/>
    <n v="21"/>
    <x v="0"/>
    <n v="6"/>
    <n v="1"/>
    <n v="0.12"/>
    <n v="0.1061"/>
    <n v="0.39"/>
    <n v="0.35820000000000002"/>
    <n v="35"/>
    <n v="37"/>
    <s v="Saturday"/>
    <x v="1"/>
    <n v="2"/>
  </r>
  <r>
    <d v="2011-07-03T00:00:00"/>
    <n v="1"/>
    <n v="0"/>
    <n v="1"/>
    <n v="22"/>
    <x v="0"/>
    <n v="6"/>
    <n v="1"/>
    <n v="0.12"/>
    <n v="0.1061"/>
    <n v="0.36"/>
    <n v="0.3881"/>
    <n v="33"/>
    <n v="34"/>
    <s v="Sunday"/>
    <x v="1"/>
    <n v="1"/>
  </r>
  <r>
    <d v="2011-07-04T00:00:00"/>
    <n v="1"/>
    <n v="0"/>
    <n v="1"/>
    <n v="23"/>
    <x v="0"/>
    <n v="6"/>
    <n v="1"/>
    <n v="0.1"/>
    <n v="6.0600000000000001E-2"/>
    <n v="0.39"/>
    <n v="0.44779999999999998"/>
    <n v="22"/>
    <n v="22"/>
    <s v="Monday"/>
    <x v="1"/>
    <n v="0"/>
  </r>
  <r>
    <d v="2011-07-05T00:00:00"/>
    <n v="1"/>
    <n v="0"/>
    <n v="1"/>
    <n v="0"/>
    <x v="0"/>
    <n v="0"/>
    <n v="1"/>
    <n v="0.1"/>
    <n v="7.5800000000000006E-2"/>
    <n v="0.42"/>
    <n v="0.3881"/>
    <n v="24"/>
    <n v="25"/>
    <s v="Tuesday"/>
    <x v="1"/>
    <n v="1"/>
  </r>
  <r>
    <d v="2011-07-06T00:00:00"/>
    <n v="1"/>
    <n v="0"/>
    <n v="1"/>
    <n v="1"/>
    <x v="0"/>
    <n v="0"/>
    <n v="1"/>
    <n v="0.1"/>
    <n v="6.0600000000000001E-2"/>
    <n v="0.42"/>
    <n v="0.4627"/>
    <n v="12"/>
    <n v="12"/>
    <s v="Wednesday"/>
    <x v="1"/>
    <n v="0"/>
  </r>
  <r>
    <d v="2011-07-07T00:00:00"/>
    <n v="1"/>
    <n v="0"/>
    <n v="1"/>
    <n v="2"/>
    <x v="0"/>
    <n v="0"/>
    <n v="1"/>
    <n v="0.1"/>
    <n v="6.0600000000000001E-2"/>
    <n v="0.46"/>
    <n v="0.4627"/>
    <n v="11"/>
    <n v="11"/>
    <s v="Thursday"/>
    <x v="1"/>
    <n v="0"/>
  </r>
  <r>
    <d v="2011-07-08T00:00:00"/>
    <n v="1"/>
    <n v="0"/>
    <n v="1"/>
    <n v="3"/>
    <x v="0"/>
    <n v="0"/>
    <n v="1"/>
    <n v="0.1"/>
    <n v="7.5800000000000006E-2"/>
    <n v="0.46"/>
    <n v="0.41789999999999999"/>
    <n v="4"/>
    <n v="4"/>
    <s v="Friday"/>
    <x v="1"/>
    <n v="0"/>
  </r>
  <r>
    <d v="2011-07-09T00:00:00"/>
    <n v="1"/>
    <n v="0"/>
    <n v="1"/>
    <n v="4"/>
    <x v="0"/>
    <n v="0"/>
    <n v="1"/>
    <n v="0.08"/>
    <n v="9.0899999999999995E-2"/>
    <n v="0.53"/>
    <n v="0.19400000000000001"/>
    <n v="1"/>
    <n v="1"/>
    <s v="Saturday"/>
    <x v="1"/>
    <n v="0"/>
  </r>
  <r>
    <d v="2011-07-10T00:00:00"/>
    <n v="1"/>
    <n v="0"/>
    <n v="1"/>
    <n v="5"/>
    <x v="0"/>
    <n v="0"/>
    <n v="1"/>
    <n v="0.08"/>
    <n v="9.0899999999999995E-2"/>
    <n v="0.53"/>
    <n v="0.19400000000000001"/>
    <n v="1"/>
    <n v="1"/>
    <s v="Sunday"/>
    <x v="1"/>
    <n v="0"/>
  </r>
  <r>
    <d v="2011-07-11T00:00:00"/>
    <n v="1"/>
    <n v="0"/>
    <n v="1"/>
    <n v="6"/>
    <x v="0"/>
    <n v="0"/>
    <n v="1"/>
    <n v="0.1"/>
    <n v="9.0899999999999995E-2"/>
    <n v="0.49"/>
    <n v="0.28360000000000002"/>
    <n v="1"/>
    <n v="1"/>
    <s v="Monday"/>
    <x v="1"/>
    <n v="0"/>
  </r>
  <r>
    <d v="2011-07-12T00:00:00"/>
    <n v="1"/>
    <n v="0"/>
    <n v="1"/>
    <n v="7"/>
    <x v="0"/>
    <n v="0"/>
    <n v="1"/>
    <n v="0.08"/>
    <n v="9.0899999999999995E-2"/>
    <n v="0.53"/>
    <n v="0.19400000000000001"/>
    <n v="5"/>
    <n v="6"/>
    <s v="Tuesday"/>
    <x v="1"/>
    <n v="1"/>
  </r>
  <r>
    <d v="2011-07-13T00:00:00"/>
    <n v="1"/>
    <n v="0"/>
    <n v="1"/>
    <n v="8"/>
    <x v="0"/>
    <n v="0"/>
    <n v="1"/>
    <n v="0.1"/>
    <n v="9.0899999999999995E-2"/>
    <n v="0.49"/>
    <n v="0.28360000000000002"/>
    <n v="10"/>
    <n v="10"/>
    <s v="Wednesday"/>
    <x v="1"/>
    <n v="0"/>
  </r>
  <r>
    <d v="2011-07-14T00:00:00"/>
    <n v="1"/>
    <n v="0"/>
    <n v="1"/>
    <n v="9"/>
    <x v="0"/>
    <n v="0"/>
    <n v="1"/>
    <n v="0.12"/>
    <n v="7.5800000000000006E-2"/>
    <n v="0.46"/>
    <n v="0.52239999999999998"/>
    <n v="19"/>
    <n v="19"/>
    <s v="Thursday"/>
    <x v="1"/>
    <n v="0"/>
  </r>
  <r>
    <d v="2011-07-15T00:00:00"/>
    <n v="1"/>
    <n v="0"/>
    <n v="1"/>
    <n v="10"/>
    <x v="0"/>
    <n v="0"/>
    <n v="1"/>
    <n v="0.14000000000000001"/>
    <n v="0.1061"/>
    <n v="0.43"/>
    <n v="0.3881"/>
    <n v="49"/>
    <n v="49"/>
    <s v="Friday"/>
    <x v="1"/>
    <n v="0"/>
  </r>
  <r>
    <d v="2011-07-16T00:00:00"/>
    <n v="1"/>
    <n v="0"/>
    <n v="1"/>
    <n v="11"/>
    <x v="0"/>
    <n v="0"/>
    <n v="1"/>
    <n v="0.16"/>
    <n v="0.1212"/>
    <n v="0.4"/>
    <n v="0.52239999999999998"/>
    <n v="47"/>
    <n v="49"/>
    <s v="Saturday"/>
    <x v="1"/>
    <n v="2"/>
  </r>
  <r>
    <d v="2011-07-17T00:00:00"/>
    <n v="1"/>
    <n v="0"/>
    <n v="1"/>
    <n v="12"/>
    <x v="0"/>
    <n v="0"/>
    <n v="1"/>
    <n v="0.18"/>
    <n v="0.13639999999999999"/>
    <n v="0.37"/>
    <n v="0.44779999999999998"/>
    <n v="79"/>
    <n v="83"/>
    <s v="Sunday"/>
    <x v="1"/>
    <n v="4"/>
  </r>
  <r>
    <d v="2011-07-18T00:00:00"/>
    <n v="1"/>
    <n v="0"/>
    <n v="1"/>
    <n v="13"/>
    <x v="0"/>
    <n v="0"/>
    <n v="1"/>
    <n v="0.2"/>
    <n v="0.16669999999999999"/>
    <n v="0.34"/>
    <n v="0.44779999999999998"/>
    <n v="69"/>
    <n v="75"/>
    <s v="Monday"/>
    <x v="1"/>
    <n v="6"/>
  </r>
  <r>
    <d v="2011-07-19T00:00:00"/>
    <n v="1"/>
    <n v="0"/>
    <n v="1"/>
    <n v="14"/>
    <x v="0"/>
    <n v="0"/>
    <n v="1"/>
    <n v="0.22"/>
    <n v="0.18179999999999999"/>
    <n v="0.32"/>
    <n v="0.4627"/>
    <n v="64"/>
    <n v="72"/>
    <s v="Tuesday"/>
    <x v="1"/>
    <n v="8"/>
  </r>
  <r>
    <d v="2011-07-20T00:00:00"/>
    <n v="1"/>
    <n v="0"/>
    <n v="1"/>
    <n v="15"/>
    <x v="0"/>
    <n v="0"/>
    <n v="1"/>
    <n v="0.22"/>
    <n v="0.19700000000000001"/>
    <n v="0.35"/>
    <n v="0.35820000000000002"/>
    <n v="77"/>
    <n v="82"/>
    <s v="Wednesday"/>
    <x v="1"/>
    <n v="5"/>
  </r>
  <r>
    <d v="2011-07-21T00:00:00"/>
    <n v="1"/>
    <n v="0"/>
    <n v="1"/>
    <n v="16"/>
    <x v="0"/>
    <n v="0"/>
    <n v="1"/>
    <n v="0.2"/>
    <n v="0.16669999999999999"/>
    <n v="0.34"/>
    <n v="0.44779999999999998"/>
    <n v="79"/>
    <n v="92"/>
    <s v="Thursday"/>
    <x v="1"/>
    <n v="13"/>
  </r>
  <r>
    <d v="2011-07-22T00:00:00"/>
    <n v="1"/>
    <n v="0"/>
    <n v="1"/>
    <n v="17"/>
    <x v="0"/>
    <n v="0"/>
    <n v="1"/>
    <n v="0.18"/>
    <n v="0.1515"/>
    <n v="0.37"/>
    <n v="0.3881"/>
    <n v="59"/>
    <n v="62"/>
    <s v="Friday"/>
    <x v="1"/>
    <n v="3"/>
  </r>
  <r>
    <d v="2011-07-23T00:00:00"/>
    <n v="1"/>
    <n v="0"/>
    <n v="1"/>
    <n v="18"/>
    <x v="0"/>
    <n v="0"/>
    <n v="1"/>
    <n v="0.16"/>
    <n v="0.13639999999999999"/>
    <n v="0.4"/>
    <n v="0.32840000000000003"/>
    <n v="44"/>
    <n v="48"/>
    <s v="Saturday"/>
    <x v="1"/>
    <n v="4"/>
  </r>
  <r>
    <d v="2011-07-24T00:00:00"/>
    <n v="1"/>
    <n v="0"/>
    <n v="1"/>
    <n v="19"/>
    <x v="0"/>
    <n v="0"/>
    <n v="1"/>
    <n v="0.16"/>
    <n v="0.13639999999999999"/>
    <n v="0.43"/>
    <n v="0.32840000000000003"/>
    <n v="40"/>
    <n v="41"/>
    <s v="Sunday"/>
    <x v="1"/>
    <n v="1"/>
  </r>
  <r>
    <d v="2011-07-25T00:00:00"/>
    <n v="1"/>
    <n v="0"/>
    <n v="1"/>
    <n v="20"/>
    <x v="0"/>
    <n v="0"/>
    <n v="1"/>
    <n v="0.14000000000000001"/>
    <n v="0.1212"/>
    <n v="0.46"/>
    <n v="0.25369999999999998"/>
    <n v="38"/>
    <n v="38"/>
    <s v="Monday"/>
    <x v="1"/>
    <n v="0"/>
  </r>
  <r>
    <d v="2011-07-26T00:00:00"/>
    <n v="1"/>
    <n v="0"/>
    <n v="1"/>
    <n v="21"/>
    <x v="0"/>
    <n v="0"/>
    <n v="1"/>
    <n v="0.14000000000000001"/>
    <n v="0.1061"/>
    <n v="0.46"/>
    <n v="0.41789999999999999"/>
    <n v="19"/>
    <n v="20"/>
    <s v="Tuesday"/>
    <x v="1"/>
    <n v="1"/>
  </r>
  <r>
    <d v="2011-07-27T00:00:00"/>
    <n v="1"/>
    <n v="0"/>
    <n v="1"/>
    <n v="22"/>
    <x v="0"/>
    <n v="0"/>
    <n v="1"/>
    <n v="0.14000000000000001"/>
    <n v="0.1212"/>
    <n v="0.46"/>
    <n v="0.29849999999999999"/>
    <n v="10"/>
    <n v="15"/>
    <s v="Wednesday"/>
    <x v="1"/>
    <n v="5"/>
  </r>
  <r>
    <d v="2011-07-28T00:00:00"/>
    <n v="1"/>
    <n v="0"/>
    <n v="1"/>
    <n v="23"/>
    <x v="0"/>
    <n v="0"/>
    <n v="1"/>
    <n v="0.12"/>
    <n v="0.13639999999999999"/>
    <n v="0.5"/>
    <n v="0.19400000000000001"/>
    <n v="6"/>
    <n v="6"/>
    <s v="Thursday"/>
    <x v="1"/>
    <n v="0"/>
  </r>
  <r>
    <d v="2011-07-29T00:00:00"/>
    <n v="1"/>
    <n v="0"/>
    <n v="1"/>
    <n v="0"/>
    <x v="0"/>
    <n v="1"/>
    <n v="1"/>
    <n v="0.12"/>
    <n v="0.1212"/>
    <n v="0.5"/>
    <n v="0.28360000000000002"/>
    <n v="3"/>
    <n v="5"/>
    <s v="Friday"/>
    <x v="1"/>
    <n v="2"/>
  </r>
  <r>
    <d v="2011-07-30T00:00:00"/>
    <n v="1"/>
    <n v="0"/>
    <n v="1"/>
    <n v="1"/>
    <x v="0"/>
    <n v="1"/>
    <n v="1"/>
    <n v="0.12"/>
    <n v="0.1212"/>
    <n v="0.5"/>
    <n v="0.28360000000000002"/>
    <n v="0"/>
    <n v="1"/>
    <s v="Saturday"/>
    <x v="1"/>
    <n v="1"/>
  </r>
  <r>
    <d v="2011-07-31T00:00:00"/>
    <n v="1"/>
    <n v="0"/>
    <n v="1"/>
    <n v="2"/>
    <x v="0"/>
    <n v="1"/>
    <n v="1"/>
    <n v="0.12"/>
    <n v="0.1212"/>
    <n v="0.5"/>
    <n v="0.22389999999999999"/>
    <n v="3"/>
    <n v="3"/>
    <s v="Sunday"/>
    <x v="1"/>
    <n v="0"/>
  </r>
  <r>
    <d v="2011-08-01T00:00:00"/>
    <n v="1"/>
    <n v="0"/>
    <n v="1"/>
    <n v="3"/>
    <x v="0"/>
    <n v="1"/>
    <n v="1"/>
    <n v="0.12"/>
    <n v="0.1212"/>
    <n v="0.5"/>
    <n v="0.22389999999999999"/>
    <n v="1"/>
    <n v="1"/>
    <s v="Monday"/>
    <x v="1"/>
    <n v="0"/>
  </r>
  <r>
    <d v="2011-08-02T00:00:00"/>
    <n v="1"/>
    <n v="0"/>
    <n v="1"/>
    <n v="4"/>
    <x v="0"/>
    <n v="1"/>
    <n v="1"/>
    <n v="0.1"/>
    <n v="0.1212"/>
    <n v="0.54"/>
    <n v="0.1343"/>
    <n v="2"/>
    <n v="3"/>
    <s v="Tuesday"/>
    <x v="1"/>
    <n v="1"/>
  </r>
  <r>
    <d v="2011-08-03T00:00:00"/>
    <n v="1"/>
    <n v="0"/>
    <n v="1"/>
    <n v="5"/>
    <x v="0"/>
    <n v="1"/>
    <n v="1"/>
    <n v="0.1"/>
    <n v="0.1061"/>
    <n v="0.54"/>
    <n v="0.25369999999999998"/>
    <n v="3"/>
    <n v="3"/>
    <s v="Wednesday"/>
    <x v="1"/>
    <n v="0"/>
  </r>
  <r>
    <d v="2011-08-04T00:00:00"/>
    <n v="1"/>
    <n v="0"/>
    <n v="1"/>
    <n v="6"/>
    <x v="0"/>
    <n v="1"/>
    <n v="1"/>
    <n v="0.12"/>
    <n v="0.1212"/>
    <n v="0.5"/>
    <n v="0.28360000000000002"/>
    <n v="31"/>
    <n v="31"/>
    <s v="Thursday"/>
    <x v="1"/>
    <n v="0"/>
  </r>
  <r>
    <d v="2011-08-05T00:00:00"/>
    <n v="1"/>
    <n v="0"/>
    <n v="1"/>
    <n v="7"/>
    <x v="0"/>
    <n v="1"/>
    <n v="1"/>
    <n v="0.12"/>
    <n v="0.1212"/>
    <n v="0.5"/>
    <n v="0.22389999999999999"/>
    <n v="75"/>
    <n v="77"/>
    <s v="Friday"/>
    <x v="1"/>
    <n v="2"/>
  </r>
  <r>
    <d v="2011-08-06T00:00:00"/>
    <n v="1"/>
    <n v="0"/>
    <n v="1"/>
    <n v="8"/>
    <x v="0"/>
    <n v="1"/>
    <n v="2"/>
    <n v="0.12"/>
    <n v="0.1212"/>
    <n v="0.5"/>
    <n v="0.28360000000000002"/>
    <n v="184"/>
    <n v="188"/>
    <s v="Saturday"/>
    <x v="1"/>
    <n v="4"/>
  </r>
  <r>
    <d v="2011-08-07T00:00:00"/>
    <n v="1"/>
    <n v="0"/>
    <n v="1"/>
    <n v="9"/>
    <x v="0"/>
    <n v="1"/>
    <n v="2"/>
    <n v="0.14000000000000001"/>
    <n v="0.1212"/>
    <n v="0.5"/>
    <n v="0.25369999999999998"/>
    <n v="92"/>
    <n v="94"/>
    <s v="Sunday"/>
    <x v="1"/>
    <n v="2"/>
  </r>
  <r>
    <d v="2011-08-08T00:00:00"/>
    <n v="1"/>
    <n v="0"/>
    <n v="1"/>
    <n v="10"/>
    <x v="0"/>
    <n v="1"/>
    <n v="2"/>
    <n v="0.14000000000000001"/>
    <n v="0.1212"/>
    <n v="0.5"/>
    <n v="0.29849999999999999"/>
    <n v="31"/>
    <n v="31"/>
    <s v="Monday"/>
    <x v="1"/>
    <n v="0"/>
  </r>
  <r>
    <d v="2011-08-09T00:00:00"/>
    <n v="1"/>
    <n v="0"/>
    <n v="1"/>
    <n v="11"/>
    <x v="0"/>
    <n v="1"/>
    <n v="2"/>
    <n v="0.16"/>
    <n v="0.13639999999999999"/>
    <n v="0.47"/>
    <n v="0.28360000000000002"/>
    <n v="28"/>
    <n v="30"/>
    <s v="Tuesday"/>
    <x v="1"/>
    <n v="2"/>
  </r>
  <r>
    <d v="2011-08-10T00:00:00"/>
    <n v="1"/>
    <n v="0"/>
    <n v="1"/>
    <n v="12"/>
    <x v="0"/>
    <n v="1"/>
    <n v="2"/>
    <n v="0.2"/>
    <n v="0.18179999999999999"/>
    <n v="0.4"/>
    <n v="0.28360000000000002"/>
    <n v="47"/>
    <n v="52"/>
    <s v="Wednesday"/>
    <x v="1"/>
    <n v="5"/>
  </r>
  <r>
    <d v="2011-08-11T00:00:00"/>
    <n v="1"/>
    <n v="0"/>
    <n v="1"/>
    <n v="13"/>
    <x v="0"/>
    <n v="1"/>
    <n v="2"/>
    <n v="0.2"/>
    <n v="0.18179999999999999"/>
    <n v="0.4"/>
    <n v="0.28360000000000002"/>
    <n v="50"/>
    <n v="54"/>
    <s v="Thursday"/>
    <x v="1"/>
    <n v="4"/>
  </r>
  <r>
    <d v="2011-08-12T00:00:00"/>
    <n v="1"/>
    <n v="0"/>
    <n v="1"/>
    <n v="14"/>
    <x v="0"/>
    <n v="1"/>
    <n v="2"/>
    <n v="0.2"/>
    <n v="0.19700000000000001"/>
    <n v="0.4"/>
    <n v="0.22389999999999999"/>
    <n v="47"/>
    <n v="47"/>
    <s v="Friday"/>
    <x v="1"/>
    <n v="0"/>
  </r>
  <r>
    <d v="2011-08-13T00:00:00"/>
    <n v="1"/>
    <n v="0"/>
    <n v="1"/>
    <n v="15"/>
    <x v="0"/>
    <n v="1"/>
    <n v="2"/>
    <n v="0.2"/>
    <n v="0.19700000000000001"/>
    <n v="0.4"/>
    <n v="0.22389999999999999"/>
    <n v="43"/>
    <n v="45"/>
    <s v="Saturday"/>
    <x v="1"/>
    <n v="2"/>
  </r>
  <r>
    <d v="2011-08-14T00:00:00"/>
    <n v="1"/>
    <n v="0"/>
    <n v="1"/>
    <n v="16"/>
    <x v="0"/>
    <n v="1"/>
    <n v="1"/>
    <n v="0.2"/>
    <n v="0.21210000000000001"/>
    <n v="0.4"/>
    <n v="0.1343"/>
    <n v="70"/>
    <n v="74"/>
    <s v="Sunday"/>
    <x v="1"/>
    <n v="4"/>
  </r>
  <r>
    <d v="2011-08-15T00:00:00"/>
    <n v="1"/>
    <n v="0"/>
    <n v="1"/>
    <n v="17"/>
    <x v="0"/>
    <n v="1"/>
    <n v="1"/>
    <n v="0.2"/>
    <n v="0.2273"/>
    <n v="0.4"/>
    <n v="0.1045"/>
    <n v="174"/>
    <n v="178"/>
    <s v="Monday"/>
    <x v="1"/>
    <n v="4"/>
  </r>
  <r>
    <d v="2011-08-16T00:00:00"/>
    <n v="1"/>
    <n v="0"/>
    <n v="1"/>
    <n v="18"/>
    <x v="0"/>
    <n v="1"/>
    <n v="1"/>
    <n v="0.2"/>
    <n v="0.19700000000000001"/>
    <n v="0.4"/>
    <n v="0.22389999999999999"/>
    <n v="154"/>
    <n v="155"/>
    <s v="Tuesday"/>
    <x v="1"/>
    <n v="1"/>
  </r>
  <r>
    <d v="2011-08-17T00:00:00"/>
    <n v="1"/>
    <n v="0"/>
    <n v="1"/>
    <n v="19"/>
    <x v="0"/>
    <n v="1"/>
    <n v="1"/>
    <n v="0.16"/>
    <n v="0.16669999999999999"/>
    <n v="0.47"/>
    <n v="0.16420000000000001"/>
    <n v="92"/>
    <n v="95"/>
    <s v="Wednesday"/>
    <x v="1"/>
    <n v="3"/>
  </r>
  <r>
    <d v="2011-08-18T00:00:00"/>
    <n v="1"/>
    <n v="0"/>
    <n v="1"/>
    <n v="20"/>
    <x v="0"/>
    <n v="1"/>
    <n v="1"/>
    <n v="0.16"/>
    <n v="0.16669999999999999"/>
    <n v="0.5"/>
    <n v="0.16420000000000001"/>
    <n v="73"/>
    <n v="74"/>
    <s v="Thursday"/>
    <x v="1"/>
    <n v="1"/>
  </r>
  <r>
    <d v="2011-08-19T00:00:00"/>
    <n v="1"/>
    <n v="0"/>
    <n v="1"/>
    <n v="21"/>
    <x v="0"/>
    <n v="1"/>
    <n v="1"/>
    <n v="0.14000000000000001"/>
    <n v="0.13639999999999999"/>
    <n v="0.59"/>
    <n v="0.19400000000000001"/>
    <n v="37"/>
    <n v="38"/>
    <s v="Friday"/>
    <x v="1"/>
    <n v="1"/>
  </r>
  <r>
    <d v="2011-08-20T00:00:00"/>
    <n v="1"/>
    <n v="0"/>
    <n v="1"/>
    <n v="22"/>
    <x v="0"/>
    <n v="1"/>
    <n v="1"/>
    <n v="0.14000000000000001"/>
    <n v="0.1515"/>
    <n v="0.59"/>
    <n v="0.16420000000000001"/>
    <n v="22"/>
    <n v="24"/>
    <s v="Saturday"/>
    <x v="1"/>
    <n v="2"/>
  </r>
  <r>
    <d v="2011-08-21T00:00:00"/>
    <n v="1"/>
    <n v="0"/>
    <n v="1"/>
    <n v="23"/>
    <x v="0"/>
    <n v="1"/>
    <n v="1"/>
    <n v="0.14000000000000001"/>
    <n v="0.1515"/>
    <n v="0.59"/>
    <n v="0.16420000000000001"/>
    <n v="18"/>
    <n v="18"/>
    <s v="Sunday"/>
    <x v="1"/>
    <n v="0"/>
  </r>
  <r>
    <d v="2011-08-22T00:00:00"/>
    <n v="1"/>
    <n v="0"/>
    <n v="1"/>
    <n v="0"/>
    <x v="0"/>
    <n v="2"/>
    <n v="1"/>
    <n v="0.14000000000000001"/>
    <n v="0.16669999999999999"/>
    <n v="0.59"/>
    <n v="0.1045"/>
    <n v="10"/>
    <n v="12"/>
    <s v="Monday"/>
    <x v="1"/>
    <n v="2"/>
  </r>
  <r>
    <d v="2011-08-23T00:00:00"/>
    <n v="1"/>
    <n v="0"/>
    <n v="1"/>
    <n v="1"/>
    <x v="0"/>
    <n v="2"/>
    <n v="1"/>
    <n v="0.14000000000000001"/>
    <n v="0.1515"/>
    <n v="0.59"/>
    <n v="0.16420000000000001"/>
    <n v="3"/>
    <n v="3"/>
    <s v="Tuesday"/>
    <x v="1"/>
    <n v="0"/>
  </r>
  <r>
    <d v="2011-08-24T00:00:00"/>
    <n v="1"/>
    <n v="0"/>
    <n v="1"/>
    <n v="2"/>
    <x v="0"/>
    <n v="2"/>
    <n v="2"/>
    <n v="0.16"/>
    <n v="0.1515"/>
    <n v="0.55000000000000004"/>
    <n v="0.19400000000000001"/>
    <n v="3"/>
    <n v="3"/>
    <s v="Wednesday"/>
    <x v="1"/>
    <n v="0"/>
  </r>
  <r>
    <d v="2011-08-25T00:00:00"/>
    <n v="1"/>
    <n v="0"/>
    <n v="1"/>
    <n v="5"/>
    <x v="0"/>
    <n v="2"/>
    <n v="2"/>
    <n v="0.16"/>
    <n v="0.18179999999999999"/>
    <n v="0.55000000000000004"/>
    <n v="0.1343"/>
    <n v="6"/>
    <n v="6"/>
    <s v="Thursday"/>
    <x v="1"/>
    <n v="0"/>
  </r>
  <r>
    <d v="2011-08-26T00:00:00"/>
    <n v="1"/>
    <n v="0"/>
    <n v="1"/>
    <n v="6"/>
    <x v="0"/>
    <n v="2"/>
    <n v="2"/>
    <n v="0.16"/>
    <n v="0.18179999999999999"/>
    <n v="0.55000000000000004"/>
    <n v="0.1343"/>
    <n v="27"/>
    <n v="27"/>
    <s v="Friday"/>
    <x v="1"/>
    <n v="0"/>
  </r>
  <r>
    <d v="2011-08-27T00:00:00"/>
    <n v="1"/>
    <n v="0"/>
    <n v="1"/>
    <n v="7"/>
    <x v="0"/>
    <n v="2"/>
    <n v="2"/>
    <n v="0.16"/>
    <n v="0.2273"/>
    <n v="0.55000000000000004"/>
    <n v="0"/>
    <n v="97"/>
    <n v="99"/>
    <s v="Saturday"/>
    <x v="1"/>
    <n v="2"/>
  </r>
  <r>
    <d v="2011-08-28T00:00:00"/>
    <n v="1"/>
    <n v="0"/>
    <n v="1"/>
    <n v="8"/>
    <x v="0"/>
    <n v="2"/>
    <n v="2"/>
    <n v="0.18"/>
    <n v="0.21210000000000001"/>
    <n v="0.51"/>
    <n v="8.9599999999999999E-2"/>
    <n v="214"/>
    <n v="217"/>
    <s v="Sunday"/>
    <x v="1"/>
    <n v="3"/>
  </r>
  <r>
    <d v="2011-08-29T00:00:00"/>
    <n v="1"/>
    <n v="0"/>
    <n v="1"/>
    <n v="9"/>
    <x v="0"/>
    <n v="2"/>
    <n v="2"/>
    <n v="0.18"/>
    <n v="0.19700000000000001"/>
    <n v="0.51"/>
    <n v="0.16420000000000001"/>
    <n v="127"/>
    <n v="130"/>
    <s v="Monday"/>
    <x v="1"/>
    <n v="3"/>
  </r>
  <r>
    <d v="2011-08-30T00:00:00"/>
    <n v="1"/>
    <n v="0"/>
    <n v="1"/>
    <n v="10"/>
    <x v="0"/>
    <n v="2"/>
    <n v="2"/>
    <n v="0.2"/>
    <n v="0.21210000000000001"/>
    <n v="0.51"/>
    <n v="0.16420000000000001"/>
    <n v="51"/>
    <n v="54"/>
    <s v="Tuesday"/>
    <x v="1"/>
    <n v="3"/>
  </r>
  <r>
    <d v="2011-08-31T00:00:00"/>
    <n v="1"/>
    <n v="0"/>
    <n v="1"/>
    <n v="11"/>
    <x v="0"/>
    <n v="2"/>
    <n v="2"/>
    <n v="0.2"/>
    <n v="0.21210000000000001"/>
    <n v="0.47"/>
    <n v="0.1343"/>
    <n v="31"/>
    <n v="35"/>
    <s v="Wednesday"/>
    <x v="1"/>
    <n v="4"/>
  </r>
  <r>
    <d v="2011-09-01T00:00:00"/>
    <n v="1"/>
    <n v="0"/>
    <n v="1"/>
    <n v="12"/>
    <x v="0"/>
    <n v="2"/>
    <n v="2"/>
    <n v="0.2"/>
    <n v="0.2273"/>
    <n v="0.51"/>
    <n v="0.1045"/>
    <n v="55"/>
    <n v="57"/>
    <s v="Thursday"/>
    <x v="1"/>
    <n v="2"/>
  </r>
  <r>
    <d v="2011-09-02T00:00:00"/>
    <n v="1"/>
    <n v="0"/>
    <n v="1"/>
    <n v="13"/>
    <x v="0"/>
    <n v="2"/>
    <n v="2"/>
    <n v="0.2"/>
    <n v="0.2273"/>
    <n v="0.59"/>
    <n v="8.9599999999999999E-2"/>
    <n v="46"/>
    <n v="52"/>
    <s v="Friday"/>
    <x v="1"/>
    <n v="6"/>
  </r>
  <r>
    <d v="2011-09-03T00:00:00"/>
    <n v="1"/>
    <n v="0"/>
    <n v="1"/>
    <n v="14"/>
    <x v="0"/>
    <n v="2"/>
    <n v="2"/>
    <n v="0.2"/>
    <n v="0.2273"/>
    <n v="0.59"/>
    <n v="8.9599999999999999E-2"/>
    <n v="60"/>
    <n v="63"/>
    <s v="Saturday"/>
    <x v="1"/>
    <n v="3"/>
  </r>
  <r>
    <d v="2011-09-04T00:00:00"/>
    <n v="1"/>
    <n v="0"/>
    <n v="1"/>
    <n v="15"/>
    <x v="0"/>
    <n v="2"/>
    <n v="2"/>
    <n v="0.16"/>
    <n v="0.19700000000000001"/>
    <n v="0.8"/>
    <n v="8.9599999999999999E-2"/>
    <n v="45"/>
    <n v="47"/>
    <s v="Sunday"/>
    <x v="1"/>
    <n v="2"/>
  </r>
  <r>
    <d v="2011-09-05T00:00:00"/>
    <n v="1"/>
    <n v="0"/>
    <n v="1"/>
    <n v="16"/>
    <x v="0"/>
    <n v="2"/>
    <n v="2"/>
    <n v="0.16"/>
    <n v="0.1515"/>
    <n v="0.86"/>
    <n v="0.22389999999999999"/>
    <n v="72"/>
    <n v="76"/>
    <s v="Monday"/>
    <x v="1"/>
    <n v="4"/>
  </r>
  <r>
    <d v="2011-09-06T00:00:00"/>
    <n v="1"/>
    <n v="0"/>
    <n v="1"/>
    <n v="17"/>
    <x v="0"/>
    <n v="2"/>
    <n v="2"/>
    <n v="0.16"/>
    <n v="0.1515"/>
    <n v="0.86"/>
    <n v="0.22389999999999999"/>
    <n v="130"/>
    <n v="136"/>
    <s v="Tuesday"/>
    <x v="1"/>
    <n v="6"/>
  </r>
  <r>
    <d v="2011-09-07T00:00:00"/>
    <n v="1"/>
    <n v="0"/>
    <n v="1"/>
    <n v="18"/>
    <x v="0"/>
    <n v="2"/>
    <n v="3"/>
    <n v="0.16"/>
    <n v="0.18179999999999999"/>
    <n v="0.93"/>
    <n v="0.1045"/>
    <n v="94"/>
    <n v="95"/>
    <s v="Wednesday"/>
    <x v="1"/>
    <n v="1"/>
  </r>
  <r>
    <d v="2011-09-08T00:00:00"/>
    <n v="1"/>
    <n v="0"/>
    <n v="1"/>
    <n v="19"/>
    <x v="0"/>
    <n v="2"/>
    <n v="3"/>
    <n v="0.16"/>
    <n v="0.2273"/>
    <n v="0.93"/>
    <n v="0"/>
    <n v="51"/>
    <n v="51"/>
    <s v="Thursday"/>
    <x v="1"/>
    <n v="0"/>
  </r>
  <r>
    <d v="2011-09-09T00:00:00"/>
    <n v="1"/>
    <n v="0"/>
    <n v="1"/>
    <n v="20"/>
    <x v="0"/>
    <n v="2"/>
    <n v="3"/>
    <n v="0.16"/>
    <n v="0.1515"/>
    <n v="0.93"/>
    <n v="0.19400000000000001"/>
    <n v="32"/>
    <n v="32"/>
    <s v="Friday"/>
    <x v="1"/>
    <n v="0"/>
  </r>
  <r>
    <d v="2011-09-10T00:00:00"/>
    <n v="1"/>
    <n v="0"/>
    <n v="1"/>
    <n v="21"/>
    <x v="0"/>
    <n v="2"/>
    <n v="3"/>
    <n v="0.16"/>
    <n v="0.19700000000000001"/>
    <n v="0.86"/>
    <n v="8.9599999999999999E-2"/>
    <n v="20"/>
    <n v="20"/>
    <s v="Saturday"/>
    <x v="1"/>
    <n v="0"/>
  </r>
  <r>
    <d v="2011-09-11T00:00:00"/>
    <n v="1"/>
    <n v="0"/>
    <n v="1"/>
    <n v="22"/>
    <x v="0"/>
    <n v="2"/>
    <n v="3"/>
    <n v="0.16"/>
    <n v="0.18179999999999999"/>
    <n v="0.93"/>
    <n v="0.1045"/>
    <n v="28"/>
    <n v="29"/>
    <s v="Sunday"/>
    <x v="1"/>
    <n v="1"/>
  </r>
  <r>
    <d v="2011-09-12T00:00:00"/>
    <n v="1"/>
    <n v="0"/>
    <n v="1"/>
    <n v="23"/>
    <x v="0"/>
    <n v="2"/>
    <n v="3"/>
    <n v="0.16"/>
    <n v="0.19700000000000001"/>
    <n v="0.93"/>
    <n v="8.9599999999999999E-2"/>
    <n v="18"/>
    <n v="19"/>
    <s v="Monday"/>
    <x v="1"/>
    <n v="1"/>
  </r>
  <r>
    <d v="2011-09-13T00:00:00"/>
    <n v="1"/>
    <n v="0"/>
    <n v="1"/>
    <n v="0"/>
    <x v="0"/>
    <n v="3"/>
    <n v="2"/>
    <n v="0.16"/>
    <n v="0.19700000000000001"/>
    <n v="0.86"/>
    <n v="8.9599999999999999E-2"/>
    <n v="7"/>
    <n v="7"/>
    <s v="Tuesday"/>
    <x v="1"/>
    <n v="0"/>
  </r>
  <r>
    <d v="2011-09-14T00:00:00"/>
    <n v="1"/>
    <n v="0"/>
    <n v="1"/>
    <n v="1"/>
    <x v="0"/>
    <n v="3"/>
    <n v="2"/>
    <n v="0.16"/>
    <n v="0.18179999999999999"/>
    <n v="0.86"/>
    <n v="0.1045"/>
    <n v="6"/>
    <n v="6"/>
    <s v="Wednesday"/>
    <x v="1"/>
    <n v="0"/>
  </r>
  <r>
    <d v="2011-09-15T00:00:00"/>
    <n v="1"/>
    <n v="0"/>
    <n v="1"/>
    <n v="2"/>
    <x v="0"/>
    <n v="3"/>
    <n v="1"/>
    <n v="0.14000000000000001"/>
    <n v="0.1515"/>
    <n v="0.86"/>
    <n v="0.1343"/>
    <n v="1"/>
    <n v="1"/>
    <s v="Thursday"/>
    <x v="1"/>
    <n v="0"/>
  </r>
  <r>
    <d v="2011-09-16T00:00:00"/>
    <n v="1"/>
    <n v="0"/>
    <n v="1"/>
    <n v="5"/>
    <x v="0"/>
    <n v="3"/>
    <n v="1"/>
    <n v="0.14000000000000001"/>
    <n v="0.1515"/>
    <n v="0.86"/>
    <n v="0.16420000000000001"/>
    <n v="5"/>
    <n v="5"/>
    <s v="Friday"/>
    <x v="1"/>
    <n v="0"/>
  </r>
  <r>
    <d v="2011-09-17T00:00:00"/>
    <n v="1"/>
    <n v="0"/>
    <n v="1"/>
    <n v="6"/>
    <x v="0"/>
    <n v="3"/>
    <n v="1"/>
    <n v="0.12"/>
    <n v="0.1515"/>
    <n v="0.93"/>
    <n v="0.1343"/>
    <n v="16"/>
    <n v="16"/>
    <s v="Saturday"/>
    <x v="1"/>
    <n v="0"/>
  </r>
  <r>
    <d v="2011-09-18T00:00:00"/>
    <n v="1"/>
    <n v="0"/>
    <n v="1"/>
    <n v="7"/>
    <x v="0"/>
    <n v="3"/>
    <n v="1"/>
    <n v="0.14000000000000001"/>
    <n v="0.1515"/>
    <n v="0.69"/>
    <n v="0.1343"/>
    <n v="54"/>
    <n v="54"/>
    <s v="Sunday"/>
    <x v="1"/>
    <n v="0"/>
  </r>
  <r>
    <d v="2011-09-19T00:00:00"/>
    <n v="1"/>
    <n v="0"/>
    <n v="1"/>
    <n v="8"/>
    <x v="0"/>
    <n v="3"/>
    <n v="1"/>
    <n v="0.16"/>
    <n v="0.16669999999999999"/>
    <n v="0.59"/>
    <n v="0.16420000000000001"/>
    <n v="125"/>
    <n v="128"/>
    <s v="Monday"/>
    <x v="1"/>
    <n v="3"/>
  </r>
  <r>
    <d v="2011-09-20T00:00:00"/>
    <n v="1"/>
    <n v="0"/>
    <n v="1"/>
    <n v="9"/>
    <x v="0"/>
    <n v="3"/>
    <n v="1"/>
    <n v="0.16"/>
    <n v="0.13639999999999999"/>
    <n v="0.59"/>
    <n v="0.32840000000000003"/>
    <n v="78"/>
    <n v="81"/>
    <s v="Tuesday"/>
    <x v="1"/>
    <n v="3"/>
  </r>
  <r>
    <d v="2011-09-21T00:00:00"/>
    <n v="1"/>
    <n v="0"/>
    <n v="1"/>
    <n v="10"/>
    <x v="0"/>
    <n v="3"/>
    <n v="1"/>
    <n v="0.18"/>
    <n v="0.18179999999999999"/>
    <n v="0.55000000000000004"/>
    <n v="0.22389999999999999"/>
    <n v="39"/>
    <n v="39"/>
    <s v="Wednesday"/>
    <x v="1"/>
    <n v="0"/>
  </r>
  <r>
    <d v="2011-09-22T00:00:00"/>
    <n v="1"/>
    <n v="0"/>
    <n v="1"/>
    <n v="11"/>
    <x v="0"/>
    <n v="3"/>
    <n v="1"/>
    <n v="0.2"/>
    <n v="0.18179999999999999"/>
    <n v="0.51"/>
    <n v="0.3881"/>
    <n v="32"/>
    <n v="35"/>
    <s v="Thursday"/>
    <x v="1"/>
    <n v="3"/>
  </r>
  <r>
    <d v="2011-09-23T00:00:00"/>
    <n v="1"/>
    <n v="0"/>
    <n v="1"/>
    <n v="12"/>
    <x v="0"/>
    <n v="3"/>
    <n v="1"/>
    <n v="0.2"/>
    <n v="0.1515"/>
    <n v="0.47"/>
    <n v="0.58209999999999995"/>
    <n v="52"/>
    <n v="55"/>
    <s v="Friday"/>
    <x v="1"/>
    <n v="3"/>
  </r>
  <r>
    <d v="2011-09-24T00:00:00"/>
    <n v="1"/>
    <n v="0"/>
    <n v="1"/>
    <n v="13"/>
    <x v="0"/>
    <n v="3"/>
    <n v="1"/>
    <n v="0.22"/>
    <n v="0.19700000000000001"/>
    <n v="0.44"/>
    <n v="0.35820000000000002"/>
    <n v="49"/>
    <n v="49"/>
    <s v="Saturday"/>
    <x v="1"/>
    <n v="0"/>
  </r>
  <r>
    <d v="2011-09-25T00:00:00"/>
    <n v="1"/>
    <n v="0"/>
    <n v="1"/>
    <n v="14"/>
    <x v="0"/>
    <n v="3"/>
    <n v="1"/>
    <n v="0.2"/>
    <n v="0.18179999999999999"/>
    <n v="0.47"/>
    <n v="0.32840000000000003"/>
    <n v="44"/>
    <n v="44"/>
    <s v="Sunday"/>
    <x v="1"/>
    <n v="0"/>
  </r>
  <r>
    <d v="2011-09-26T00:00:00"/>
    <n v="1"/>
    <n v="0"/>
    <n v="1"/>
    <n v="15"/>
    <x v="0"/>
    <n v="3"/>
    <n v="1"/>
    <n v="0.2"/>
    <n v="0.16669999999999999"/>
    <n v="0.47"/>
    <n v="0.41789999999999999"/>
    <n v="48"/>
    <n v="49"/>
    <s v="Monday"/>
    <x v="1"/>
    <n v="1"/>
  </r>
  <r>
    <d v="2011-09-27T00:00:00"/>
    <n v="1"/>
    <n v="0"/>
    <n v="1"/>
    <n v="16"/>
    <x v="0"/>
    <n v="3"/>
    <n v="1"/>
    <n v="0.22"/>
    <n v="0.19700000000000001"/>
    <n v="0.44"/>
    <n v="0.32840000000000003"/>
    <n v="63"/>
    <n v="68"/>
    <s v="Tuesday"/>
    <x v="1"/>
    <n v="5"/>
  </r>
  <r>
    <d v="2011-09-28T00:00:00"/>
    <n v="1"/>
    <n v="0"/>
    <n v="1"/>
    <n v="17"/>
    <x v="0"/>
    <n v="3"/>
    <n v="1"/>
    <n v="0.2"/>
    <n v="0.18179999999999999"/>
    <n v="0.47"/>
    <n v="0.35820000000000002"/>
    <n v="139"/>
    <n v="139"/>
    <s v="Wednesday"/>
    <x v="1"/>
    <n v="0"/>
  </r>
  <r>
    <d v="2011-09-29T00:00:00"/>
    <n v="1"/>
    <n v="0"/>
    <n v="1"/>
    <n v="18"/>
    <x v="0"/>
    <n v="3"/>
    <n v="1"/>
    <n v="0.2"/>
    <n v="0.1515"/>
    <n v="0.47"/>
    <n v="0.52239999999999998"/>
    <n v="135"/>
    <n v="137"/>
    <s v="Thursday"/>
    <x v="1"/>
    <n v="2"/>
  </r>
  <r>
    <d v="2011-09-30T00:00:00"/>
    <n v="1"/>
    <n v="0"/>
    <n v="1"/>
    <n v="19"/>
    <x v="0"/>
    <n v="3"/>
    <n v="1"/>
    <n v="0.18"/>
    <n v="0.1515"/>
    <n v="0.47"/>
    <n v="0.41789999999999999"/>
    <n v="82"/>
    <n v="83"/>
    <s v="Friday"/>
    <x v="1"/>
    <n v="1"/>
  </r>
  <r>
    <d v="2011-10-01T00:00:00"/>
    <n v="1"/>
    <n v="0"/>
    <n v="1"/>
    <n v="20"/>
    <x v="0"/>
    <n v="3"/>
    <n v="1"/>
    <n v="0.16"/>
    <n v="0.13639999999999999"/>
    <n v="0.5"/>
    <n v="0.32840000000000003"/>
    <n v="54"/>
    <n v="56"/>
    <s v="Saturday"/>
    <x v="1"/>
    <n v="2"/>
  </r>
  <r>
    <d v="2011-10-02T00:00:00"/>
    <n v="1"/>
    <n v="0"/>
    <n v="1"/>
    <n v="21"/>
    <x v="0"/>
    <n v="3"/>
    <n v="1"/>
    <n v="0.16"/>
    <n v="0.13639999999999999"/>
    <n v="0.55000000000000004"/>
    <n v="0.32840000000000003"/>
    <n v="57"/>
    <n v="57"/>
    <s v="Sunday"/>
    <x v="1"/>
    <n v="0"/>
  </r>
  <r>
    <d v="2011-10-03T00:00:00"/>
    <n v="1"/>
    <n v="0"/>
    <n v="1"/>
    <n v="22"/>
    <x v="0"/>
    <n v="3"/>
    <n v="1"/>
    <n v="0.16"/>
    <n v="0.1212"/>
    <n v="0.55000000000000004"/>
    <n v="0.44779999999999998"/>
    <n v="32"/>
    <n v="33"/>
    <s v="Monday"/>
    <x v="1"/>
    <n v="1"/>
  </r>
  <r>
    <d v="2011-10-04T00:00:00"/>
    <n v="1"/>
    <n v="0"/>
    <n v="1"/>
    <n v="23"/>
    <x v="0"/>
    <n v="3"/>
    <n v="1"/>
    <n v="0.14000000000000001"/>
    <n v="0.1061"/>
    <n v="0.59"/>
    <n v="0.41789999999999999"/>
    <n v="19"/>
    <n v="20"/>
    <s v="Tuesday"/>
    <x v="1"/>
    <n v="1"/>
  </r>
  <r>
    <d v="2011-10-05T00:00:00"/>
    <n v="1"/>
    <n v="0"/>
    <n v="1"/>
    <n v="0"/>
    <x v="0"/>
    <n v="4"/>
    <n v="1"/>
    <n v="0.14000000000000001"/>
    <n v="0.1212"/>
    <n v="0.59"/>
    <n v="0.28360000000000002"/>
    <n v="6"/>
    <n v="7"/>
    <s v="Wednesday"/>
    <x v="1"/>
    <n v="1"/>
  </r>
  <r>
    <d v="2011-10-06T00:00:00"/>
    <n v="1"/>
    <n v="0"/>
    <n v="1"/>
    <n v="1"/>
    <x v="0"/>
    <n v="4"/>
    <n v="1"/>
    <n v="0.14000000000000001"/>
    <n v="0.1212"/>
    <n v="0.5"/>
    <n v="0.28360000000000002"/>
    <n v="2"/>
    <n v="2"/>
    <s v="Thursday"/>
    <x v="1"/>
    <n v="0"/>
  </r>
  <r>
    <d v="2011-10-07T00:00:00"/>
    <n v="1"/>
    <n v="0"/>
    <n v="1"/>
    <n v="2"/>
    <x v="0"/>
    <n v="4"/>
    <n v="1"/>
    <n v="0.14000000000000001"/>
    <n v="0.1212"/>
    <n v="0.5"/>
    <n v="0.35820000000000002"/>
    <n v="2"/>
    <n v="2"/>
    <s v="Friday"/>
    <x v="1"/>
    <n v="0"/>
  </r>
  <r>
    <d v="2011-10-08T00:00:00"/>
    <n v="1"/>
    <n v="0"/>
    <n v="1"/>
    <n v="3"/>
    <x v="0"/>
    <n v="4"/>
    <n v="1"/>
    <n v="0.14000000000000001"/>
    <n v="0.1212"/>
    <n v="0.5"/>
    <n v="0.32840000000000003"/>
    <n v="3"/>
    <n v="3"/>
    <s v="Saturday"/>
    <x v="1"/>
    <n v="0"/>
  </r>
  <r>
    <d v="2011-10-09T00:00:00"/>
    <n v="1"/>
    <n v="0"/>
    <n v="1"/>
    <n v="4"/>
    <x v="0"/>
    <n v="4"/>
    <n v="1"/>
    <n v="0.14000000000000001"/>
    <n v="0.1212"/>
    <n v="0.5"/>
    <n v="0.25369999999999998"/>
    <n v="4"/>
    <n v="4"/>
    <s v="Sunday"/>
    <x v="1"/>
    <n v="0"/>
  </r>
  <r>
    <d v="2011-10-10T00:00:00"/>
    <n v="1"/>
    <n v="0"/>
    <n v="1"/>
    <n v="5"/>
    <x v="0"/>
    <n v="4"/>
    <n v="1"/>
    <n v="0.14000000000000001"/>
    <n v="0.1212"/>
    <n v="0.5"/>
    <n v="0.29849999999999999"/>
    <n v="3"/>
    <n v="3"/>
    <s v="Monday"/>
    <x v="1"/>
    <n v="0"/>
  </r>
  <r>
    <d v="2011-10-11T00:00:00"/>
    <n v="1"/>
    <n v="0"/>
    <n v="1"/>
    <n v="6"/>
    <x v="0"/>
    <n v="4"/>
    <n v="1"/>
    <n v="0.12"/>
    <n v="0.1515"/>
    <n v="0.54"/>
    <n v="0.1343"/>
    <n v="28"/>
    <n v="28"/>
    <s v="Tuesday"/>
    <x v="1"/>
    <n v="0"/>
  </r>
  <r>
    <d v="2011-10-12T00:00:00"/>
    <n v="1"/>
    <n v="0"/>
    <n v="1"/>
    <n v="7"/>
    <x v="0"/>
    <n v="4"/>
    <n v="1"/>
    <n v="0.12"/>
    <n v="0.1515"/>
    <n v="0.54"/>
    <n v="0.1343"/>
    <n v="72"/>
    <n v="72"/>
    <s v="Wednesday"/>
    <x v="1"/>
    <n v="0"/>
  </r>
  <r>
    <d v="2011-10-13T00:00:00"/>
    <n v="1"/>
    <n v="0"/>
    <n v="1"/>
    <n v="8"/>
    <x v="0"/>
    <n v="4"/>
    <n v="1"/>
    <n v="0.14000000000000001"/>
    <n v="0.13639999999999999"/>
    <n v="0.5"/>
    <n v="0.19400000000000001"/>
    <n v="197"/>
    <n v="202"/>
    <s v="Thursday"/>
    <x v="1"/>
    <n v="5"/>
  </r>
  <r>
    <d v="2011-10-14T00:00:00"/>
    <n v="1"/>
    <n v="0"/>
    <n v="1"/>
    <n v="9"/>
    <x v="0"/>
    <n v="4"/>
    <n v="1"/>
    <n v="0.14000000000000001"/>
    <n v="0.1212"/>
    <n v="0.5"/>
    <n v="0.32840000000000003"/>
    <n v="137"/>
    <n v="139"/>
    <s v="Friday"/>
    <x v="1"/>
    <n v="2"/>
  </r>
  <r>
    <d v="2011-10-15T00:00:00"/>
    <n v="1"/>
    <n v="0"/>
    <n v="1"/>
    <n v="10"/>
    <x v="0"/>
    <n v="4"/>
    <n v="2"/>
    <n v="0.16"/>
    <n v="0.13639999999999999"/>
    <n v="0.5"/>
    <n v="0.35820000000000002"/>
    <n v="36"/>
    <n v="38"/>
    <s v="Saturday"/>
    <x v="1"/>
    <n v="2"/>
  </r>
  <r>
    <d v="2011-10-16T00:00:00"/>
    <n v="1"/>
    <n v="0"/>
    <n v="1"/>
    <n v="11"/>
    <x v="0"/>
    <n v="4"/>
    <n v="2"/>
    <n v="0.2"/>
    <n v="0.16669999999999999"/>
    <n v="0.44"/>
    <n v="0.44779999999999998"/>
    <n v="33"/>
    <n v="37"/>
    <s v="Sunday"/>
    <x v="1"/>
    <n v="4"/>
  </r>
  <r>
    <d v="2011-10-17T00:00:00"/>
    <n v="1"/>
    <n v="0"/>
    <n v="1"/>
    <n v="12"/>
    <x v="0"/>
    <n v="4"/>
    <n v="1"/>
    <n v="0.2"/>
    <n v="0.16669999999999999"/>
    <n v="0.44"/>
    <n v="0.41789999999999999"/>
    <n v="49"/>
    <n v="52"/>
    <s v="Monday"/>
    <x v="1"/>
    <n v="3"/>
  </r>
  <r>
    <d v="2011-10-18T00:00:00"/>
    <n v="1"/>
    <n v="0"/>
    <n v="1"/>
    <n v="13"/>
    <x v="0"/>
    <n v="4"/>
    <n v="1"/>
    <n v="0.22"/>
    <n v="0.19700000000000001"/>
    <n v="0.41"/>
    <n v="0.44779999999999998"/>
    <n v="81"/>
    <n v="83"/>
    <s v="Tuesday"/>
    <x v="1"/>
    <n v="2"/>
  </r>
  <r>
    <d v="2011-10-19T00:00:00"/>
    <n v="1"/>
    <n v="0"/>
    <n v="1"/>
    <n v="14"/>
    <x v="0"/>
    <n v="4"/>
    <n v="1"/>
    <n v="0.22"/>
    <n v="0.19700000000000001"/>
    <n v="0.41"/>
    <n v="0.3881"/>
    <n v="39"/>
    <n v="42"/>
    <s v="Wednesday"/>
    <x v="1"/>
    <n v="3"/>
  </r>
  <r>
    <d v="2011-10-20T00:00:00"/>
    <n v="1"/>
    <n v="0"/>
    <n v="1"/>
    <n v="15"/>
    <x v="0"/>
    <n v="4"/>
    <n v="1"/>
    <n v="0.24"/>
    <n v="0.21210000000000001"/>
    <n v="0.38"/>
    <n v="0.29849999999999999"/>
    <n v="55"/>
    <n v="60"/>
    <s v="Thursday"/>
    <x v="0"/>
    <n v="5"/>
  </r>
  <r>
    <d v="2011-10-21T00:00:00"/>
    <n v="1"/>
    <n v="0"/>
    <n v="1"/>
    <n v="16"/>
    <x v="0"/>
    <n v="4"/>
    <n v="1"/>
    <n v="0.24"/>
    <n v="0.21210000000000001"/>
    <n v="0.38"/>
    <n v="0.35820000000000002"/>
    <n v="76"/>
    <n v="78"/>
    <s v="Friday"/>
    <x v="0"/>
    <n v="2"/>
  </r>
  <r>
    <d v="2011-10-22T00:00:00"/>
    <n v="1"/>
    <n v="0"/>
    <n v="1"/>
    <n v="17"/>
    <x v="0"/>
    <n v="4"/>
    <n v="1"/>
    <n v="0.2"/>
    <n v="0.18179999999999999"/>
    <n v="0.4"/>
    <n v="0.28360000000000002"/>
    <n v="158"/>
    <n v="162"/>
    <s v="Saturday"/>
    <x v="1"/>
    <n v="4"/>
  </r>
  <r>
    <d v="2011-10-23T00:00:00"/>
    <n v="1"/>
    <n v="0"/>
    <n v="1"/>
    <n v="18"/>
    <x v="0"/>
    <n v="4"/>
    <n v="1"/>
    <n v="0.2"/>
    <n v="0.18179999999999999"/>
    <n v="0.4"/>
    <n v="0.32840000000000003"/>
    <n v="141"/>
    <n v="144"/>
    <s v="Sunday"/>
    <x v="1"/>
    <n v="3"/>
  </r>
  <r>
    <d v="2011-10-24T00:00:00"/>
    <n v="1"/>
    <n v="0"/>
    <n v="1"/>
    <n v="19"/>
    <x v="0"/>
    <n v="4"/>
    <n v="1"/>
    <n v="0.16"/>
    <n v="0.1515"/>
    <n v="0.47"/>
    <n v="0.25369999999999998"/>
    <n v="98"/>
    <n v="99"/>
    <s v="Monday"/>
    <x v="1"/>
    <n v="1"/>
  </r>
  <r>
    <d v="2011-10-25T00:00:00"/>
    <n v="1"/>
    <n v="0"/>
    <n v="1"/>
    <n v="20"/>
    <x v="0"/>
    <n v="4"/>
    <n v="1"/>
    <n v="0.16"/>
    <n v="0.1515"/>
    <n v="0.47"/>
    <n v="0.22389999999999999"/>
    <n v="64"/>
    <n v="64"/>
    <s v="Tuesday"/>
    <x v="1"/>
    <n v="0"/>
  </r>
  <r>
    <d v="2011-10-26T00:00:00"/>
    <n v="1"/>
    <n v="0"/>
    <n v="1"/>
    <n v="21"/>
    <x v="0"/>
    <n v="4"/>
    <n v="1"/>
    <n v="0.14000000000000001"/>
    <n v="0.1212"/>
    <n v="0.46"/>
    <n v="0.29849999999999999"/>
    <n v="40"/>
    <n v="40"/>
    <s v="Wednesday"/>
    <x v="1"/>
    <n v="0"/>
  </r>
  <r>
    <d v="2011-10-27T00:00:00"/>
    <n v="1"/>
    <n v="0"/>
    <n v="1"/>
    <n v="22"/>
    <x v="0"/>
    <n v="4"/>
    <n v="1"/>
    <n v="0.14000000000000001"/>
    <n v="0.1212"/>
    <n v="0.46"/>
    <n v="0.32840000000000003"/>
    <n v="30"/>
    <n v="30"/>
    <s v="Thursday"/>
    <x v="1"/>
    <n v="0"/>
  </r>
  <r>
    <d v="2011-10-28T00:00:00"/>
    <n v="1"/>
    <n v="0"/>
    <n v="1"/>
    <n v="23"/>
    <x v="0"/>
    <n v="4"/>
    <n v="1"/>
    <n v="0.12"/>
    <n v="0.13639999999999999"/>
    <n v="0.5"/>
    <n v="0.19400000000000001"/>
    <n v="14"/>
    <n v="15"/>
    <s v="Friday"/>
    <x v="1"/>
    <n v="1"/>
  </r>
  <r>
    <d v="2011-10-29T00:00:00"/>
    <n v="1"/>
    <n v="0"/>
    <n v="1"/>
    <n v="0"/>
    <x v="0"/>
    <n v="5"/>
    <n v="1"/>
    <n v="0.12"/>
    <n v="0.13639999999999999"/>
    <n v="0.5"/>
    <n v="0.19400000000000001"/>
    <n v="14"/>
    <n v="14"/>
    <s v="Saturday"/>
    <x v="1"/>
    <n v="0"/>
  </r>
  <r>
    <d v="2011-10-30T00:00:00"/>
    <n v="1"/>
    <n v="0"/>
    <n v="1"/>
    <n v="1"/>
    <x v="0"/>
    <n v="5"/>
    <n v="1"/>
    <n v="0.1"/>
    <n v="0.1212"/>
    <n v="0.54"/>
    <n v="0.16420000000000001"/>
    <n v="5"/>
    <n v="5"/>
    <s v="Sunday"/>
    <x v="1"/>
    <n v="0"/>
  </r>
  <r>
    <d v="2011-10-31T00:00:00"/>
    <n v="1"/>
    <n v="0"/>
    <n v="1"/>
    <n v="2"/>
    <x v="0"/>
    <n v="5"/>
    <n v="1"/>
    <n v="0.1"/>
    <n v="0.1212"/>
    <n v="0.54"/>
    <n v="0.1343"/>
    <n v="1"/>
    <n v="1"/>
    <s v="Monday"/>
    <x v="1"/>
    <n v="0"/>
  </r>
  <r>
    <d v="2011-11-01T00:00:00"/>
    <n v="1"/>
    <n v="0"/>
    <n v="1"/>
    <n v="3"/>
    <x v="0"/>
    <n v="5"/>
    <n v="1"/>
    <n v="0.1"/>
    <n v="0.13639999999999999"/>
    <n v="0.54"/>
    <n v="0.1045"/>
    <n v="1"/>
    <n v="1"/>
    <s v="Tuesday"/>
    <x v="1"/>
    <n v="0"/>
  </r>
  <r>
    <d v="2011-11-02T00:00:00"/>
    <n v="1"/>
    <n v="0"/>
    <n v="1"/>
    <n v="5"/>
    <x v="0"/>
    <n v="5"/>
    <n v="1"/>
    <n v="0.1"/>
    <n v="0.13639999999999999"/>
    <n v="0.54"/>
    <n v="8.9599999999999999E-2"/>
    <n v="8"/>
    <n v="8"/>
    <s v="Wednesday"/>
    <x v="1"/>
    <n v="0"/>
  </r>
  <r>
    <d v="2011-11-03T00:00:00"/>
    <n v="1"/>
    <n v="0"/>
    <n v="1"/>
    <n v="6"/>
    <x v="0"/>
    <n v="5"/>
    <n v="1"/>
    <n v="0.1"/>
    <n v="0.18179999999999999"/>
    <n v="0.54"/>
    <n v="0"/>
    <n v="17"/>
    <n v="17"/>
    <s v="Thursday"/>
    <x v="1"/>
    <n v="0"/>
  </r>
  <r>
    <d v="2011-11-04T00:00:00"/>
    <n v="1"/>
    <n v="0"/>
    <n v="1"/>
    <n v="7"/>
    <x v="0"/>
    <n v="5"/>
    <n v="1"/>
    <n v="0.1"/>
    <n v="0.1212"/>
    <n v="0.74"/>
    <n v="0.16420000000000001"/>
    <n v="70"/>
    <n v="70"/>
    <s v="Friday"/>
    <x v="1"/>
    <n v="0"/>
  </r>
  <r>
    <d v="2011-11-05T00:00:00"/>
    <n v="1"/>
    <n v="0"/>
    <n v="1"/>
    <n v="8"/>
    <x v="0"/>
    <n v="5"/>
    <n v="1"/>
    <n v="0.12"/>
    <n v="0.16669999999999999"/>
    <n v="0.68"/>
    <n v="0"/>
    <n v="156"/>
    <n v="158"/>
    <s v="Saturday"/>
    <x v="1"/>
    <n v="2"/>
  </r>
  <r>
    <d v="2011-11-06T00:00:00"/>
    <n v="1"/>
    <n v="0"/>
    <n v="1"/>
    <n v="9"/>
    <x v="0"/>
    <n v="5"/>
    <n v="1"/>
    <n v="0.14000000000000001"/>
    <n v="0.1515"/>
    <n v="0.69"/>
    <n v="0.1343"/>
    <n v="117"/>
    <n v="117"/>
    <s v="Sunday"/>
    <x v="1"/>
    <n v="0"/>
  </r>
  <r>
    <d v="2011-11-07T00:00:00"/>
    <n v="1"/>
    <n v="0"/>
    <n v="1"/>
    <n v="10"/>
    <x v="0"/>
    <n v="5"/>
    <n v="1"/>
    <n v="0.18"/>
    <n v="0.18179999999999999"/>
    <n v="0.55000000000000004"/>
    <n v="0.19400000000000001"/>
    <n v="40"/>
    <n v="44"/>
    <s v="Monday"/>
    <x v="1"/>
    <n v="4"/>
  </r>
  <r>
    <d v="2011-11-08T00:00:00"/>
    <n v="1"/>
    <n v="0"/>
    <n v="1"/>
    <n v="11"/>
    <x v="0"/>
    <n v="5"/>
    <n v="1"/>
    <n v="0.18"/>
    <n v="0.16669999999999999"/>
    <n v="0.51"/>
    <n v="0.28360000000000002"/>
    <n v="47"/>
    <n v="53"/>
    <s v="Tuesday"/>
    <x v="1"/>
    <n v="6"/>
  </r>
  <r>
    <d v="2011-11-09T00:00:00"/>
    <n v="1"/>
    <n v="0"/>
    <n v="1"/>
    <n v="12"/>
    <x v="0"/>
    <n v="5"/>
    <n v="1"/>
    <n v="0.2"/>
    <n v="0.19700000000000001"/>
    <n v="0.44"/>
    <n v="0.25369999999999998"/>
    <n v="59"/>
    <n v="61"/>
    <s v="Wednesday"/>
    <x v="1"/>
    <n v="2"/>
  </r>
  <r>
    <d v="2011-11-10T00:00:00"/>
    <n v="1"/>
    <n v="0"/>
    <n v="1"/>
    <n v="13"/>
    <x v="0"/>
    <n v="5"/>
    <n v="1"/>
    <n v="0.22"/>
    <n v="0.19700000000000001"/>
    <n v="0.37"/>
    <n v="0.3881"/>
    <n v="73"/>
    <n v="77"/>
    <s v="Thursday"/>
    <x v="1"/>
    <n v="4"/>
  </r>
  <r>
    <d v="2011-11-11T00:00:00"/>
    <n v="1"/>
    <n v="0"/>
    <n v="1"/>
    <n v="14"/>
    <x v="0"/>
    <n v="5"/>
    <n v="1"/>
    <n v="0.22"/>
    <n v="0.21210000000000001"/>
    <n v="0.41"/>
    <n v="0.28360000000000002"/>
    <n v="59"/>
    <n v="64"/>
    <s v="Friday"/>
    <x v="1"/>
    <n v="5"/>
  </r>
  <r>
    <d v="2011-11-12T00:00:00"/>
    <n v="1"/>
    <n v="0"/>
    <n v="1"/>
    <n v="15"/>
    <x v="0"/>
    <n v="5"/>
    <n v="1"/>
    <n v="0.24"/>
    <n v="0.2424"/>
    <n v="0.38"/>
    <n v="0.16420000000000001"/>
    <n v="59"/>
    <n v="68"/>
    <s v="Saturday"/>
    <x v="0"/>
    <n v="9"/>
  </r>
  <r>
    <d v="2011-11-13T00:00:00"/>
    <n v="1"/>
    <n v="0"/>
    <n v="1"/>
    <n v="16"/>
    <x v="0"/>
    <n v="5"/>
    <n v="1"/>
    <n v="0.22"/>
    <n v="0.2424"/>
    <n v="0.41"/>
    <n v="0.1045"/>
    <n v="87"/>
    <n v="90"/>
    <s v="Sunday"/>
    <x v="1"/>
    <n v="3"/>
  </r>
  <r>
    <d v="2011-11-14T00:00:00"/>
    <n v="1"/>
    <n v="0"/>
    <n v="1"/>
    <n v="17"/>
    <x v="0"/>
    <n v="5"/>
    <n v="1"/>
    <n v="0.22"/>
    <n v="0.2273"/>
    <n v="0.41"/>
    <n v="0.16420000000000001"/>
    <n v="155"/>
    <n v="159"/>
    <s v="Monday"/>
    <x v="1"/>
    <n v="4"/>
  </r>
  <r>
    <d v="2011-11-15T00:00:00"/>
    <n v="1"/>
    <n v="0"/>
    <n v="1"/>
    <n v="18"/>
    <x v="0"/>
    <n v="5"/>
    <n v="1"/>
    <n v="0.2"/>
    <n v="0.2576"/>
    <n v="0.47"/>
    <n v="0"/>
    <n v="134"/>
    <n v="139"/>
    <s v="Tuesday"/>
    <x v="1"/>
    <n v="5"/>
  </r>
  <r>
    <d v="2011-11-16T00:00:00"/>
    <n v="1"/>
    <n v="0"/>
    <n v="1"/>
    <n v="19"/>
    <x v="0"/>
    <n v="5"/>
    <n v="1"/>
    <n v="0.16"/>
    <n v="0.19700000000000001"/>
    <n v="0.59"/>
    <n v="8.9599999999999999E-2"/>
    <n v="89"/>
    <n v="92"/>
    <s v="Wednesday"/>
    <x v="1"/>
    <n v="3"/>
  </r>
  <r>
    <d v="2011-11-17T00:00:00"/>
    <n v="1"/>
    <n v="0"/>
    <n v="1"/>
    <n v="20"/>
    <x v="0"/>
    <n v="5"/>
    <n v="1"/>
    <n v="0.18"/>
    <n v="0.2424"/>
    <n v="0.59"/>
    <n v="0"/>
    <n v="68"/>
    <n v="68"/>
    <s v="Thursday"/>
    <x v="1"/>
    <n v="0"/>
  </r>
  <r>
    <d v="2011-11-18T00:00:00"/>
    <n v="1"/>
    <n v="0"/>
    <n v="1"/>
    <n v="21"/>
    <x v="0"/>
    <n v="5"/>
    <n v="1"/>
    <n v="0.16"/>
    <n v="0.2273"/>
    <n v="0.69"/>
    <n v="0"/>
    <n v="48"/>
    <n v="52"/>
    <s v="Friday"/>
    <x v="1"/>
    <n v="4"/>
  </r>
  <r>
    <d v="2011-11-19T00:00:00"/>
    <n v="1"/>
    <n v="0"/>
    <n v="1"/>
    <n v="22"/>
    <x v="0"/>
    <n v="5"/>
    <n v="2"/>
    <n v="0.16"/>
    <n v="0.2273"/>
    <n v="0.69"/>
    <n v="0"/>
    <n v="34"/>
    <n v="36"/>
    <s v="Saturday"/>
    <x v="1"/>
    <n v="2"/>
  </r>
  <r>
    <d v="2011-11-20T00:00:00"/>
    <n v="1"/>
    <n v="0"/>
    <n v="1"/>
    <n v="23"/>
    <x v="0"/>
    <n v="5"/>
    <n v="2"/>
    <n v="0.18"/>
    <n v="0.2424"/>
    <n v="0.55000000000000004"/>
    <n v="0"/>
    <n v="26"/>
    <n v="27"/>
    <s v="Sunday"/>
    <x v="1"/>
    <n v="1"/>
  </r>
  <r>
    <d v="2011-11-21T00:00:00"/>
    <n v="1"/>
    <n v="0"/>
    <n v="1"/>
    <n v="0"/>
    <x v="0"/>
    <n v="6"/>
    <n v="1"/>
    <n v="0.18"/>
    <n v="0.2424"/>
    <n v="0.55000000000000004"/>
    <n v="0"/>
    <n v="25"/>
    <n v="28"/>
    <s v="Monday"/>
    <x v="1"/>
    <n v="3"/>
  </r>
  <r>
    <d v="2011-11-22T00:00:00"/>
    <n v="1"/>
    <n v="0"/>
    <n v="1"/>
    <n v="1"/>
    <x v="0"/>
    <n v="6"/>
    <n v="2"/>
    <n v="0.16"/>
    <n v="0.19700000000000001"/>
    <n v="0.59"/>
    <n v="8.9599999999999999E-2"/>
    <n v="18"/>
    <n v="20"/>
    <s v="Tuesday"/>
    <x v="1"/>
    <n v="2"/>
  </r>
  <r>
    <d v="2011-11-23T00:00:00"/>
    <n v="1"/>
    <n v="0"/>
    <n v="1"/>
    <n v="2"/>
    <x v="0"/>
    <n v="6"/>
    <n v="2"/>
    <n v="0.16"/>
    <n v="0.19700000000000001"/>
    <n v="0.59"/>
    <n v="8.9599999999999999E-2"/>
    <n v="12"/>
    <n v="12"/>
    <s v="Wednesday"/>
    <x v="1"/>
    <n v="0"/>
  </r>
  <r>
    <d v="2011-11-24T00:00:00"/>
    <n v="1"/>
    <n v="0"/>
    <n v="1"/>
    <n v="3"/>
    <x v="0"/>
    <n v="6"/>
    <n v="2"/>
    <n v="0.16"/>
    <n v="0.2273"/>
    <n v="0.59"/>
    <n v="0"/>
    <n v="7"/>
    <n v="8"/>
    <s v="Thursday"/>
    <x v="1"/>
    <n v="1"/>
  </r>
  <r>
    <d v="2011-11-25T00:00:00"/>
    <n v="1"/>
    <n v="0"/>
    <n v="1"/>
    <n v="4"/>
    <x v="0"/>
    <n v="6"/>
    <n v="2"/>
    <n v="0.16"/>
    <n v="0.2273"/>
    <n v="0.59"/>
    <n v="0"/>
    <n v="5"/>
    <n v="5"/>
    <s v="Friday"/>
    <x v="1"/>
    <n v="0"/>
  </r>
  <r>
    <d v="2011-11-26T00:00:00"/>
    <n v="1"/>
    <n v="0"/>
    <n v="1"/>
    <n v="5"/>
    <x v="0"/>
    <n v="6"/>
    <n v="1"/>
    <n v="0.16"/>
    <n v="0.2273"/>
    <n v="0.59"/>
    <n v="0"/>
    <n v="1"/>
    <n v="1"/>
    <s v="Saturday"/>
    <x v="1"/>
    <n v="0"/>
  </r>
  <r>
    <d v="2011-11-27T00:00:00"/>
    <n v="1"/>
    <n v="0"/>
    <n v="1"/>
    <n v="6"/>
    <x v="0"/>
    <n v="6"/>
    <n v="1"/>
    <n v="0.14000000000000001"/>
    <n v="0.16669999999999999"/>
    <n v="0.63"/>
    <n v="0.1045"/>
    <n v="2"/>
    <n v="3"/>
    <s v="Sunday"/>
    <x v="1"/>
    <n v="1"/>
  </r>
  <r>
    <d v="2011-11-28T00:00:00"/>
    <n v="1"/>
    <n v="0"/>
    <n v="1"/>
    <n v="7"/>
    <x v="0"/>
    <n v="6"/>
    <n v="1"/>
    <n v="0.14000000000000001"/>
    <n v="0.21210000000000001"/>
    <n v="0.63"/>
    <n v="0"/>
    <n v="9"/>
    <n v="10"/>
    <s v="Monday"/>
    <x v="1"/>
    <n v="1"/>
  </r>
  <r>
    <d v="2011-11-29T00:00:00"/>
    <n v="1"/>
    <n v="0"/>
    <n v="1"/>
    <n v="8"/>
    <x v="0"/>
    <n v="6"/>
    <n v="1"/>
    <n v="0.14000000000000001"/>
    <n v="0.1515"/>
    <n v="0.63"/>
    <n v="0.1343"/>
    <n v="22"/>
    <n v="23"/>
    <s v="Tuesday"/>
    <x v="1"/>
    <n v="1"/>
  </r>
  <r>
    <d v="2011-11-30T00:00:00"/>
    <n v="1"/>
    <n v="0"/>
    <n v="1"/>
    <n v="9"/>
    <x v="0"/>
    <n v="6"/>
    <n v="1"/>
    <n v="0.16"/>
    <n v="0.18179999999999999"/>
    <n v="0.64"/>
    <n v="0.1343"/>
    <n v="31"/>
    <n v="33"/>
    <s v="Wednesday"/>
    <x v="1"/>
    <n v="2"/>
  </r>
  <r>
    <d v="2011-12-01T00:00:00"/>
    <n v="1"/>
    <n v="0"/>
    <n v="1"/>
    <n v="10"/>
    <x v="0"/>
    <n v="6"/>
    <n v="1"/>
    <n v="0.18"/>
    <n v="0.19700000000000001"/>
    <n v="0.59"/>
    <n v="0.16420000000000001"/>
    <n v="57"/>
    <n v="59"/>
    <s v="Thursday"/>
    <x v="1"/>
    <n v="2"/>
  </r>
  <r>
    <d v="2011-12-02T00:00:00"/>
    <n v="1"/>
    <n v="0"/>
    <n v="1"/>
    <n v="11"/>
    <x v="0"/>
    <n v="6"/>
    <n v="1"/>
    <n v="0.2"/>
    <n v="0.19700000000000001"/>
    <n v="0.55000000000000004"/>
    <n v="0.22389999999999999"/>
    <n v="54"/>
    <n v="72"/>
    <s v="Friday"/>
    <x v="1"/>
    <n v="18"/>
  </r>
  <r>
    <d v="2011-12-03T00:00:00"/>
    <n v="1"/>
    <n v="0"/>
    <n v="1"/>
    <n v="12"/>
    <x v="0"/>
    <n v="6"/>
    <n v="1"/>
    <n v="0.24"/>
    <n v="0.2273"/>
    <n v="0.48"/>
    <n v="0.22389999999999999"/>
    <n v="74"/>
    <n v="89"/>
    <s v="Saturday"/>
    <x v="0"/>
    <n v="15"/>
  </r>
  <r>
    <d v="2011-12-04T00:00:00"/>
    <n v="1"/>
    <n v="0"/>
    <n v="1"/>
    <n v="13"/>
    <x v="0"/>
    <n v="6"/>
    <n v="1"/>
    <n v="0.28000000000000003"/>
    <n v="0.2576"/>
    <n v="0.38"/>
    <n v="0.29849999999999999"/>
    <n v="80"/>
    <n v="101"/>
    <s v="Sunday"/>
    <x v="0"/>
    <n v="21"/>
  </r>
  <r>
    <d v="2011-12-05T00:00:00"/>
    <n v="1"/>
    <n v="0"/>
    <n v="1"/>
    <n v="14"/>
    <x v="0"/>
    <n v="6"/>
    <n v="1"/>
    <n v="0.3"/>
    <n v="0.28789999999999999"/>
    <n v="0.39"/>
    <n v="0.28360000000000002"/>
    <n v="92"/>
    <n v="118"/>
    <s v="Monday"/>
    <x v="0"/>
    <n v="26"/>
  </r>
  <r>
    <d v="2011-12-06T00:00:00"/>
    <n v="1"/>
    <n v="0"/>
    <n v="1"/>
    <n v="15"/>
    <x v="0"/>
    <n v="6"/>
    <n v="2"/>
    <n v="0.32"/>
    <n v="0.31819999999999998"/>
    <n v="0.36"/>
    <n v="0.19400000000000001"/>
    <n v="108"/>
    <n v="129"/>
    <s v="Tuesday"/>
    <x v="0"/>
    <n v="21"/>
  </r>
  <r>
    <d v="2011-12-07T00:00:00"/>
    <n v="1"/>
    <n v="0"/>
    <n v="1"/>
    <n v="16"/>
    <x v="0"/>
    <n v="6"/>
    <n v="2"/>
    <n v="0.34"/>
    <n v="0.33329999999999999"/>
    <n v="0.34"/>
    <n v="0.19400000000000001"/>
    <n v="95"/>
    <n v="128"/>
    <s v="Wednesday"/>
    <x v="0"/>
    <n v="33"/>
  </r>
  <r>
    <d v="2011-12-08T00:00:00"/>
    <n v="1"/>
    <n v="0"/>
    <n v="1"/>
    <n v="17"/>
    <x v="0"/>
    <n v="6"/>
    <n v="2"/>
    <n v="0.32"/>
    <n v="0.30299999999999999"/>
    <n v="0.36"/>
    <n v="0.28360000000000002"/>
    <n v="54"/>
    <n v="83"/>
    <s v="Thursday"/>
    <x v="0"/>
    <n v="29"/>
  </r>
  <r>
    <d v="2011-12-09T00:00:00"/>
    <n v="1"/>
    <n v="0"/>
    <n v="1"/>
    <n v="18"/>
    <x v="0"/>
    <n v="6"/>
    <n v="2"/>
    <n v="0.3"/>
    <n v="0.28789999999999999"/>
    <n v="0.45"/>
    <n v="0.25369999999999998"/>
    <n v="69"/>
    <n v="84"/>
    <s v="Friday"/>
    <x v="0"/>
    <n v="15"/>
  </r>
  <r>
    <d v="2011-12-10T00:00:00"/>
    <n v="1"/>
    <n v="0"/>
    <n v="1"/>
    <n v="19"/>
    <x v="0"/>
    <n v="6"/>
    <n v="2"/>
    <n v="0.32"/>
    <n v="0.30299999999999999"/>
    <n v="0.39"/>
    <n v="0.25369999999999998"/>
    <n v="60"/>
    <n v="74"/>
    <s v="Saturday"/>
    <x v="0"/>
    <n v="14"/>
  </r>
  <r>
    <d v="2011-12-11T00:00:00"/>
    <n v="1"/>
    <n v="0"/>
    <n v="1"/>
    <n v="20"/>
    <x v="0"/>
    <n v="6"/>
    <n v="2"/>
    <n v="0.32"/>
    <n v="0.30299999999999999"/>
    <n v="0.39"/>
    <n v="0.25369999999999998"/>
    <n v="35"/>
    <n v="41"/>
    <s v="Sunday"/>
    <x v="0"/>
    <n v="6"/>
  </r>
  <r>
    <d v="2011-12-12T00:00:00"/>
    <n v="1"/>
    <n v="0"/>
    <n v="1"/>
    <n v="21"/>
    <x v="0"/>
    <n v="6"/>
    <n v="2"/>
    <n v="0.32"/>
    <n v="0.30299999999999999"/>
    <n v="0.39"/>
    <n v="0.22389999999999999"/>
    <n v="51"/>
    <n v="57"/>
    <s v="Monday"/>
    <x v="0"/>
    <n v="6"/>
  </r>
  <r>
    <d v="2011-12-13T00:00:00"/>
    <n v="1"/>
    <n v="0"/>
    <n v="1"/>
    <n v="22"/>
    <x v="0"/>
    <n v="6"/>
    <n v="2"/>
    <n v="0.3"/>
    <n v="0.31819999999999998"/>
    <n v="0.42"/>
    <n v="0.1045"/>
    <n v="26"/>
    <n v="26"/>
    <s v="Tuesday"/>
    <x v="0"/>
    <n v="0"/>
  </r>
  <r>
    <d v="2011-12-14T00:00:00"/>
    <n v="1"/>
    <n v="0"/>
    <n v="1"/>
    <n v="23"/>
    <x v="0"/>
    <n v="6"/>
    <n v="1"/>
    <n v="0.3"/>
    <n v="0.28789999999999999"/>
    <n v="0.45"/>
    <n v="0.28360000000000002"/>
    <n v="39"/>
    <n v="44"/>
    <s v="Wednesday"/>
    <x v="0"/>
    <n v="5"/>
  </r>
  <r>
    <d v="2011-12-15T00:00:00"/>
    <n v="1"/>
    <n v="0"/>
    <n v="1"/>
    <n v="0"/>
    <x v="0"/>
    <n v="0"/>
    <n v="1"/>
    <n v="0.26"/>
    <n v="0.30299999999999999"/>
    <n v="0.56000000000000005"/>
    <n v="0"/>
    <n v="33"/>
    <n v="39"/>
    <s v="Thursday"/>
    <x v="0"/>
    <n v="6"/>
  </r>
  <r>
    <d v="2011-12-16T00:00:00"/>
    <n v="1"/>
    <n v="0"/>
    <n v="1"/>
    <n v="1"/>
    <x v="0"/>
    <n v="0"/>
    <n v="1"/>
    <n v="0.26"/>
    <n v="0.2727"/>
    <n v="0.56000000000000005"/>
    <n v="0.1343"/>
    <n v="19"/>
    <n v="23"/>
    <s v="Friday"/>
    <x v="0"/>
    <n v="4"/>
  </r>
  <r>
    <d v="2011-12-17T00:00:00"/>
    <n v="1"/>
    <n v="0"/>
    <n v="1"/>
    <n v="2"/>
    <x v="0"/>
    <n v="0"/>
    <n v="1"/>
    <n v="0.26"/>
    <n v="0.28789999999999999"/>
    <n v="0.56000000000000005"/>
    <n v="8.9599999999999999E-2"/>
    <n v="13"/>
    <n v="16"/>
    <s v="Saturday"/>
    <x v="0"/>
    <n v="3"/>
  </r>
  <r>
    <d v="2011-12-18T00:00:00"/>
    <n v="1"/>
    <n v="0"/>
    <n v="1"/>
    <n v="3"/>
    <x v="0"/>
    <n v="0"/>
    <n v="1"/>
    <n v="0.22"/>
    <n v="0.2727"/>
    <n v="0.69"/>
    <n v="0"/>
    <n v="6"/>
    <n v="15"/>
    <s v="Sunday"/>
    <x v="1"/>
    <n v="9"/>
  </r>
  <r>
    <d v="2011-12-19T00:00:00"/>
    <n v="1"/>
    <n v="0"/>
    <n v="1"/>
    <n v="4"/>
    <x v="0"/>
    <n v="0"/>
    <n v="1"/>
    <n v="0.26"/>
    <n v="0.2576"/>
    <n v="0.56000000000000005"/>
    <n v="0.16420000000000001"/>
    <n v="1"/>
    <n v="1"/>
    <s v="Monday"/>
    <x v="0"/>
    <n v="0"/>
  </r>
  <r>
    <d v="2011-12-20T00:00:00"/>
    <n v="1"/>
    <n v="0"/>
    <n v="1"/>
    <n v="5"/>
    <x v="0"/>
    <n v="0"/>
    <n v="2"/>
    <n v="0.26"/>
    <n v="0.2576"/>
    <n v="0.56000000000000005"/>
    <n v="0.16420000000000001"/>
    <n v="1"/>
    <n v="2"/>
    <s v="Tuesday"/>
    <x v="0"/>
    <n v="1"/>
  </r>
  <r>
    <d v="2011-12-21T00:00:00"/>
    <n v="1"/>
    <n v="0"/>
    <n v="1"/>
    <n v="6"/>
    <x v="0"/>
    <n v="0"/>
    <n v="2"/>
    <n v="0.26"/>
    <n v="0.2576"/>
    <n v="0.56000000000000005"/>
    <n v="0.16420000000000001"/>
    <n v="1"/>
    <n v="1"/>
    <s v="Wednesday"/>
    <x v="0"/>
    <n v="0"/>
  </r>
  <r>
    <d v="2011-12-22T00:00:00"/>
    <n v="1"/>
    <n v="0"/>
    <n v="1"/>
    <n v="7"/>
    <x v="0"/>
    <n v="0"/>
    <n v="2"/>
    <n v="0.24"/>
    <n v="0.21210000000000001"/>
    <n v="0.56000000000000005"/>
    <n v="0.29849999999999999"/>
    <n v="3"/>
    <n v="3"/>
    <s v="Thursday"/>
    <x v="0"/>
    <n v="0"/>
  </r>
  <r>
    <d v="2011-12-23T00:00:00"/>
    <n v="1"/>
    <n v="0"/>
    <n v="1"/>
    <n v="8"/>
    <x v="0"/>
    <n v="0"/>
    <n v="1"/>
    <n v="0.22"/>
    <n v="0.21210000000000001"/>
    <n v="0.55000000000000004"/>
    <n v="0.28360000000000002"/>
    <n v="18"/>
    <n v="18"/>
    <s v="Friday"/>
    <x v="1"/>
    <n v="0"/>
  </r>
  <r>
    <d v="2011-12-24T00:00:00"/>
    <n v="1"/>
    <n v="0"/>
    <n v="1"/>
    <n v="9"/>
    <x v="0"/>
    <n v="0"/>
    <n v="1"/>
    <n v="0.22"/>
    <n v="0.21210000000000001"/>
    <n v="0.51"/>
    <n v="0.25369999999999998"/>
    <n v="29"/>
    <n v="32"/>
    <s v="Saturday"/>
    <x v="1"/>
    <n v="3"/>
  </r>
  <r>
    <d v="2011-12-25T00:00:00"/>
    <n v="1"/>
    <n v="0"/>
    <n v="1"/>
    <n v="10"/>
    <x v="0"/>
    <n v="0"/>
    <n v="1"/>
    <n v="0.22"/>
    <n v="0.21210000000000001"/>
    <n v="0.51"/>
    <n v="0.28360000000000002"/>
    <n v="71"/>
    <n v="79"/>
    <s v="Sunday"/>
    <x v="1"/>
    <n v="8"/>
  </r>
  <r>
    <d v="2011-12-26T00:00:00"/>
    <n v="1"/>
    <n v="0"/>
    <n v="1"/>
    <n v="11"/>
    <x v="0"/>
    <n v="0"/>
    <n v="1"/>
    <n v="0.24"/>
    <n v="0.2273"/>
    <n v="0.44"/>
    <n v="0.25369999999999998"/>
    <n v="70"/>
    <n v="93"/>
    <s v="Monday"/>
    <x v="0"/>
    <n v="23"/>
  </r>
  <r>
    <d v="2011-12-27T00:00:00"/>
    <n v="1"/>
    <n v="0"/>
    <n v="1"/>
    <n v="12"/>
    <x v="0"/>
    <n v="0"/>
    <n v="1"/>
    <n v="0.24"/>
    <n v="0.21210000000000001"/>
    <n v="0.41"/>
    <n v="0.28360000000000002"/>
    <n v="75"/>
    <n v="104"/>
    <s v="Tuesday"/>
    <x v="0"/>
    <n v="29"/>
  </r>
  <r>
    <d v="2011-12-28T00:00:00"/>
    <n v="1"/>
    <n v="0"/>
    <n v="1"/>
    <n v="13"/>
    <x v="0"/>
    <n v="0"/>
    <n v="1"/>
    <n v="0.26"/>
    <n v="0.2273"/>
    <n v="0.35"/>
    <n v="0.29849999999999999"/>
    <n v="95"/>
    <n v="118"/>
    <s v="Wednesday"/>
    <x v="0"/>
    <n v="23"/>
  </r>
  <r>
    <d v="2011-12-29T00:00:00"/>
    <n v="1"/>
    <n v="0"/>
    <n v="1"/>
    <n v="14"/>
    <x v="0"/>
    <n v="0"/>
    <n v="1"/>
    <n v="0.28000000000000003"/>
    <n v="0.2727"/>
    <n v="0.36"/>
    <n v="0.25369999999999998"/>
    <n v="69"/>
    <n v="91"/>
    <s v="Thursday"/>
    <x v="0"/>
    <n v="22"/>
  </r>
  <r>
    <d v="2011-12-30T00:00:00"/>
    <n v="1"/>
    <n v="0"/>
    <n v="1"/>
    <n v="15"/>
    <x v="0"/>
    <n v="0"/>
    <n v="1"/>
    <n v="0.26"/>
    <n v="0.2424"/>
    <n v="0.38"/>
    <n v="0.25369999999999998"/>
    <n v="78"/>
    <n v="113"/>
    <s v="Friday"/>
    <x v="0"/>
    <n v="35"/>
  </r>
  <r>
    <d v="2011-12-31T00:00:00"/>
    <n v="1"/>
    <n v="0"/>
    <n v="1"/>
    <n v="16"/>
    <x v="0"/>
    <n v="0"/>
    <n v="1"/>
    <n v="0.24"/>
    <n v="0.2273"/>
    <n v="0.38"/>
    <n v="0.22389999999999999"/>
    <n v="77"/>
    <n v="99"/>
    <s v="Saturday"/>
    <x v="0"/>
    <n v="22"/>
  </r>
  <r>
    <d v="2012-01-01T00:00:00"/>
    <n v="1"/>
    <n v="0"/>
    <n v="1"/>
    <n v="17"/>
    <x v="0"/>
    <n v="0"/>
    <n v="1"/>
    <n v="0.22"/>
    <n v="0.21210000000000001"/>
    <n v="0.37"/>
    <n v="0.25369999999999998"/>
    <n v="82"/>
    <n v="105"/>
    <s v="Sunday"/>
    <x v="1"/>
    <n v="23"/>
  </r>
  <r>
    <d v="2012-01-02T00:00:00"/>
    <n v="1"/>
    <n v="0"/>
    <n v="1"/>
    <n v="18"/>
    <x v="0"/>
    <n v="0"/>
    <n v="1"/>
    <n v="0.2"/>
    <n v="0.21210000000000001"/>
    <n v="0.4"/>
    <n v="0.16420000000000001"/>
    <n v="56"/>
    <n v="67"/>
    <s v="Monday"/>
    <x v="1"/>
    <n v="11"/>
  </r>
  <r>
    <d v="2012-01-03T00:00:00"/>
    <n v="1"/>
    <n v="0"/>
    <n v="1"/>
    <n v="19"/>
    <x v="0"/>
    <n v="0"/>
    <n v="1"/>
    <n v="0.18"/>
    <n v="0.19700000000000001"/>
    <n v="0.47"/>
    <n v="0.1343"/>
    <n v="47"/>
    <n v="61"/>
    <s v="Tuesday"/>
    <x v="1"/>
    <n v="14"/>
  </r>
  <r>
    <d v="2012-01-04T00:00:00"/>
    <n v="1"/>
    <n v="0"/>
    <n v="1"/>
    <n v="20"/>
    <x v="0"/>
    <n v="0"/>
    <n v="1"/>
    <n v="0.18"/>
    <n v="0.19700000000000001"/>
    <n v="0.47"/>
    <n v="0.16420000000000001"/>
    <n v="50"/>
    <n v="57"/>
    <s v="Wednesday"/>
    <x v="1"/>
    <n v="7"/>
  </r>
  <r>
    <d v="2012-01-05T00:00:00"/>
    <n v="1"/>
    <n v="0"/>
    <n v="1"/>
    <n v="21"/>
    <x v="0"/>
    <n v="0"/>
    <n v="1"/>
    <n v="0.18"/>
    <n v="0.19700000000000001"/>
    <n v="0.51"/>
    <n v="0.16420000000000001"/>
    <n v="22"/>
    <n v="28"/>
    <s v="Thursday"/>
    <x v="1"/>
    <n v="6"/>
  </r>
  <r>
    <d v="2012-01-06T00:00:00"/>
    <n v="1"/>
    <n v="0"/>
    <n v="1"/>
    <n v="22"/>
    <x v="0"/>
    <n v="0"/>
    <n v="2"/>
    <n v="0.2"/>
    <n v="0.21210000000000001"/>
    <n v="0.49"/>
    <n v="0.1343"/>
    <n v="19"/>
    <n v="21"/>
    <s v="Friday"/>
    <x v="1"/>
    <n v="2"/>
  </r>
  <r>
    <d v="2012-01-07T00:00:00"/>
    <n v="1"/>
    <n v="0"/>
    <n v="1"/>
    <n v="23"/>
    <x v="0"/>
    <n v="0"/>
    <n v="2"/>
    <n v="0.2"/>
    <n v="0.2273"/>
    <n v="0.4"/>
    <n v="0.1045"/>
    <n v="18"/>
    <n v="18"/>
    <s v="Saturday"/>
    <x v="1"/>
    <n v="0"/>
  </r>
  <r>
    <d v="2012-01-08T00:00:00"/>
    <n v="1"/>
    <n v="0"/>
    <n v="1"/>
    <n v="0"/>
    <x v="1"/>
    <n v="1"/>
    <n v="2"/>
    <n v="0.2"/>
    <n v="0.19700000000000001"/>
    <n v="0.47"/>
    <n v="0.22389999999999999"/>
    <n v="16"/>
    <n v="17"/>
    <s v="Sunday"/>
    <x v="1"/>
    <n v="1"/>
  </r>
  <r>
    <d v="2012-01-09T00:00:00"/>
    <n v="1"/>
    <n v="0"/>
    <n v="1"/>
    <n v="1"/>
    <x v="1"/>
    <n v="1"/>
    <n v="2"/>
    <n v="0.2"/>
    <n v="0.19700000000000001"/>
    <n v="0.44"/>
    <n v="0.19400000000000001"/>
    <n v="15"/>
    <n v="16"/>
    <s v="Monday"/>
    <x v="1"/>
    <n v="1"/>
  </r>
  <r>
    <d v="2012-01-10T00:00:00"/>
    <n v="1"/>
    <n v="0"/>
    <n v="1"/>
    <n v="2"/>
    <x v="1"/>
    <n v="1"/>
    <n v="2"/>
    <n v="0.18"/>
    <n v="0.16669999999999999"/>
    <n v="0.43"/>
    <n v="0.25369999999999998"/>
    <n v="8"/>
    <n v="8"/>
    <s v="Tuesday"/>
    <x v="1"/>
    <n v="0"/>
  </r>
  <r>
    <d v="2012-01-11T00:00:00"/>
    <n v="1"/>
    <n v="0"/>
    <n v="1"/>
    <n v="3"/>
    <x v="1"/>
    <n v="1"/>
    <n v="2"/>
    <n v="0.18"/>
    <n v="0.18179999999999999"/>
    <n v="0.43"/>
    <n v="0.19400000000000001"/>
    <n v="2"/>
    <n v="2"/>
    <s v="Wednesday"/>
    <x v="1"/>
    <n v="0"/>
  </r>
  <r>
    <d v="2012-01-12T00:00:00"/>
    <n v="1"/>
    <n v="0"/>
    <n v="1"/>
    <n v="4"/>
    <x v="1"/>
    <n v="1"/>
    <n v="2"/>
    <n v="0.18"/>
    <n v="0.19700000000000001"/>
    <n v="0.43"/>
    <n v="0.1343"/>
    <n v="2"/>
    <n v="3"/>
    <s v="Thursday"/>
    <x v="1"/>
    <n v="1"/>
  </r>
  <r>
    <d v="2012-01-13T00:00:00"/>
    <n v="1"/>
    <n v="0"/>
    <n v="1"/>
    <n v="5"/>
    <x v="1"/>
    <n v="1"/>
    <n v="2"/>
    <n v="0.18"/>
    <n v="0.19700000000000001"/>
    <n v="0.43"/>
    <n v="0.16420000000000001"/>
    <n v="1"/>
    <n v="1"/>
    <s v="Friday"/>
    <x v="1"/>
    <n v="0"/>
  </r>
  <r>
    <d v="2012-01-14T00:00:00"/>
    <n v="1"/>
    <n v="0"/>
    <n v="1"/>
    <n v="6"/>
    <x v="1"/>
    <n v="1"/>
    <n v="2"/>
    <n v="0.18"/>
    <n v="0.18179999999999999"/>
    <n v="0.43"/>
    <n v="0.19400000000000001"/>
    <n v="5"/>
    <n v="5"/>
    <s v="Saturday"/>
    <x v="1"/>
    <n v="0"/>
  </r>
  <r>
    <d v="2012-01-15T00:00:00"/>
    <n v="1"/>
    <n v="0"/>
    <n v="1"/>
    <n v="7"/>
    <x v="1"/>
    <n v="1"/>
    <n v="2"/>
    <n v="0.16"/>
    <n v="0.18179999999999999"/>
    <n v="0.5"/>
    <n v="0.1343"/>
    <n v="9"/>
    <n v="13"/>
    <s v="Sunday"/>
    <x v="1"/>
    <n v="4"/>
  </r>
  <r>
    <d v="2012-01-16T00:00:00"/>
    <n v="1"/>
    <n v="0"/>
    <n v="1"/>
    <n v="8"/>
    <x v="1"/>
    <n v="1"/>
    <n v="2"/>
    <n v="0.16"/>
    <n v="0.1515"/>
    <n v="0.47"/>
    <n v="0.22389999999999999"/>
    <n v="30"/>
    <n v="33"/>
    <s v="Monday"/>
    <x v="1"/>
    <n v="3"/>
  </r>
  <r>
    <d v="2012-01-17T00:00:00"/>
    <n v="1"/>
    <n v="0"/>
    <n v="1"/>
    <n v="9"/>
    <x v="1"/>
    <n v="1"/>
    <n v="2"/>
    <n v="0.16"/>
    <n v="0.1515"/>
    <n v="0.47"/>
    <n v="0.22389999999999999"/>
    <n v="39"/>
    <n v="47"/>
    <s v="Tuesday"/>
    <x v="1"/>
    <n v="8"/>
  </r>
  <r>
    <d v="2012-01-18T00:00:00"/>
    <n v="1"/>
    <n v="0"/>
    <n v="1"/>
    <n v="10"/>
    <x v="1"/>
    <n v="1"/>
    <n v="2"/>
    <n v="0.16"/>
    <n v="0.1515"/>
    <n v="0.5"/>
    <n v="0.25369999999999998"/>
    <n v="50"/>
    <n v="57"/>
    <s v="Wednesday"/>
    <x v="1"/>
    <n v="7"/>
  </r>
  <r>
    <d v="2012-01-19T00:00:00"/>
    <n v="1"/>
    <n v="0"/>
    <n v="1"/>
    <n v="11"/>
    <x v="1"/>
    <n v="1"/>
    <n v="2"/>
    <n v="0.16"/>
    <n v="0.1515"/>
    <n v="0.55000000000000004"/>
    <n v="0.19400000000000001"/>
    <n v="55"/>
    <n v="64"/>
    <s v="Thursday"/>
    <x v="1"/>
    <n v="9"/>
  </r>
  <r>
    <d v="2012-01-20T00:00:00"/>
    <n v="1"/>
    <n v="0"/>
    <n v="1"/>
    <n v="12"/>
    <x v="1"/>
    <n v="1"/>
    <n v="2"/>
    <n v="0.18"/>
    <n v="0.19700000000000001"/>
    <n v="0.47"/>
    <n v="0.1343"/>
    <n v="70"/>
    <n v="80"/>
    <s v="Friday"/>
    <x v="1"/>
    <n v="10"/>
  </r>
  <r>
    <d v="2012-01-21T00:00:00"/>
    <n v="1"/>
    <n v="0"/>
    <n v="1"/>
    <n v="13"/>
    <x v="1"/>
    <n v="1"/>
    <n v="2"/>
    <n v="0.18"/>
    <n v="0.19700000000000001"/>
    <n v="0.47"/>
    <n v="0.1343"/>
    <n v="80"/>
    <n v="93"/>
    <s v="Saturday"/>
    <x v="1"/>
    <n v="13"/>
  </r>
  <r>
    <d v="2012-01-22T00:00:00"/>
    <n v="1"/>
    <n v="0"/>
    <n v="1"/>
    <n v="14"/>
    <x v="1"/>
    <n v="1"/>
    <n v="2"/>
    <n v="0.18"/>
    <n v="0.21210000000000001"/>
    <n v="0.43"/>
    <n v="0.1045"/>
    <n v="74"/>
    <n v="86"/>
    <s v="Sunday"/>
    <x v="1"/>
    <n v="12"/>
  </r>
  <r>
    <d v="2012-01-23T00:00:00"/>
    <n v="1"/>
    <n v="0"/>
    <n v="1"/>
    <n v="15"/>
    <x v="1"/>
    <n v="1"/>
    <n v="2"/>
    <n v="0.2"/>
    <n v="0.21210000000000001"/>
    <n v="0.47"/>
    <n v="0.16420000000000001"/>
    <n v="72"/>
    <n v="93"/>
    <s v="Monday"/>
    <x v="1"/>
    <n v="21"/>
  </r>
  <r>
    <d v="2012-01-24T00:00:00"/>
    <n v="1"/>
    <n v="0"/>
    <n v="1"/>
    <n v="16"/>
    <x v="1"/>
    <n v="1"/>
    <n v="2"/>
    <n v="0.2"/>
    <n v="0.21210000000000001"/>
    <n v="0.47"/>
    <n v="0.16420000000000001"/>
    <n v="76"/>
    <n v="82"/>
    <s v="Tuesday"/>
    <x v="1"/>
    <n v="6"/>
  </r>
  <r>
    <d v="2012-01-25T00:00:00"/>
    <n v="1"/>
    <n v="0"/>
    <n v="1"/>
    <n v="17"/>
    <x v="1"/>
    <n v="1"/>
    <n v="1"/>
    <n v="0.2"/>
    <n v="0.19700000000000001"/>
    <n v="0.51"/>
    <n v="0.19400000000000001"/>
    <n v="67"/>
    <n v="71"/>
    <s v="Wednesday"/>
    <x v="1"/>
    <n v="4"/>
  </r>
  <r>
    <d v="2012-01-26T00:00:00"/>
    <n v="1"/>
    <n v="0"/>
    <n v="1"/>
    <n v="18"/>
    <x v="1"/>
    <n v="1"/>
    <n v="2"/>
    <n v="0.18"/>
    <n v="0.16669999999999999"/>
    <n v="0.55000000000000004"/>
    <n v="0.25369999999999998"/>
    <n v="85"/>
    <n v="92"/>
    <s v="Thursday"/>
    <x v="1"/>
    <n v="7"/>
  </r>
  <r>
    <d v="2012-01-27T00:00:00"/>
    <n v="1"/>
    <n v="0"/>
    <n v="1"/>
    <n v="19"/>
    <x v="1"/>
    <n v="1"/>
    <n v="3"/>
    <n v="0.18"/>
    <n v="0.18179999999999999"/>
    <n v="0.59"/>
    <n v="0.19400000000000001"/>
    <n v="58"/>
    <n v="60"/>
    <s v="Friday"/>
    <x v="1"/>
    <n v="2"/>
  </r>
  <r>
    <d v="2012-01-28T00:00:00"/>
    <n v="1"/>
    <n v="0"/>
    <n v="1"/>
    <n v="20"/>
    <x v="1"/>
    <n v="1"/>
    <n v="3"/>
    <n v="0.16"/>
    <n v="0.1515"/>
    <n v="0.8"/>
    <n v="0.19400000000000001"/>
    <n v="29"/>
    <n v="33"/>
    <s v="Saturday"/>
    <x v="1"/>
    <n v="4"/>
  </r>
  <r>
    <d v="2012-01-29T00:00:00"/>
    <n v="1"/>
    <n v="0"/>
    <n v="1"/>
    <n v="21"/>
    <x v="1"/>
    <n v="1"/>
    <n v="3"/>
    <n v="0.16"/>
    <n v="0.1515"/>
    <n v="0.8"/>
    <n v="0.19400000000000001"/>
    <n v="24"/>
    <n v="27"/>
    <s v="Sunday"/>
    <x v="1"/>
    <n v="3"/>
  </r>
  <r>
    <d v="2012-01-30T00:00:00"/>
    <n v="1"/>
    <n v="0"/>
    <n v="1"/>
    <n v="22"/>
    <x v="1"/>
    <n v="1"/>
    <n v="3"/>
    <n v="0.14000000000000001"/>
    <n v="0.1212"/>
    <n v="0.93"/>
    <n v="0.25369999999999998"/>
    <n v="13"/>
    <n v="13"/>
    <s v="Monday"/>
    <x v="1"/>
    <n v="0"/>
  </r>
  <r>
    <d v="2012-01-31T00:00:00"/>
    <n v="1"/>
    <n v="0"/>
    <n v="1"/>
    <n v="23"/>
    <x v="1"/>
    <n v="1"/>
    <n v="3"/>
    <n v="0.16"/>
    <n v="0.13639999999999999"/>
    <n v="0.86"/>
    <n v="0.28360000000000002"/>
    <n v="3"/>
    <n v="4"/>
    <s v="Tuesday"/>
    <x v="1"/>
    <n v="1"/>
  </r>
  <r>
    <d v="2012-02-01T00:00:00"/>
    <n v="1"/>
    <n v="0"/>
    <n v="1"/>
    <n v="12"/>
    <x v="0"/>
    <n v="2"/>
    <n v="2"/>
    <n v="0.2"/>
    <n v="0.18179999999999999"/>
    <n v="0.86"/>
    <n v="0.32840000000000003"/>
    <n v="3"/>
    <n v="3"/>
    <s v="Wednesday"/>
    <x v="1"/>
    <n v="0"/>
  </r>
  <r>
    <d v="2012-02-02T00:00:00"/>
    <n v="1"/>
    <n v="0"/>
    <n v="1"/>
    <n v="13"/>
    <x v="0"/>
    <n v="2"/>
    <n v="2"/>
    <n v="0.2"/>
    <n v="0.19700000000000001"/>
    <n v="0.86"/>
    <n v="0.22389999999999999"/>
    <n v="22"/>
    <n v="22"/>
    <s v="Thursday"/>
    <x v="1"/>
    <n v="0"/>
  </r>
  <r>
    <d v="2012-02-03T00:00:00"/>
    <n v="1"/>
    <n v="0"/>
    <n v="1"/>
    <n v="14"/>
    <x v="0"/>
    <n v="2"/>
    <n v="2"/>
    <n v="0.22"/>
    <n v="0.2273"/>
    <n v="0.8"/>
    <n v="0.16420000000000001"/>
    <n v="26"/>
    <n v="28"/>
    <s v="Friday"/>
    <x v="1"/>
    <n v="2"/>
  </r>
  <r>
    <d v="2012-02-04T00:00:00"/>
    <n v="1"/>
    <n v="0"/>
    <n v="1"/>
    <n v="15"/>
    <x v="0"/>
    <n v="2"/>
    <n v="2"/>
    <n v="0.22"/>
    <n v="0.2273"/>
    <n v="0.87"/>
    <n v="0.16420000000000001"/>
    <n v="32"/>
    <n v="35"/>
    <s v="Saturday"/>
    <x v="1"/>
    <n v="3"/>
  </r>
  <r>
    <d v="2012-02-05T00:00:00"/>
    <n v="1"/>
    <n v="0"/>
    <n v="1"/>
    <n v="16"/>
    <x v="0"/>
    <n v="2"/>
    <n v="2"/>
    <n v="0.22"/>
    <n v="0.2273"/>
    <n v="0.87"/>
    <n v="0.19400000000000001"/>
    <n v="61"/>
    <n v="61"/>
    <s v="Sunday"/>
    <x v="1"/>
    <n v="0"/>
  </r>
  <r>
    <d v="2012-02-06T00:00:00"/>
    <n v="1"/>
    <n v="0"/>
    <n v="1"/>
    <n v="17"/>
    <x v="0"/>
    <n v="2"/>
    <n v="2"/>
    <n v="0.22"/>
    <n v="0.2273"/>
    <n v="0.82"/>
    <n v="0.19400000000000001"/>
    <n v="124"/>
    <n v="125"/>
    <s v="Monday"/>
    <x v="1"/>
    <n v="1"/>
  </r>
  <r>
    <d v="2012-02-07T00:00:00"/>
    <n v="1"/>
    <n v="0"/>
    <n v="1"/>
    <n v="18"/>
    <x v="0"/>
    <n v="2"/>
    <n v="2"/>
    <n v="0.22"/>
    <n v="0.2273"/>
    <n v="0.8"/>
    <n v="0.16420000000000001"/>
    <n v="132"/>
    <n v="133"/>
    <s v="Tuesday"/>
    <x v="1"/>
    <n v="1"/>
  </r>
  <r>
    <d v="2012-02-08T00:00:00"/>
    <n v="1"/>
    <n v="0"/>
    <n v="1"/>
    <n v="19"/>
    <x v="0"/>
    <n v="2"/>
    <n v="2"/>
    <n v="0.22"/>
    <n v="0.2273"/>
    <n v="0.8"/>
    <n v="0.1343"/>
    <n v="98"/>
    <n v="99"/>
    <s v="Wednesday"/>
    <x v="1"/>
    <n v="1"/>
  </r>
  <r>
    <d v="2012-02-09T00:00:00"/>
    <n v="1"/>
    <n v="0"/>
    <n v="1"/>
    <n v="20"/>
    <x v="0"/>
    <n v="2"/>
    <n v="2"/>
    <n v="0.22"/>
    <n v="0.2727"/>
    <n v="0.87"/>
    <n v="0"/>
    <n v="83"/>
    <n v="83"/>
    <s v="Thursday"/>
    <x v="1"/>
    <n v="0"/>
  </r>
  <r>
    <d v="2012-02-10T00:00:00"/>
    <n v="1"/>
    <n v="0"/>
    <n v="1"/>
    <n v="21"/>
    <x v="0"/>
    <n v="2"/>
    <n v="2"/>
    <n v="0.22"/>
    <n v="0.2424"/>
    <n v="0.93"/>
    <n v="0.1045"/>
    <n v="41"/>
    <n v="41"/>
    <s v="Friday"/>
    <x v="1"/>
    <n v="0"/>
  </r>
  <r>
    <d v="2012-02-11T00:00:00"/>
    <n v="1"/>
    <n v="0"/>
    <n v="1"/>
    <n v="22"/>
    <x v="0"/>
    <n v="2"/>
    <n v="2"/>
    <n v="0.22"/>
    <n v="0.2576"/>
    <n v="0.93"/>
    <n v="8.9599999999999999E-2"/>
    <n v="33"/>
    <n v="33"/>
    <s v="Saturday"/>
    <x v="1"/>
    <n v="0"/>
  </r>
  <r>
    <d v="2012-02-12T00:00:00"/>
    <n v="1"/>
    <n v="0"/>
    <n v="1"/>
    <n v="23"/>
    <x v="0"/>
    <n v="2"/>
    <n v="2"/>
    <n v="0.22"/>
    <n v="0.2727"/>
    <n v="0.93"/>
    <n v="0"/>
    <n v="19"/>
    <n v="20"/>
    <s v="Sunday"/>
    <x v="1"/>
    <n v="1"/>
  </r>
  <r>
    <d v="2012-02-13T00:00:00"/>
    <n v="1"/>
    <n v="0"/>
    <n v="1"/>
    <n v="0"/>
    <x v="0"/>
    <n v="3"/>
    <n v="2"/>
    <n v="0.22"/>
    <n v="0.2727"/>
    <n v="0.93"/>
    <n v="0"/>
    <n v="3"/>
    <n v="3"/>
    <s v="Monday"/>
    <x v="1"/>
    <n v="0"/>
  </r>
  <r>
    <d v="2012-02-14T00:00:00"/>
    <n v="1"/>
    <n v="0"/>
    <n v="1"/>
    <n v="1"/>
    <x v="0"/>
    <n v="3"/>
    <n v="3"/>
    <n v="0.22"/>
    <n v="0.2273"/>
    <n v="0.93"/>
    <n v="0.1343"/>
    <n v="6"/>
    <n v="7"/>
    <s v="Tuesday"/>
    <x v="1"/>
    <n v="1"/>
  </r>
  <r>
    <d v="2012-02-15T00:00:00"/>
    <n v="1"/>
    <n v="0"/>
    <n v="1"/>
    <n v="2"/>
    <x v="0"/>
    <n v="3"/>
    <n v="3"/>
    <n v="0.22"/>
    <n v="0.2273"/>
    <n v="0.93"/>
    <n v="0.1343"/>
    <n v="3"/>
    <n v="3"/>
    <s v="Wednesday"/>
    <x v="1"/>
    <n v="0"/>
  </r>
  <r>
    <d v="2012-02-16T00:00:00"/>
    <n v="1"/>
    <n v="0"/>
    <n v="1"/>
    <n v="4"/>
    <x v="0"/>
    <n v="3"/>
    <n v="3"/>
    <n v="0.22"/>
    <n v="0.2273"/>
    <n v="0.93"/>
    <n v="0.1343"/>
    <n v="1"/>
    <n v="2"/>
    <s v="Thursday"/>
    <x v="1"/>
    <n v="1"/>
  </r>
  <r>
    <d v="2012-02-17T00:00:00"/>
    <n v="1"/>
    <n v="0"/>
    <n v="1"/>
    <n v="5"/>
    <x v="0"/>
    <n v="3"/>
    <n v="2"/>
    <n v="0.22"/>
    <n v="0.2576"/>
    <n v="0.93"/>
    <n v="8.9599999999999999E-2"/>
    <n v="7"/>
    <n v="7"/>
    <s v="Friday"/>
    <x v="1"/>
    <n v="0"/>
  </r>
  <r>
    <d v="2012-02-18T00:00:00"/>
    <n v="1"/>
    <n v="0"/>
    <n v="1"/>
    <n v="6"/>
    <x v="0"/>
    <n v="3"/>
    <n v="2"/>
    <n v="0.22"/>
    <n v="0.2576"/>
    <n v="0.93"/>
    <n v="8.9599999999999999E-2"/>
    <n v="32"/>
    <n v="32"/>
    <s v="Saturday"/>
    <x v="1"/>
    <n v="0"/>
  </r>
  <r>
    <d v="2012-02-19T00:00:00"/>
    <n v="1"/>
    <n v="0"/>
    <n v="1"/>
    <n v="7"/>
    <x v="0"/>
    <n v="3"/>
    <n v="2"/>
    <n v="0.24"/>
    <n v="0.2576"/>
    <n v="0.92"/>
    <n v="0.1045"/>
    <n v="89"/>
    <n v="90"/>
    <s v="Sunday"/>
    <x v="0"/>
    <n v="1"/>
  </r>
  <r>
    <d v="2012-02-20T00:00:00"/>
    <n v="1"/>
    <n v="0"/>
    <n v="1"/>
    <n v="8"/>
    <x v="0"/>
    <n v="3"/>
    <n v="2"/>
    <n v="0.24"/>
    <n v="0.2576"/>
    <n v="0.93"/>
    <n v="0.1045"/>
    <n v="196"/>
    <n v="197"/>
    <s v="Monday"/>
    <x v="0"/>
    <n v="1"/>
  </r>
  <r>
    <d v="2012-02-21T00:00:00"/>
    <n v="1"/>
    <n v="0"/>
    <n v="1"/>
    <n v="9"/>
    <x v="0"/>
    <n v="3"/>
    <n v="2"/>
    <n v="0.24"/>
    <n v="0.2576"/>
    <n v="0.93"/>
    <n v="0.1045"/>
    <n v="107"/>
    <n v="109"/>
    <s v="Tuesday"/>
    <x v="0"/>
    <n v="2"/>
  </r>
  <r>
    <d v="2012-02-22T00:00:00"/>
    <n v="1"/>
    <n v="0"/>
    <n v="1"/>
    <n v="10"/>
    <x v="0"/>
    <n v="3"/>
    <n v="2"/>
    <n v="0.26"/>
    <n v="0.2727"/>
    <n v="0.93"/>
    <n v="0.1343"/>
    <n v="46"/>
    <n v="47"/>
    <s v="Wednesday"/>
    <x v="0"/>
    <n v="1"/>
  </r>
  <r>
    <d v="2012-02-23T00:00:00"/>
    <n v="1"/>
    <n v="0"/>
    <n v="1"/>
    <n v="11"/>
    <x v="0"/>
    <n v="3"/>
    <n v="2"/>
    <n v="0.28000000000000003"/>
    <n v="0.30299999999999999"/>
    <n v="0.87"/>
    <n v="8.9599999999999999E-2"/>
    <n v="47"/>
    <n v="52"/>
    <s v="Thursday"/>
    <x v="0"/>
    <n v="5"/>
  </r>
  <r>
    <d v="2012-02-24T00:00:00"/>
    <n v="1"/>
    <n v="0"/>
    <n v="1"/>
    <n v="12"/>
    <x v="0"/>
    <n v="3"/>
    <n v="2"/>
    <n v="0.3"/>
    <n v="0.31819999999999998"/>
    <n v="0.81"/>
    <n v="8.9599999999999999E-2"/>
    <n v="65"/>
    <n v="70"/>
    <s v="Friday"/>
    <x v="0"/>
    <n v="5"/>
  </r>
  <r>
    <d v="2012-02-25T00:00:00"/>
    <n v="1"/>
    <n v="0"/>
    <n v="1"/>
    <n v="13"/>
    <x v="0"/>
    <n v="3"/>
    <n v="1"/>
    <n v="0.4"/>
    <n v="0.40910000000000002"/>
    <n v="0.62"/>
    <n v="0.28360000000000002"/>
    <n v="67"/>
    <n v="78"/>
    <s v="Saturday"/>
    <x v="0"/>
    <n v="11"/>
  </r>
  <r>
    <d v="2012-02-26T00:00:00"/>
    <n v="1"/>
    <n v="0"/>
    <n v="1"/>
    <n v="14"/>
    <x v="0"/>
    <n v="3"/>
    <n v="1"/>
    <n v="0.4"/>
    <n v="0.40910000000000002"/>
    <n v="0.57999999999999996"/>
    <n v="0.25369999999999998"/>
    <n v="68"/>
    <n v="75"/>
    <s v="Sunday"/>
    <x v="0"/>
    <n v="7"/>
  </r>
  <r>
    <d v="2012-02-27T00:00:00"/>
    <n v="1"/>
    <n v="0"/>
    <n v="1"/>
    <n v="15"/>
    <x v="0"/>
    <n v="3"/>
    <n v="1"/>
    <n v="0.4"/>
    <n v="0.40910000000000002"/>
    <n v="0.54"/>
    <n v="0.28360000000000002"/>
    <n v="78"/>
    <n v="82"/>
    <s v="Monday"/>
    <x v="0"/>
    <n v="4"/>
  </r>
  <r>
    <d v="2012-02-28T00:00:00"/>
    <n v="1"/>
    <n v="0"/>
    <n v="1"/>
    <n v="16"/>
    <x v="0"/>
    <n v="3"/>
    <n v="1"/>
    <n v="0.38"/>
    <n v="0.39389999999999997"/>
    <n v="0.57999999999999996"/>
    <n v="0.3881"/>
    <n v="94"/>
    <n v="104"/>
    <s v="Tuesday"/>
    <x v="0"/>
    <n v="10"/>
  </r>
  <r>
    <d v="2012-02-29T00:00:00"/>
    <n v="1"/>
    <n v="0"/>
    <n v="1"/>
    <n v="17"/>
    <x v="0"/>
    <n v="3"/>
    <n v="1"/>
    <n v="0.36"/>
    <n v="0.33329999999999999"/>
    <n v="0.56999999999999995"/>
    <n v="0.32840000000000003"/>
    <n v="190"/>
    <n v="197"/>
    <s v="Wednesday"/>
    <x v="0"/>
    <n v="7"/>
  </r>
  <r>
    <d v="2012-03-01T00:00:00"/>
    <n v="1"/>
    <n v="0"/>
    <n v="1"/>
    <n v="18"/>
    <x v="0"/>
    <n v="3"/>
    <n v="1"/>
    <n v="0.34"/>
    <n v="0.31819999999999998"/>
    <n v="0.61"/>
    <n v="0.28360000000000002"/>
    <n v="156"/>
    <n v="161"/>
    <s v="Thursday"/>
    <x v="0"/>
    <n v="5"/>
  </r>
  <r>
    <d v="2012-03-02T00:00:00"/>
    <n v="1"/>
    <n v="0"/>
    <n v="1"/>
    <n v="19"/>
    <x v="0"/>
    <n v="3"/>
    <n v="1"/>
    <n v="0.32"/>
    <n v="0.28789999999999999"/>
    <n v="0.56999999999999995"/>
    <n v="0.41789999999999999"/>
    <n v="108"/>
    <n v="112"/>
    <s v="Friday"/>
    <x v="0"/>
    <n v="4"/>
  </r>
  <r>
    <d v="2012-03-03T00:00:00"/>
    <n v="1"/>
    <n v="0"/>
    <n v="1"/>
    <n v="20"/>
    <x v="0"/>
    <n v="3"/>
    <n v="1"/>
    <n v="0.32"/>
    <n v="0.30299999999999999"/>
    <n v="0.49"/>
    <n v="0.29849999999999999"/>
    <n v="74"/>
    <n v="76"/>
    <s v="Saturday"/>
    <x v="0"/>
    <n v="2"/>
  </r>
  <r>
    <d v="2012-03-04T00:00:00"/>
    <n v="1"/>
    <n v="0"/>
    <n v="1"/>
    <n v="21"/>
    <x v="0"/>
    <n v="3"/>
    <n v="1"/>
    <n v="0.32"/>
    <n v="0.28789999999999999"/>
    <n v="0.49"/>
    <n v="0.41789999999999999"/>
    <n v="55"/>
    <n v="59"/>
    <s v="Sunday"/>
    <x v="0"/>
    <n v="4"/>
  </r>
  <r>
    <d v="2012-03-05T00:00:00"/>
    <n v="1"/>
    <n v="0"/>
    <n v="1"/>
    <n v="22"/>
    <x v="0"/>
    <n v="3"/>
    <n v="1"/>
    <n v="0.3"/>
    <n v="0.30299999999999999"/>
    <n v="0.52"/>
    <n v="0.16420000000000001"/>
    <n v="53"/>
    <n v="59"/>
    <s v="Monday"/>
    <x v="0"/>
    <n v="6"/>
  </r>
  <r>
    <d v="2012-03-06T00:00:00"/>
    <n v="1"/>
    <n v="0"/>
    <n v="1"/>
    <n v="23"/>
    <x v="0"/>
    <n v="3"/>
    <n v="1"/>
    <n v="0.3"/>
    <n v="0.2727"/>
    <n v="0.52"/>
    <n v="0.4627"/>
    <n v="27"/>
    <n v="28"/>
    <s v="Tuesday"/>
    <x v="0"/>
    <n v="1"/>
  </r>
  <r>
    <d v="2012-03-07T00:00:00"/>
    <n v="1"/>
    <n v="0"/>
    <n v="1"/>
    <n v="0"/>
    <x v="0"/>
    <n v="4"/>
    <n v="1"/>
    <n v="0.26"/>
    <n v="0.2273"/>
    <n v="0.56000000000000005"/>
    <n v="0.3881"/>
    <n v="8"/>
    <n v="13"/>
    <s v="Wednesday"/>
    <x v="0"/>
    <n v="5"/>
  </r>
  <r>
    <d v="2012-03-08T00:00:00"/>
    <n v="1"/>
    <n v="0"/>
    <n v="1"/>
    <n v="1"/>
    <x v="0"/>
    <n v="4"/>
    <n v="1"/>
    <n v="0.26"/>
    <n v="0.2727"/>
    <n v="0.56000000000000005"/>
    <n v="0"/>
    <n v="3"/>
    <n v="5"/>
    <s v="Thursday"/>
    <x v="0"/>
    <n v="2"/>
  </r>
  <r>
    <d v="2012-03-09T00:00:00"/>
    <n v="1"/>
    <n v="0"/>
    <n v="1"/>
    <n v="2"/>
    <x v="0"/>
    <n v="4"/>
    <n v="1"/>
    <n v="0.26"/>
    <n v="0.2727"/>
    <n v="0.56000000000000005"/>
    <n v="0"/>
    <n v="2"/>
    <n v="2"/>
    <s v="Friday"/>
    <x v="0"/>
    <n v="0"/>
  </r>
  <r>
    <d v="2012-03-10T00:00:00"/>
    <n v="1"/>
    <n v="0"/>
    <n v="1"/>
    <n v="3"/>
    <x v="0"/>
    <n v="4"/>
    <n v="1"/>
    <n v="0.26"/>
    <n v="0.2576"/>
    <n v="0.56000000000000005"/>
    <n v="0.16420000000000001"/>
    <n v="1"/>
    <n v="1"/>
    <s v="Saturday"/>
    <x v="0"/>
    <n v="0"/>
  </r>
  <r>
    <d v="2012-03-11T00:00:00"/>
    <n v="1"/>
    <n v="0"/>
    <n v="1"/>
    <n v="4"/>
    <x v="0"/>
    <n v="4"/>
    <n v="1"/>
    <n v="0.26"/>
    <n v="0.2576"/>
    <n v="0.56000000000000005"/>
    <n v="0.16420000000000001"/>
    <n v="1"/>
    <n v="1"/>
    <s v="Sunday"/>
    <x v="0"/>
    <n v="0"/>
  </r>
  <r>
    <d v="2012-03-12T00:00:00"/>
    <n v="1"/>
    <n v="0"/>
    <n v="1"/>
    <n v="5"/>
    <x v="0"/>
    <n v="4"/>
    <n v="1"/>
    <n v="0.24"/>
    <n v="0.2273"/>
    <n v="0.6"/>
    <n v="0.22389999999999999"/>
    <n v="6"/>
    <n v="6"/>
    <s v="Monday"/>
    <x v="0"/>
    <n v="0"/>
  </r>
  <r>
    <d v="2012-03-13T00:00:00"/>
    <n v="1"/>
    <n v="0"/>
    <n v="1"/>
    <n v="6"/>
    <x v="0"/>
    <n v="4"/>
    <n v="1"/>
    <n v="0.22"/>
    <n v="0.21210000000000001"/>
    <n v="0.6"/>
    <n v="0.22389999999999999"/>
    <n v="35"/>
    <n v="35"/>
    <s v="Tuesday"/>
    <x v="1"/>
    <n v="0"/>
  </r>
  <r>
    <d v="2012-03-14T00:00:00"/>
    <n v="1"/>
    <n v="0"/>
    <n v="1"/>
    <n v="7"/>
    <x v="0"/>
    <n v="4"/>
    <n v="1"/>
    <n v="0.22"/>
    <n v="0.21210000000000001"/>
    <n v="0.55000000000000004"/>
    <n v="0.22389999999999999"/>
    <n v="100"/>
    <n v="101"/>
    <s v="Wednesday"/>
    <x v="1"/>
    <n v="1"/>
  </r>
  <r>
    <d v="2012-03-15T00:00:00"/>
    <n v="1"/>
    <n v="0"/>
    <n v="1"/>
    <n v="8"/>
    <x v="0"/>
    <n v="4"/>
    <n v="1"/>
    <n v="0.22"/>
    <n v="0.21210000000000001"/>
    <n v="0.55000000000000004"/>
    <n v="0.28360000000000002"/>
    <n v="247"/>
    <n v="249"/>
    <s v="Thursday"/>
    <x v="1"/>
    <n v="2"/>
  </r>
  <r>
    <d v="2012-03-16T00:00:00"/>
    <n v="1"/>
    <n v="0"/>
    <n v="1"/>
    <n v="9"/>
    <x v="0"/>
    <n v="4"/>
    <n v="2"/>
    <n v="0.24"/>
    <n v="0.2273"/>
    <n v="0.52"/>
    <n v="0.22389999999999999"/>
    <n v="140"/>
    <n v="143"/>
    <s v="Friday"/>
    <x v="0"/>
    <n v="3"/>
  </r>
  <r>
    <d v="2012-03-17T00:00:00"/>
    <n v="1"/>
    <n v="0"/>
    <n v="1"/>
    <n v="10"/>
    <x v="0"/>
    <n v="4"/>
    <n v="1"/>
    <n v="0.26"/>
    <n v="0.2273"/>
    <n v="0.48"/>
    <n v="0.29849999999999999"/>
    <n v="56"/>
    <n v="57"/>
    <s v="Saturday"/>
    <x v="0"/>
    <n v="1"/>
  </r>
  <r>
    <d v="2012-03-18T00:00:00"/>
    <n v="1"/>
    <n v="0"/>
    <n v="1"/>
    <n v="11"/>
    <x v="0"/>
    <n v="4"/>
    <n v="2"/>
    <n v="0.28000000000000003"/>
    <n v="0.2727"/>
    <n v="0.45"/>
    <n v="0.16420000000000001"/>
    <n v="63"/>
    <n v="68"/>
    <s v="Sunday"/>
    <x v="0"/>
    <n v="5"/>
  </r>
  <r>
    <d v="2012-03-19T00:00:00"/>
    <n v="1"/>
    <n v="0"/>
    <n v="1"/>
    <n v="12"/>
    <x v="0"/>
    <n v="4"/>
    <n v="2"/>
    <n v="0.3"/>
    <n v="0.33329999999999999"/>
    <n v="0.42"/>
    <n v="0"/>
    <n v="77"/>
    <n v="84"/>
    <s v="Monday"/>
    <x v="0"/>
    <n v="7"/>
  </r>
  <r>
    <d v="2012-03-20T00:00:00"/>
    <n v="1"/>
    <n v="0"/>
    <n v="1"/>
    <n v="13"/>
    <x v="0"/>
    <n v="4"/>
    <n v="2"/>
    <n v="0.28000000000000003"/>
    <n v="0.28789999999999999"/>
    <n v="0.45"/>
    <n v="0.1045"/>
    <n v="86"/>
    <n v="98"/>
    <s v="Tuesday"/>
    <x v="0"/>
    <n v="12"/>
  </r>
  <r>
    <d v="2012-03-21T00:00:00"/>
    <n v="1"/>
    <n v="0"/>
    <n v="1"/>
    <n v="14"/>
    <x v="0"/>
    <n v="4"/>
    <n v="2"/>
    <n v="0.3"/>
    <n v="0.30299999999999999"/>
    <n v="0.45"/>
    <n v="0.1343"/>
    <n v="75"/>
    <n v="81"/>
    <s v="Wednesday"/>
    <x v="0"/>
    <n v="6"/>
  </r>
  <r>
    <d v="2012-03-22T00:00:00"/>
    <n v="1"/>
    <n v="0"/>
    <n v="1"/>
    <n v="15"/>
    <x v="0"/>
    <n v="4"/>
    <n v="2"/>
    <n v="0.32"/>
    <n v="0.31819999999999998"/>
    <n v="0.45"/>
    <n v="0.19400000000000001"/>
    <n v="62"/>
    <n v="70"/>
    <s v="Thursday"/>
    <x v="0"/>
    <n v="8"/>
  </r>
  <r>
    <d v="2012-03-23T00:00:00"/>
    <n v="1"/>
    <n v="0"/>
    <n v="1"/>
    <n v="16"/>
    <x v="0"/>
    <n v="4"/>
    <n v="2"/>
    <n v="0.3"/>
    <n v="0.30299999999999999"/>
    <n v="0.49"/>
    <n v="0.1343"/>
    <n v="83"/>
    <n v="91"/>
    <s v="Friday"/>
    <x v="0"/>
    <n v="8"/>
  </r>
  <r>
    <d v="2012-03-24T00:00:00"/>
    <n v="1"/>
    <n v="0"/>
    <n v="1"/>
    <n v="17"/>
    <x v="0"/>
    <n v="4"/>
    <n v="2"/>
    <n v="0.3"/>
    <n v="0.31819999999999998"/>
    <n v="0.49"/>
    <n v="0.1045"/>
    <n v="207"/>
    <n v="215"/>
    <s v="Saturday"/>
    <x v="0"/>
    <n v="8"/>
  </r>
  <r>
    <d v="2012-03-25T00:00:00"/>
    <n v="1"/>
    <n v="0"/>
    <n v="1"/>
    <n v="18"/>
    <x v="0"/>
    <n v="4"/>
    <n v="2"/>
    <n v="0.26"/>
    <n v="0.2576"/>
    <n v="0.56000000000000005"/>
    <n v="0.19400000000000001"/>
    <n v="184"/>
    <n v="185"/>
    <s v="Sunday"/>
    <x v="0"/>
    <n v="1"/>
  </r>
  <r>
    <d v="2012-03-26T00:00:00"/>
    <n v="1"/>
    <n v="0"/>
    <n v="1"/>
    <n v="19"/>
    <x v="0"/>
    <n v="4"/>
    <n v="1"/>
    <n v="0.26"/>
    <n v="0.2273"/>
    <n v="0.56000000000000005"/>
    <n v="0.32840000000000003"/>
    <n v="146"/>
    <n v="152"/>
    <s v="Monday"/>
    <x v="0"/>
    <n v="6"/>
  </r>
  <r>
    <d v="2012-03-27T00:00:00"/>
    <n v="1"/>
    <n v="0"/>
    <n v="1"/>
    <n v="20"/>
    <x v="0"/>
    <n v="4"/>
    <n v="2"/>
    <n v="0.26"/>
    <n v="0.2424"/>
    <n v="0.6"/>
    <n v="0.28360000000000002"/>
    <n v="124"/>
    <n v="126"/>
    <s v="Tuesday"/>
    <x v="0"/>
    <n v="2"/>
  </r>
  <r>
    <d v="2012-03-28T00:00:00"/>
    <n v="1"/>
    <n v="0"/>
    <n v="1"/>
    <n v="21"/>
    <x v="0"/>
    <n v="4"/>
    <n v="2"/>
    <n v="0.24"/>
    <n v="0.2273"/>
    <n v="0.6"/>
    <n v="0.25369999999999998"/>
    <n v="54"/>
    <n v="57"/>
    <s v="Wednesday"/>
    <x v="0"/>
    <n v="3"/>
  </r>
  <r>
    <d v="2012-03-29T00:00:00"/>
    <n v="1"/>
    <n v="0"/>
    <n v="1"/>
    <n v="22"/>
    <x v="0"/>
    <n v="4"/>
    <n v="2"/>
    <n v="0.24"/>
    <n v="0.21210000000000001"/>
    <n v="0.65"/>
    <n v="0.28360000000000002"/>
    <n v="56"/>
    <n v="56"/>
    <s v="Thursday"/>
    <x v="0"/>
    <n v="0"/>
  </r>
  <r>
    <d v="2012-03-30T00:00:00"/>
    <n v="1"/>
    <n v="0"/>
    <n v="1"/>
    <n v="23"/>
    <x v="0"/>
    <n v="4"/>
    <n v="2"/>
    <n v="0.24"/>
    <n v="0.21210000000000001"/>
    <n v="0.65"/>
    <n v="0.32840000000000003"/>
    <n v="28"/>
    <n v="31"/>
    <s v="Friday"/>
    <x v="0"/>
    <n v="3"/>
  </r>
  <r>
    <d v="2012-03-31T00:00:00"/>
    <n v="1"/>
    <n v="0"/>
    <n v="1"/>
    <n v="0"/>
    <x v="0"/>
    <n v="5"/>
    <n v="2"/>
    <n v="0.24"/>
    <n v="0.2273"/>
    <n v="0.7"/>
    <n v="0.25369999999999998"/>
    <n v="20"/>
    <n v="21"/>
    <s v="Saturday"/>
    <x v="0"/>
    <n v="1"/>
  </r>
  <r>
    <d v="2012-04-01T00:00:00"/>
    <n v="1"/>
    <n v="0"/>
    <n v="1"/>
    <n v="1"/>
    <x v="0"/>
    <n v="5"/>
    <n v="2"/>
    <n v="0.24"/>
    <n v="0.2273"/>
    <n v="0.7"/>
    <n v="0.25369999999999998"/>
    <n v="6"/>
    <n v="6"/>
    <s v="Sunday"/>
    <x v="0"/>
    <n v="0"/>
  </r>
  <r>
    <d v="2012-04-02T00:00:00"/>
    <n v="1"/>
    <n v="0"/>
    <n v="1"/>
    <n v="2"/>
    <x v="0"/>
    <n v="5"/>
    <n v="3"/>
    <n v="0.24"/>
    <n v="0.2424"/>
    <n v="0.75"/>
    <n v="0.16420000000000001"/>
    <n v="2"/>
    <n v="2"/>
    <s v="Monday"/>
    <x v="0"/>
    <n v="0"/>
  </r>
  <r>
    <d v="2012-04-03T00:00:00"/>
    <n v="1"/>
    <n v="0"/>
    <n v="1"/>
    <n v="3"/>
    <x v="0"/>
    <n v="5"/>
    <n v="3"/>
    <n v="0.22"/>
    <n v="0.21210000000000001"/>
    <n v="0.8"/>
    <n v="0.29849999999999999"/>
    <n v="1"/>
    <n v="1"/>
    <s v="Tuesday"/>
    <x v="1"/>
    <n v="0"/>
  </r>
  <r>
    <d v="2012-04-04T00:00:00"/>
    <n v="1"/>
    <n v="0"/>
    <n v="1"/>
    <n v="4"/>
    <x v="0"/>
    <n v="5"/>
    <n v="2"/>
    <n v="0.22"/>
    <n v="0.2576"/>
    <n v="0.87"/>
    <n v="8.9599999999999999E-2"/>
    <n v="1"/>
    <n v="1"/>
    <s v="Wednesday"/>
    <x v="1"/>
    <n v="0"/>
  </r>
  <r>
    <d v="2012-04-05T00:00:00"/>
    <n v="1"/>
    <n v="0"/>
    <n v="1"/>
    <n v="5"/>
    <x v="0"/>
    <n v="5"/>
    <n v="1"/>
    <n v="0.24"/>
    <n v="0.19700000000000001"/>
    <n v="0.6"/>
    <n v="0.41789999999999999"/>
    <n v="4"/>
    <n v="5"/>
    <s v="Thursday"/>
    <x v="0"/>
    <n v="1"/>
  </r>
  <r>
    <d v="2012-04-06T00:00:00"/>
    <n v="1"/>
    <n v="0"/>
    <n v="1"/>
    <n v="6"/>
    <x v="0"/>
    <n v="5"/>
    <n v="1"/>
    <n v="0.22"/>
    <n v="0.21210000000000001"/>
    <n v="0.55000000000000004"/>
    <n v="0.25369999999999998"/>
    <n v="27"/>
    <n v="27"/>
    <s v="Friday"/>
    <x v="1"/>
    <n v="0"/>
  </r>
  <r>
    <d v="2012-04-07T00:00:00"/>
    <n v="1"/>
    <n v="0"/>
    <n v="1"/>
    <n v="7"/>
    <x v="0"/>
    <n v="5"/>
    <n v="1"/>
    <n v="0.2"/>
    <n v="0.18179999999999999"/>
    <n v="0.51"/>
    <n v="0.28360000000000002"/>
    <n v="66"/>
    <n v="68"/>
    <s v="Saturday"/>
    <x v="1"/>
    <n v="2"/>
  </r>
  <r>
    <d v="2012-04-08T00:00:00"/>
    <n v="1"/>
    <n v="0"/>
    <n v="1"/>
    <n v="8"/>
    <x v="0"/>
    <n v="5"/>
    <n v="1"/>
    <n v="0.2"/>
    <n v="0.18179999999999999"/>
    <n v="0.47"/>
    <n v="0.32840000000000003"/>
    <n v="210"/>
    <n v="217"/>
    <s v="Sunday"/>
    <x v="1"/>
    <n v="7"/>
  </r>
  <r>
    <d v="2012-04-09T00:00:00"/>
    <n v="1"/>
    <n v="0"/>
    <n v="1"/>
    <n v="9"/>
    <x v="0"/>
    <n v="5"/>
    <n v="1"/>
    <n v="0.2"/>
    <n v="0.18179999999999999"/>
    <n v="0.51"/>
    <n v="0.35820000000000002"/>
    <n v="159"/>
    <n v="166"/>
    <s v="Monday"/>
    <x v="1"/>
    <n v="7"/>
  </r>
  <r>
    <d v="2012-04-10T00:00:00"/>
    <n v="1"/>
    <n v="0"/>
    <n v="1"/>
    <n v="10"/>
    <x v="0"/>
    <n v="5"/>
    <n v="1"/>
    <n v="0.2"/>
    <n v="0.16669999999999999"/>
    <n v="0.47"/>
    <n v="0.4627"/>
    <n v="57"/>
    <n v="63"/>
    <s v="Tuesday"/>
    <x v="1"/>
    <n v="6"/>
  </r>
  <r>
    <d v="2012-04-11T00:00:00"/>
    <n v="1"/>
    <n v="0"/>
    <n v="1"/>
    <n v="11"/>
    <x v="0"/>
    <n v="5"/>
    <n v="1"/>
    <n v="0.22"/>
    <n v="0.18179999999999999"/>
    <n v="0.41"/>
    <n v="0.4627"/>
    <n v="53"/>
    <n v="59"/>
    <s v="Wednesday"/>
    <x v="1"/>
    <n v="6"/>
  </r>
  <r>
    <d v="2012-04-12T00:00:00"/>
    <n v="1"/>
    <n v="0"/>
    <n v="1"/>
    <n v="12"/>
    <x v="0"/>
    <n v="5"/>
    <n v="1"/>
    <n v="0.22"/>
    <n v="0.18179999999999999"/>
    <n v="0.27"/>
    <n v="0.58209999999999995"/>
    <n v="67"/>
    <n v="78"/>
    <s v="Thursday"/>
    <x v="1"/>
    <n v="11"/>
  </r>
  <r>
    <d v="2012-04-13T00:00:00"/>
    <n v="1"/>
    <n v="0"/>
    <n v="1"/>
    <n v="13"/>
    <x v="0"/>
    <n v="5"/>
    <n v="1"/>
    <n v="0.2"/>
    <n v="0.1515"/>
    <n v="0.21"/>
    <n v="0.58209999999999995"/>
    <n v="65"/>
    <n v="73"/>
    <s v="Friday"/>
    <x v="1"/>
    <n v="8"/>
  </r>
  <r>
    <d v="2012-04-14T00:00:00"/>
    <n v="1"/>
    <n v="0"/>
    <n v="1"/>
    <n v="14"/>
    <x v="0"/>
    <n v="5"/>
    <n v="1"/>
    <n v="0.2"/>
    <n v="0.1515"/>
    <n v="0.25"/>
    <n v="0.52239999999999998"/>
    <n v="56"/>
    <n v="62"/>
    <s v="Saturday"/>
    <x v="1"/>
    <n v="6"/>
  </r>
  <r>
    <d v="2012-04-15T00:00:00"/>
    <n v="1"/>
    <n v="0"/>
    <n v="1"/>
    <n v="15"/>
    <x v="0"/>
    <n v="5"/>
    <n v="1"/>
    <n v="0.16"/>
    <n v="0.1212"/>
    <n v="0.26"/>
    <n v="0.44779999999999998"/>
    <n v="61"/>
    <n v="65"/>
    <s v="Sunday"/>
    <x v="1"/>
    <n v="4"/>
  </r>
  <r>
    <d v="2012-04-16T00:00:00"/>
    <n v="1"/>
    <n v="0"/>
    <n v="1"/>
    <n v="16"/>
    <x v="0"/>
    <n v="5"/>
    <n v="1"/>
    <n v="0.16"/>
    <n v="0.13639999999999999"/>
    <n v="0.26"/>
    <n v="0.35820000000000002"/>
    <n v="97"/>
    <n v="97"/>
    <s v="Monday"/>
    <x v="1"/>
    <n v="0"/>
  </r>
  <r>
    <d v="2012-04-17T00:00:00"/>
    <n v="1"/>
    <n v="0"/>
    <n v="1"/>
    <n v="17"/>
    <x v="0"/>
    <n v="5"/>
    <n v="1"/>
    <n v="0.14000000000000001"/>
    <n v="0.1212"/>
    <n v="0.28000000000000003"/>
    <n v="0.35820000000000002"/>
    <n v="151"/>
    <n v="161"/>
    <s v="Tuesday"/>
    <x v="1"/>
    <n v="10"/>
  </r>
  <r>
    <d v="2012-04-18T00:00:00"/>
    <n v="1"/>
    <n v="0"/>
    <n v="1"/>
    <n v="18"/>
    <x v="0"/>
    <n v="5"/>
    <n v="1"/>
    <n v="0.12"/>
    <n v="0.1212"/>
    <n v="0.3"/>
    <n v="0.25369999999999998"/>
    <n v="119"/>
    <n v="120"/>
    <s v="Wednesday"/>
    <x v="1"/>
    <n v="1"/>
  </r>
  <r>
    <d v="2012-04-19T00:00:00"/>
    <n v="1"/>
    <n v="0"/>
    <n v="1"/>
    <n v="19"/>
    <x v="0"/>
    <n v="5"/>
    <n v="1"/>
    <n v="0.12"/>
    <n v="0.1061"/>
    <n v="0.3"/>
    <n v="0.32840000000000003"/>
    <n v="93"/>
    <n v="96"/>
    <s v="Thursday"/>
    <x v="1"/>
    <n v="3"/>
  </r>
  <r>
    <d v="2012-04-20T00:00:00"/>
    <n v="1"/>
    <n v="0"/>
    <n v="1"/>
    <n v="20"/>
    <x v="0"/>
    <n v="5"/>
    <n v="1"/>
    <n v="0.1"/>
    <n v="7.5800000000000006E-2"/>
    <n v="0.33"/>
    <n v="0.41789999999999999"/>
    <n v="52"/>
    <n v="53"/>
    <s v="Friday"/>
    <x v="1"/>
    <n v="1"/>
  </r>
  <r>
    <d v="2012-04-21T00:00:00"/>
    <n v="1"/>
    <n v="0"/>
    <n v="1"/>
    <n v="21"/>
    <x v="0"/>
    <n v="5"/>
    <n v="1"/>
    <n v="0.08"/>
    <n v="7.5800000000000006E-2"/>
    <n v="0.38"/>
    <n v="0.28360000000000002"/>
    <n v="41"/>
    <n v="41"/>
    <s v="Saturday"/>
    <x v="1"/>
    <n v="0"/>
  </r>
  <r>
    <d v="2012-04-22T00:00:00"/>
    <n v="1"/>
    <n v="0"/>
    <n v="1"/>
    <n v="22"/>
    <x v="0"/>
    <n v="5"/>
    <n v="1"/>
    <n v="0.06"/>
    <n v="3.0300000000000001E-2"/>
    <n v="0.41"/>
    <n v="0.3881"/>
    <n v="33"/>
    <n v="34"/>
    <s v="Sunday"/>
    <x v="1"/>
    <n v="1"/>
  </r>
  <r>
    <d v="2012-04-23T00:00:00"/>
    <n v="1"/>
    <n v="0"/>
    <n v="1"/>
    <n v="23"/>
    <x v="0"/>
    <n v="5"/>
    <n v="1"/>
    <n v="0.06"/>
    <n v="4.5499999999999999E-2"/>
    <n v="0.38"/>
    <n v="0.32840000000000003"/>
    <n v="27"/>
    <n v="27"/>
    <s v="Monday"/>
    <x v="1"/>
    <n v="0"/>
  </r>
  <r>
    <d v="2012-04-24T00:00:00"/>
    <n v="1"/>
    <n v="0"/>
    <n v="1"/>
    <n v="0"/>
    <x v="0"/>
    <n v="6"/>
    <n v="1"/>
    <n v="0.04"/>
    <n v="3.0300000000000001E-2"/>
    <n v="0.45"/>
    <n v="0.25369999999999998"/>
    <n v="13"/>
    <n v="13"/>
    <s v="Tuesday"/>
    <x v="1"/>
    <n v="0"/>
  </r>
  <r>
    <d v="2012-04-25T00:00:00"/>
    <n v="1"/>
    <n v="0"/>
    <n v="1"/>
    <n v="1"/>
    <x v="0"/>
    <n v="6"/>
    <n v="2"/>
    <n v="0.04"/>
    <n v="0"/>
    <n v="0.41"/>
    <n v="0.3881"/>
    <n v="9"/>
    <n v="12"/>
    <s v="Wednesday"/>
    <x v="1"/>
    <n v="3"/>
  </r>
  <r>
    <d v="2012-04-26T00:00:00"/>
    <n v="1"/>
    <n v="0"/>
    <n v="1"/>
    <n v="2"/>
    <x v="0"/>
    <n v="6"/>
    <n v="2"/>
    <n v="0.04"/>
    <n v="3.0300000000000001E-2"/>
    <n v="0.41"/>
    <n v="0.25369999999999998"/>
    <n v="11"/>
    <n v="11"/>
    <s v="Thursday"/>
    <x v="1"/>
    <n v="0"/>
  </r>
  <r>
    <d v="2012-04-27T00:00:00"/>
    <n v="1"/>
    <n v="0"/>
    <n v="1"/>
    <n v="3"/>
    <x v="0"/>
    <n v="6"/>
    <n v="2"/>
    <n v="0.04"/>
    <n v="3.0300000000000001E-2"/>
    <n v="0.41"/>
    <n v="0.28360000000000002"/>
    <n v="6"/>
    <n v="7"/>
    <s v="Friday"/>
    <x v="1"/>
    <n v="1"/>
  </r>
  <r>
    <d v="2012-04-28T00:00:00"/>
    <n v="1"/>
    <n v="0"/>
    <n v="1"/>
    <n v="4"/>
    <x v="0"/>
    <n v="6"/>
    <n v="2"/>
    <n v="0.02"/>
    <n v="1.52E-2"/>
    <n v="0.48"/>
    <n v="0.29849999999999999"/>
    <n v="3"/>
    <n v="3"/>
    <s v="Saturday"/>
    <x v="1"/>
    <n v="0"/>
  </r>
  <r>
    <d v="2012-04-29T00:00:00"/>
    <n v="1"/>
    <n v="0"/>
    <n v="1"/>
    <n v="6"/>
    <x v="0"/>
    <n v="6"/>
    <n v="2"/>
    <n v="0.02"/>
    <n v="3.0300000000000001E-2"/>
    <n v="0.44"/>
    <n v="0.22389999999999999"/>
    <n v="2"/>
    <n v="2"/>
    <s v="Sunday"/>
    <x v="1"/>
    <n v="0"/>
  </r>
  <r>
    <d v="2012-04-30T00:00:00"/>
    <n v="1"/>
    <n v="0"/>
    <n v="1"/>
    <n v="7"/>
    <x v="0"/>
    <n v="6"/>
    <n v="1"/>
    <n v="0.02"/>
    <n v="1.52E-2"/>
    <n v="0.44"/>
    <n v="0.28360000000000002"/>
    <n v="8"/>
    <n v="8"/>
    <s v="Monday"/>
    <x v="1"/>
    <n v="0"/>
  </r>
  <r>
    <d v="2012-05-01T00:00:00"/>
    <n v="1"/>
    <n v="0"/>
    <n v="1"/>
    <n v="8"/>
    <x v="0"/>
    <n v="6"/>
    <n v="1"/>
    <n v="0.02"/>
    <n v="0"/>
    <n v="0.44"/>
    <n v="0.32840000000000003"/>
    <n v="26"/>
    <n v="27"/>
    <s v="Tuesday"/>
    <x v="1"/>
    <n v="1"/>
  </r>
  <r>
    <d v="2012-05-02T00:00:00"/>
    <n v="1"/>
    <n v="0"/>
    <n v="1"/>
    <n v="9"/>
    <x v="0"/>
    <n v="6"/>
    <n v="1"/>
    <n v="0.04"/>
    <n v="3.0300000000000001E-2"/>
    <n v="0.41"/>
    <n v="0.25369999999999998"/>
    <n v="37"/>
    <n v="40"/>
    <s v="Wednesday"/>
    <x v="1"/>
    <n v="3"/>
  </r>
  <r>
    <d v="2012-05-03T00:00:00"/>
    <n v="1"/>
    <n v="0"/>
    <n v="1"/>
    <n v="10"/>
    <x v="0"/>
    <n v="6"/>
    <n v="2"/>
    <n v="0.04"/>
    <n v="6.0600000000000001E-2"/>
    <n v="0.41"/>
    <n v="0.16420000000000001"/>
    <n v="50"/>
    <n v="53"/>
    <s v="Thursday"/>
    <x v="1"/>
    <n v="3"/>
  </r>
  <r>
    <d v="2012-05-04T00:00:00"/>
    <n v="1"/>
    <n v="0"/>
    <n v="1"/>
    <n v="11"/>
    <x v="0"/>
    <n v="6"/>
    <n v="2"/>
    <n v="0.06"/>
    <n v="7.5800000000000006E-2"/>
    <n v="0.38"/>
    <n v="0.1343"/>
    <n v="59"/>
    <n v="63"/>
    <s v="Friday"/>
    <x v="1"/>
    <n v="4"/>
  </r>
  <r>
    <d v="2012-05-05T00:00:00"/>
    <n v="1"/>
    <n v="0"/>
    <n v="1"/>
    <n v="12"/>
    <x v="0"/>
    <n v="6"/>
    <n v="2"/>
    <n v="0.06"/>
    <n v="0.1061"/>
    <n v="0.38"/>
    <n v="0.1045"/>
    <n v="60"/>
    <n v="70"/>
    <s v="Saturday"/>
    <x v="1"/>
    <n v="10"/>
  </r>
  <r>
    <d v="2012-05-06T00:00:00"/>
    <n v="1"/>
    <n v="0"/>
    <n v="1"/>
    <n v="13"/>
    <x v="0"/>
    <n v="6"/>
    <n v="1"/>
    <n v="0.08"/>
    <n v="0.16669999999999999"/>
    <n v="0.35"/>
    <n v="0"/>
    <n v="72"/>
    <n v="84"/>
    <s v="Sunday"/>
    <x v="1"/>
    <n v="12"/>
  </r>
  <r>
    <d v="2012-05-07T00:00:00"/>
    <n v="1"/>
    <n v="0"/>
    <n v="1"/>
    <n v="14"/>
    <x v="0"/>
    <n v="6"/>
    <n v="1"/>
    <n v="0.1"/>
    <n v="0.13639999999999999"/>
    <n v="0.33"/>
    <n v="0.1045"/>
    <n v="64"/>
    <n v="75"/>
    <s v="Monday"/>
    <x v="1"/>
    <n v="11"/>
  </r>
  <r>
    <d v="2012-05-08T00:00:00"/>
    <n v="1"/>
    <n v="0"/>
    <n v="1"/>
    <n v="15"/>
    <x v="0"/>
    <n v="6"/>
    <n v="1"/>
    <n v="0.12"/>
    <n v="0.1515"/>
    <n v="0.28000000000000003"/>
    <n v="0"/>
    <n v="93"/>
    <n v="103"/>
    <s v="Tuesday"/>
    <x v="1"/>
    <n v="10"/>
  </r>
  <r>
    <d v="2012-05-09T00:00:00"/>
    <n v="1"/>
    <n v="0"/>
    <n v="1"/>
    <n v="16"/>
    <x v="0"/>
    <n v="6"/>
    <n v="1"/>
    <n v="0.12"/>
    <n v="0.13639999999999999"/>
    <n v="0.28000000000000003"/>
    <n v="0.19400000000000001"/>
    <n v="72"/>
    <n v="83"/>
    <s v="Wednesday"/>
    <x v="1"/>
    <n v="11"/>
  </r>
  <r>
    <d v="2012-05-10T00:00:00"/>
    <n v="1"/>
    <n v="0"/>
    <n v="1"/>
    <n v="17"/>
    <x v="0"/>
    <n v="6"/>
    <n v="1"/>
    <n v="0.12"/>
    <n v="0.19700000000000001"/>
    <n v="0.28000000000000003"/>
    <n v="0"/>
    <n v="59"/>
    <n v="67"/>
    <s v="Thursday"/>
    <x v="1"/>
    <n v="8"/>
  </r>
  <r>
    <d v="2012-05-11T00:00:00"/>
    <n v="1"/>
    <n v="0"/>
    <n v="1"/>
    <n v="18"/>
    <x v="0"/>
    <n v="6"/>
    <n v="1"/>
    <n v="0.08"/>
    <n v="9.0899999999999995E-2"/>
    <n v="0.35"/>
    <n v="0.19400000000000001"/>
    <n v="54"/>
    <n v="54"/>
    <s v="Friday"/>
    <x v="1"/>
    <n v="0"/>
  </r>
  <r>
    <d v="2012-05-12T00:00:00"/>
    <n v="1"/>
    <n v="0"/>
    <n v="1"/>
    <n v="19"/>
    <x v="0"/>
    <n v="6"/>
    <n v="1"/>
    <n v="0.08"/>
    <n v="0.1061"/>
    <n v="0.35"/>
    <n v="0.1343"/>
    <n v="53"/>
    <n v="59"/>
    <s v="Saturday"/>
    <x v="1"/>
    <n v="6"/>
  </r>
  <r>
    <d v="2012-05-13T00:00:00"/>
    <n v="1"/>
    <n v="0"/>
    <n v="1"/>
    <n v="20"/>
    <x v="0"/>
    <n v="6"/>
    <n v="1"/>
    <n v="0.06"/>
    <n v="7.5800000000000006E-2"/>
    <n v="0.45"/>
    <n v="0.16420000000000001"/>
    <n v="44"/>
    <n v="45"/>
    <s v="Sunday"/>
    <x v="1"/>
    <n v="1"/>
  </r>
  <r>
    <d v="2012-05-14T00:00:00"/>
    <n v="1"/>
    <n v="0"/>
    <n v="1"/>
    <n v="21"/>
    <x v="0"/>
    <n v="6"/>
    <n v="1"/>
    <n v="0.06"/>
    <n v="0.1061"/>
    <n v="0.41"/>
    <n v="8.9599999999999999E-2"/>
    <n v="39"/>
    <n v="39"/>
    <s v="Monday"/>
    <x v="1"/>
    <n v="0"/>
  </r>
  <r>
    <d v="2012-05-15T00:00:00"/>
    <n v="1"/>
    <n v="0"/>
    <n v="1"/>
    <n v="22"/>
    <x v="0"/>
    <n v="6"/>
    <n v="1"/>
    <n v="0.06"/>
    <n v="0.1515"/>
    <n v="0.49"/>
    <n v="0"/>
    <n v="23"/>
    <n v="30"/>
    <s v="Tuesday"/>
    <x v="1"/>
    <n v="7"/>
  </r>
  <r>
    <d v="2012-05-16T00:00:00"/>
    <n v="1"/>
    <n v="0"/>
    <n v="1"/>
    <n v="23"/>
    <x v="0"/>
    <n v="6"/>
    <n v="1"/>
    <n v="0.04"/>
    <n v="7.5800000000000006E-2"/>
    <n v="0.56999999999999995"/>
    <n v="0.1045"/>
    <n v="31"/>
    <n v="33"/>
    <s v="Wednesday"/>
    <x v="1"/>
    <n v="2"/>
  </r>
  <r>
    <d v="2012-05-17T00:00:00"/>
    <n v="1"/>
    <n v="0"/>
    <n v="1"/>
    <n v="0"/>
    <x v="0"/>
    <n v="0"/>
    <n v="1"/>
    <n v="0.04"/>
    <n v="7.5800000000000006E-2"/>
    <n v="0.56999999999999995"/>
    <n v="0.1045"/>
    <n v="20"/>
    <n v="22"/>
    <s v="Thursday"/>
    <x v="1"/>
    <n v="2"/>
  </r>
  <r>
    <d v="2012-05-18T00:00:00"/>
    <n v="1"/>
    <n v="0"/>
    <n v="1"/>
    <n v="1"/>
    <x v="0"/>
    <n v="0"/>
    <n v="1"/>
    <n v="0.04"/>
    <n v="7.5800000000000006E-2"/>
    <n v="0.56999999999999995"/>
    <n v="0.1045"/>
    <n v="12"/>
    <n v="13"/>
    <s v="Friday"/>
    <x v="1"/>
    <n v="1"/>
  </r>
  <r>
    <d v="2012-05-19T00:00:00"/>
    <n v="1"/>
    <n v="0"/>
    <n v="1"/>
    <n v="2"/>
    <x v="0"/>
    <n v="0"/>
    <n v="1"/>
    <n v="0.02"/>
    <n v="6.0600000000000001E-2"/>
    <n v="0.62"/>
    <n v="0.1343"/>
    <n v="15"/>
    <n v="18"/>
    <s v="Saturday"/>
    <x v="1"/>
    <n v="3"/>
  </r>
  <r>
    <d v="2012-05-20T00:00:00"/>
    <n v="1"/>
    <n v="0"/>
    <n v="1"/>
    <n v="3"/>
    <x v="0"/>
    <n v="0"/>
    <n v="1"/>
    <n v="0.02"/>
    <n v="6.0600000000000001E-2"/>
    <n v="0.62"/>
    <n v="0.1343"/>
    <n v="4"/>
    <n v="5"/>
    <s v="Sunday"/>
    <x v="1"/>
    <n v="1"/>
  </r>
  <r>
    <d v="2012-05-21T00:00:00"/>
    <n v="1"/>
    <n v="0"/>
    <n v="1"/>
    <n v="5"/>
    <x v="0"/>
    <n v="0"/>
    <n v="2"/>
    <n v="0.04"/>
    <n v="7.5800000000000006E-2"/>
    <n v="0.56999999999999995"/>
    <n v="0.1045"/>
    <n v="3"/>
    <n v="3"/>
    <s v="Monday"/>
    <x v="1"/>
    <n v="0"/>
  </r>
  <r>
    <d v="2012-05-22T00:00:00"/>
    <n v="1"/>
    <n v="0"/>
    <n v="1"/>
    <n v="6"/>
    <x v="0"/>
    <n v="0"/>
    <n v="2"/>
    <n v="0.04"/>
    <n v="7.5800000000000006E-2"/>
    <n v="0.56999999999999995"/>
    <n v="0.1045"/>
    <n v="1"/>
    <n v="1"/>
    <s v="Tuesday"/>
    <x v="1"/>
    <n v="0"/>
  </r>
  <r>
    <d v="2012-05-23T00:00:00"/>
    <n v="1"/>
    <n v="0"/>
    <n v="1"/>
    <n v="7"/>
    <x v="0"/>
    <n v="0"/>
    <n v="1"/>
    <n v="0.08"/>
    <n v="0.1061"/>
    <n v="0.57999999999999996"/>
    <n v="0.16420000000000001"/>
    <n v="1"/>
    <n v="2"/>
    <s v="Wednesday"/>
    <x v="1"/>
    <n v="1"/>
  </r>
  <r>
    <d v="2012-05-24T00:00:00"/>
    <n v="1"/>
    <n v="0"/>
    <n v="1"/>
    <n v="8"/>
    <x v="0"/>
    <n v="0"/>
    <n v="1"/>
    <n v="0.06"/>
    <n v="7.5800000000000006E-2"/>
    <n v="0.62"/>
    <n v="0.16420000000000001"/>
    <n v="17"/>
    <n v="19"/>
    <s v="Thursday"/>
    <x v="1"/>
    <n v="2"/>
  </r>
  <r>
    <d v="2012-05-25T00:00:00"/>
    <n v="1"/>
    <n v="0"/>
    <n v="1"/>
    <n v="9"/>
    <x v="0"/>
    <n v="0"/>
    <n v="1"/>
    <n v="0.1"/>
    <n v="7.5800000000000006E-2"/>
    <n v="0.54"/>
    <n v="0.35820000000000002"/>
    <n v="25"/>
    <n v="28"/>
    <s v="Friday"/>
    <x v="1"/>
    <n v="3"/>
  </r>
  <r>
    <d v="2012-05-26T00:00:00"/>
    <n v="1"/>
    <n v="0"/>
    <n v="1"/>
    <n v="10"/>
    <x v="0"/>
    <n v="0"/>
    <n v="1"/>
    <n v="0.14000000000000001"/>
    <n v="0.1061"/>
    <n v="0.46"/>
    <n v="0.3881"/>
    <n v="51"/>
    <n v="58"/>
    <s v="Saturday"/>
    <x v="1"/>
    <n v="7"/>
  </r>
  <r>
    <d v="2012-05-27T00:00:00"/>
    <n v="1"/>
    <n v="0"/>
    <n v="1"/>
    <n v="11"/>
    <x v="0"/>
    <n v="0"/>
    <n v="1"/>
    <n v="0.14000000000000001"/>
    <n v="0.13639999999999999"/>
    <n v="0.43"/>
    <n v="0.22389999999999999"/>
    <n v="77"/>
    <n v="99"/>
    <s v="Sunday"/>
    <x v="1"/>
    <n v="22"/>
  </r>
  <r>
    <d v="2012-05-28T00:00:00"/>
    <n v="1"/>
    <n v="0"/>
    <n v="1"/>
    <n v="12"/>
    <x v="0"/>
    <n v="0"/>
    <n v="1"/>
    <n v="0.16"/>
    <n v="0.1212"/>
    <n v="0.37"/>
    <n v="0.4627"/>
    <n v="92"/>
    <n v="116"/>
    <s v="Monday"/>
    <x v="1"/>
    <n v="24"/>
  </r>
  <r>
    <d v="2012-05-29T00:00:00"/>
    <n v="1"/>
    <n v="0"/>
    <n v="1"/>
    <n v="13"/>
    <x v="0"/>
    <n v="0"/>
    <n v="1"/>
    <n v="0.14000000000000001"/>
    <n v="0.1061"/>
    <n v="0.33"/>
    <n v="0.3881"/>
    <n v="75"/>
    <n v="87"/>
    <s v="Tuesday"/>
    <x v="1"/>
    <n v="12"/>
  </r>
  <r>
    <d v="2012-05-30T00:00:00"/>
    <n v="1"/>
    <n v="0"/>
    <n v="1"/>
    <n v="14"/>
    <x v="0"/>
    <n v="0"/>
    <n v="1"/>
    <n v="0.16"/>
    <n v="0.13639999999999999"/>
    <n v="0.28000000000000003"/>
    <n v="0.35820000000000002"/>
    <n v="93"/>
    <n v="110"/>
    <s v="Wednesday"/>
    <x v="1"/>
    <n v="17"/>
  </r>
  <r>
    <d v="2012-05-31T00:00:00"/>
    <n v="1"/>
    <n v="0"/>
    <n v="1"/>
    <n v="15"/>
    <x v="0"/>
    <n v="0"/>
    <n v="1"/>
    <n v="0.16"/>
    <n v="0.13639999999999999"/>
    <n v="0.28000000000000003"/>
    <n v="0.35820000000000002"/>
    <n v="64"/>
    <n v="77"/>
    <s v="Thursday"/>
    <x v="1"/>
    <n v="13"/>
  </r>
  <r>
    <d v="2012-06-01T00:00:00"/>
    <n v="1"/>
    <n v="0"/>
    <n v="1"/>
    <n v="16"/>
    <x v="0"/>
    <n v="0"/>
    <n v="1"/>
    <n v="0.16"/>
    <n v="0.13639999999999999"/>
    <n v="0.26"/>
    <n v="0.32840000000000003"/>
    <n v="56"/>
    <n v="65"/>
    <s v="Friday"/>
    <x v="1"/>
    <n v="9"/>
  </r>
  <r>
    <d v="2012-06-02T00:00:00"/>
    <n v="1"/>
    <n v="0"/>
    <n v="1"/>
    <n v="17"/>
    <x v="0"/>
    <n v="0"/>
    <n v="1"/>
    <n v="0.14000000000000001"/>
    <n v="0.1061"/>
    <n v="0.26"/>
    <n v="0.3881"/>
    <n v="50"/>
    <n v="55"/>
    <s v="Saturday"/>
    <x v="1"/>
    <n v="5"/>
  </r>
  <r>
    <d v="2012-06-03T00:00:00"/>
    <n v="1"/>
    <n v="0"/>
    <n v="1"/>
    <n v="18"/>
    <x v="0"/>
    <n v="0"/>
    <n v="1"/>
    <n v="0.12"/>
    <n v="0.1212"/>
    <n v="0.3"/>
    <n v="0.25369999999999998"/>
    <n v="44"/>
    <n v="49"/>
    <s v="Sunday"/>
    <x v="1"/>
    <n v="5"/>
  </r>
  <r>
    <d v="2012-06-04T00:00:00"/>
    <n v="1"/>
    <n v="0"/>
    <n v="1"/>
    <n v="19"/>
    <x v="0"/>
    <n v="0"/>
    <n v="1"/>
    <n v="0.12"/>
    <n v="0.1212"/>
    <n v="0.3"/>
    <n v="0.28360000000000002"/>
    <n v="45"/>
    <n v="50"/>
    <s v="Monday"/>
    <x v="1"/>
    <n v="5"/>
  </r>
  <r>
    <d v="2012-06-05T00:00:00"/>
    <n v="1"/>
    <n v="0"/>
    <n v="1"/>
    <n v="20"/>
    <x v="0"/>
    <n v="0"/>
    <n v="1"/>
    <n v="0.1"/>
    <n v="0.1061"/>
    <n v="0.36"/>
    <n v="0.25369999999999998"/>
    <n v="31"/>
    <n v="35"/>
    <s v="Tuesday"/>
    <x v="1"/>
    <n v="4"/>
  </r>
  <r>
    <d v="2012-06-06T00:00:00"/>
    <n v="1"/>
    <n v="0"/>
    <n v="1"/>
    <n v="21"/>
    <x v="0"/>
    <n v="0"/>
    <n v="1"/>
    <n v="0.1"/>
    <n v="0.1061"/>
    <n v="0.36"/>
    <n v="0.19400000000000001"/>
    <n v="20"/>
    <n v="25"/>
    <s v="Wednesday"/>
    <x v="1"/>
    <n v="5"/>
  </r>
  <r>
    <d v="2012-06-07T00:00:00"/>
    <n v="1"/>
    <n v="0"/>
    <n v="1"/>
    <n v="22"/>
    <x v="0"/>
    <n v="0"/>
    <n v="1"/>
    <n v="0.08"/>
    <n v="9.0899999999999995E-2"/>
    <n v="0.38"/>
    <n v="0.19400000000000001"/>
    <n v="23"/>
    <n v="28"/>
    <s v="Thursday"/>
    <x v="1"/>
    <n v="5"/>
  </r>
  <r>
    <d v="2012-06-08T00:00:00"/>
    <n v="1"/>
    <n v="0"/>
    <n v="1"/>
    <n v="23"/>
    <x v="0"/>
    <n v="0"/>
    <n v="1"/>
    <n v="0.06"/>
    <n v="6.0600000000000001E-2"/>
    <n v="0.41"/>
    <n v="0.22389999999999999"/>
    <n v="17"/>
    <n v="21"/>
    <s v="Friday"/>
    <x v="1"/>
    <n v="4"/>
  </r>
  <r>
    <d v="2012-06-09T00:00:00"/>
    <n v="1"/>
    <n v="0"/>
    <n v="1"/>
    <n v="0"/>
    <x v="0"/>
    <n v="1"/>
    <n v="1"/>
    <n v="0.06"/>
    <n v="6.0600000000000001E-2"/>
    <n v="0.41"/>
    <n v="0.19400000000000001"/>
    <n v="7"/>
    <n v="7"/>
    <s v="Saturday"/>
    <x v="1"/>
    <n v="0"/>
  </r>
  <r>
    <d v="2012-06-10T00:00:00"/>
    <n v="1"/>
    <n v="0"/>
    <n v="1"/>
    <n v="1"/>
    <x v="0"/>
    <n v="1"/>
    <n v="1"/>
    <n v="0.04"/>
    <n v="4.5499999999999999E-2"/>
    <n v="0.45"/>
    <n v="0.19400000000000001"/>
    <n v="1"/>
    <n v="1"/>
    <s v="Sunday"/>
    <x v="1"/>
    <n v="0"/>
  </r>
  <r>
    <d v="2012-06-11T00:00:00"/>
    <n v="1"/>
    <n v="0"/>
    <n v="1"/>
    <n v="3"/>
    <x v="0"/>
    <n v="1"/>
    <n v="1"/>
    <n v="0.04"/>
    <n v="3.0300000000000001E-2"/>
    <n v="0.45"/>
    <n v="0.25369999999999998"/>
    <n v="1"/>
    <n v="1"/>
    <s v="Monday"/>
    <x v="1"/>
    <n v="0"/>
  </r>
  <r>
    <d v="2012-06-12T00:00:00"/>
    <n v="1"/>
    <n v="0"/>
    <n v="1"/>
    <n v="4"/>
    <x v="0"/>
    <n v="1"/>
    <n v="1"/>
    <n v="0.02"/>
    <n v="6.0600000000000001E-2"/>
    <n v="0.48"/>
    <n v="0.1343"/>
    <n v="1"/>
    <n v="1"/>
    <s v="Tuesday"/>
    <x v="1"/>
    <n v="0"/>
  </r>
  <r>
    <d v="2012-06-13T00:00:00"/>
    <n v="1"/>
    <n v="0"/>
    <n v="1"/>
    <n v="5"/>
    <x v="0"/>
    <n v="1"/>
    <n v="1"/>
    <n v="0.02"/>
    <n v="6.0600000000000001E-2"/>
    <n v="0.48"/>
    <n v="0.1343"/>
    <n v="5"/>
    <n v="5"/>
    <s v="Wednesday"/>
    <x v="1"/>
    <n v="0"/>
  </r>
  <r>
    <d v="2012-06-14T00:00:00"/>
    <n v="1"/>
    <n v="0"/>
    <n v="1"/>
    <n v="6"/>
    <x v="0"/>
    <n v="1"/>
    <n v="1"/>
    <n v="0.02"/>
    <n v="7.5800000000000006E-2"/>
    <n v="0.48"/>
    <n v="8.9599999999999999E-2"/>
    <n v="15"/>
    <n v="15"/>
    <s v="Thursday"/>
    <x v="1"/>
    <n v="0"/>
  </r>
  <r>
    <d v="2012-06-15T00:00:00"/>
    <n v="1"/>
    <n v="0"/>
    <n v="1"/>
    <n v="7"/>
    <x v="0"/>
    <n v="1"/>
    <n v="1"/>
    <n v="0.02"/>
    <n v="0.1212"/>
    <n v="0.48"/>
    <n v="0"/>
    <n v="79"/>
    <n v="84"/>
    <s v="Friday"/>
    <x v="1"/>
    <n v="5"/>
  </r>
  <r>
    <d v="2012-06-16T00:00:00"/>
    <n v="1"/>
    <n v="0"/>
    <n v="1"/>
    <n v="8"/>
    <x v="0"/>
    <n v="1"/>
    <n v="1"/>
    <n v="0.04"/>
    <n v="0.13639999999999999"/>
    <n v="0.49"/>
    <n v="0"/>
    <n v="171"/>
    <n v="177"/>
    <s v="Saturday"/>
    <x v="1"/>
    <n v="6"/>
  </r>
  <r>
    <d v="2012-06-17T00:00:00"/>
    <n v="1"/>
    <n v="0"/>
    <n v="1"/>
    <n v="9"/>
    <x v="0"/>
    <n v="1"/>
    <n v="1"/>
    <n v="0.06"/>
    <n v="0.1515"/>
    <n v="0.41"/>
    <n v="0"/>
    <n v="98"/>
    <n v="102"/>
    <s v="Sunday"/>
    <x v="1"/>
    <n v="4"/>
  </r>
  <r>
    <d v="2012-06-18T00:00:00"/>
    <n v="1"/>
    <n v="0"/>
    <n v="1"/>
    <n v="10"/>
    <x v="0"/>
    <n v="1"/>
    <n v="1"/>
    <n v="0.1"/>
    <n v="0.13639999999999999"/>
    <n v="0.42"/>
    <n v="0"/>
    <n v="34"/>
    <n v="40"/>
    <s v="Monday"/>
    <x v="1"/>
    <n v="6"/>
  </r>
  <r>
    <d v="2012-06-19T00:00:00"/>
    <n v="1"/>
    <n v="0"/>
    <n v="1"/>
    <n v="11"/>
    <x v="0"/>
    <n v="1"/>
    <n v="1"/>
    <n v="0.1"/>
    <n v="0.1212"/>
    <n v="0.46"/>
    <n v="0.1343"/>
    <n v="43"/>
    <n v="46"/>
    <s v="Tuesday"/>
    <x v="1"/>
    <n v="3"/>
  </r>
  <r>
    <d v="2012-06-20T00:00:00"/>
    <n v="1"/>
    <n v="0"/>
    <n v="1"/>
    <n v="12"/>
    <x v="0"/>
    <n v="1"/>
    <n v="2"/>
    <n v="0.12"/>
    <n v="0.13639999999999999"/>
    <n v="0.42"/>
    <n v="0.19400000000000001"/>
    <n v="52"/>
    <n v="63"/>
    <s v="Wednesday"/>
    <x v="1"/>
    <n v="11"/>
  </r>
  <r>
    <d v="2012-06-21T00:00:00"/>
    <n v="1"/>
    <n v="0"/>
    <n v="1"/>
    <n v="13"/>
    <x v="0"/>
    <n v="1"/>
    <n v="2"/>
    <n v="0.14000000000000001"/>
    <n v="0.13639999999999999"/>
    <n v="0.43"/>
    <n v="0.22389999999999999"/>
    <n v="54"/>
    <n v="60"/>
    <s v="Thursday"/>
    <x v="1"/>
    <n v="6"/>
  </r>
  <r>
    <d v="2012-06-22T00:00:00"/>
    <n v="1"/>
    <n v="0"/>
    <n v="1"/>
    <n v="14"/>
    <x v="0"/>
    <n v="1"/>
    <n v="2"/>
    <n v="0.14000000000000001"/>
    <n v="0.13639999999999999"/>
    <n v="0.46"/>
    <n v="0.22389999999999999"/>
    <n v="43"/>
    <n v="45"/>
    <s v="Friday"/>
    <x v="1"/>
    <n v="2"/>
  </r>
  <r>
    <d v="2012-06-23T00:00:00"/>
    <n v="1"/>
    <n v="0"/>
    <n v="1"/>
    <n v="15"/>
    <x v="0"/>
    <n v="1"/>
    <n v="1"/>
    <n v="0.16"/>
    <n v="0.16669999999999999"/>
    <n v="0.4"/>
    <n v="0.16420000000000001"/>
    <n v="50"/>
    <n v="57"/>
    <s v="Saturday"/>
    <x v="1"/>
    <n v="7"/>
  </r>
  <r>
    <d v="2012-06-24T00:00:00"/>
    <n v="1"/>
    <n v="0"/>
    <n v="1"/>
    <n v="16"/>
    <x v="0"/>
    <n v="1"/>
    <n v="1"/>
    <n v="0.16"/>
    <n v="0.1515"/>
    <n v="0.47"/>
    <n v="0.25369999999999998"/>
    <n v="66"/>
    <n v="70"/>
    <s v="Sunday"/>
    <x v="1"/>
    <n v="4"/>
  </r>
  <r>
    <d v="2012-06-25T00:00:00"/>
    <n v="1"/>
    <n v="0"/>
    <n v="1"/>
    <n v="17"/>
    <x v="0"/>
    <n v="1"/>
    <n v="1"/>
    <n v="0.14000000000000001"/>
    <n v="0.1212"/>
    <n v="0.5"/>
    <n v="0.25369999999999998"/>
    <n v="178"/>
    <n v="184"/>
    <s v="Monday"/>
    <x v="1"/>
    <n v="6"/>
  </r>
  <r>
    <d v="2012-06-26T00:00:00"/>
    <n v="1"/>
    <n v="0"/>
    <n v="1"/>
    <n v="18"/>
    <x v="0"/>
    <n v="1"/>
    <n v="1"/>
    <n v="0.14000000000000001"/>
    <n v="0.13639999999999999"/>
    <n v="0.59"/>
    <n v="0.19400000000000001"/>
    <n v="145"/>
    <n v="153"/>
    <s v="Tuesday"/>
    <x v="1"/>
    <n v="8"/>
  </r>
  <r>
    <d v="2012-06-27T00:00:00"/>
    <n v="1"/>
    <n v="0"/>
    <n v="1"/>
    <n v="19"/>
    <x v="0"/>
    <n v="1"/>
    <n v="1"/>
    <n v="0.14000000000000001"/>
    <n v="0.1515"/>
    <n v="0.54"/>
    <n v="0.16420000000000001"/>
    <n v="101"/>
    <n v="106"/>
    <s v="Wednesday"/>
    <x v="1"/>
    <n v="5"/>
  </r>
  <r>
    <d v="2012-06-28T00:00:00"/>
    <n v="1"/>
    <n v="0"/>
    <n v="1"/>
    <n v="20"/>
    <x v="0"/>
    <n v="1"/>
    <n v="1"/>
    <n v="0.14000000000000001"/>
    <n v="0.13639999999999999"/>
    <n v="0.59"/>
    <n v="0.19400000000000001"/>
    <n v="80"/>
    <n v="81"/>
    <s v="Thursday"/>
    <x v="1"/>
    <n v="1"/>
  </r>
  <r>
    <d v="2012-06-29T00:00:00"/>
    <n v="1"/>
    <n v="0"/>
    <n v="1"/>
    <n v="21"/>
    <x v="0"/>
    <n v="1"/>
    <n v="1"/>
    <n v="0.14000000000000001"/>
    <n v="0.1515"/>
    <n v="0.63"/>
    <n v="0.16420000000000001"/>
    <n v="53"/>
    <n v="59"/>
    <s v="Friday"/>
    <x v="1"/>
    <n v="6"/>
  </r>
  <r>
    <d v="2012-06-30T00:00:00"/>
    <n v="1"/>
    <n v="0"/>
    <n v="1"/>
    <n v="22"/>
    <x v="0"/>
    <n v="1"/>
    <n v="2"/>
    <n v="0.14000000000000001"/>
    <n v="0.13639999999999999"/>
    <n v="0.63"/>
    <n v="0.22389999999999999"/>
    <n v="32"/>
    <n v="35"/>
    <s v="Saturday"/>
    <x v="1"/>
    <n v="3"/>
  </r>
  <r>
    <d v="2012-07-01T00:00:00"/>
    <n v="1"/>
    <n v="0"/>
    <n v="1"/>
    <n v="23"/>
    <x v="0"/>
    <n v="1"/>
    <n v="2"/>
    <n v="0.16"/>
    <n v="0.1515"/>
    <n v="0.64"/>
    <n v="0.25369999999999998"/>
    <n v="21"/>
    <n v="24"/>
    <s v="Sunday"/>
    <x v="1"/>
    <n v="3"/>
  </r>
  <r>
    <d v="2012-07-02T00:00:00"/>
    <n v="1"/>
    <n v="0"/>
    <n v="1"/>
    <n v="0"/>
    <x v="0"/>
    <n v="2"/>
    <n v="2"/>
    <n v="0.16"/>
    <n v="0.13639999999999999"/>
    <n v="0.69"/>
    <n v="0.28360000000000002"/>
    <n v="6"/>
    <n v="9"/>
    <s v="Monday"/>
    <x v="1"/>
    <n v="3"/>
  </r>
  <r>
    <d v="2012-07-03T00:00:00"/>
    <n v="1"/>
    <n v="0"/>
    <n v="1"/>
    <n v="1"/>
    <x v="0"/>
    <n v="2"/>
    <n v="2"/>
    <n v="0.16"/>
    <n v="0.16669999999999999"/>
    <n v="0.69"/>
    <n v="0.16420000000000001"/>
    <n v="5"/>
    <n v="5"/>
    <s v="Tuesday"/>
    <x v="1"/>
    <n v="0"/>
  </r>
  <r>
    <d v="2012-07-04T00:00:00"/>
    <n v="1"/>
    <n v="0"/>
    <n v="1"/>
    <n v="2"/>
    <x v="0"/>
    <n v="2"/>
    <n v="1"/>
    <n v="0.16"/>
    <n v="0.1515"/>
    <n v="0.69"/>
    <n v="0.22389999999999999"/>
    <n v="2"/>
    <n v="2"/>
    <s v="Wednesday"/>
    <x v="1"/>
    <n v="0"/>
  </r>
  <r>
    <d v="2012-07-05T00:00:00"/>
    <n v="1"/>
    <n v="0"/>
    <n v="1"/>
    <n v="4"/>
    <x v="0"/>
    <n v="2"/>
    <n v="1"/>
    <n v="0.14000000000000001"/>
    <n v="0.16669999999999999"/>
    <n v="0.74"/>
    <n v="0.1045"/>
    <n v="1"/>
    <n v="1"/>
    <s v="Thursday"/>
    <x v="1"/>
    <n v="0"/>
  </r>
  <r>
    <d v="2012-07-06T00:00:00"/>
    <n v="1"/>
    <n v="0"/>
    <n v="1"/>
    <n v="5"/>
    <x v="0"/>
    <n v="2"/>
    <n v="1"/>
    <n v="0.14000000000000001"/>
    <n v="0.13639999999999999"/>
    <n v="0.74"/>
    <n v="0.22389999999999999"/>
    <n v="9"/>
    <n v="9"/>
    <s v="Friday"/>
    <x v="1"/>
    <n v="0"/>
  </r>
  <r>
    <d v="2012-07-07T00:00:00"/>
    <n v="1"/>
    <n v="0"/>
    <n v="1"/>
    <n v="6"/>
    <x v="0"/>
    <n v="2"/>
    <n v="1"/>
    <n v="0.16"/>
    <n v="0.18179999999999999"/>
    <n v="0.74"/>
    <n v="0.1045"/>
    <n v="35"/>
    <n v="36"/>
    <s v="Saturday"/>
    <x v="1"/>
    <n v="1"/>
  </r>
  <r>
    <d v="2012-07-08T00:00:00"/>
    <n v="1"/>
    <n v="0"/>
    <n v="1"/>
    <n v="7"/>
    <x v="0"/>
    <n v="2"/>
    <n v="1"/>
    <n v="0.16"/>
    <n v="0.1515"/>
    <n v="0.74"/>
    <n v="0.22389999999999999"/>
    <n v="103"/>
    <n v="108"/>
    <s v="Sunday"/>
    <x v="1"/>
    <n v="5"/>
  </r>
  <r>
    <d v="2012-07-09T00:00:00"/>
    <n v="1"/>
    <n v="0"/>
    <n v="1"/>
    <n v="8"/>
    <x v="0"/>
    <n v="2"/>
    <n v="2"/>
    <n v="0.16"/>
    <n v="0.18179999999999999"/>
    <n v="0.74"/>
    <n v="0.1343"/>
    <n v="233"/>
    <n v="238"/>
    <s v="Monday"/>
    <x v="1"/>
    <n v="5"/>
  </r>
  <r>
    <d v="2012-07-10T00:00:00"/>
    <n v="1"/>
    <n v="0"/>
    <n v="1"/>
    <n v="9"/>
    <x v="0"/>
    <n v="2"/>
    <n v="2"/>
    <n v="0.2"/>
    <n v="0.2273"/>
    <n v="0.64"/>
    <n v="8.9599999999999999E-2"/>
    <n v="134"/>
    <n v="144"/>
    <s v="Tuesday"/>
    <x v="1"/>
    <n v="10"/>
  </r>
  <r>
    <d v="2012-07-11T00:00:00"/>
    <n v="1"/>
    <n v="0"/>
    <n v="1"/>
    <n v="10"/>
    <x v="0"/>
    <n v="2"/>
    <n v="2"/>
    <n v="0.22"/>
    <n v="0.2424"/>
    <n v="0.6"/>
    <n v="0.1045"/>
    <n v="49"/>
    <n v="55"/>
    <s v="Wednesday"/>
    <x v="1"/>
    <n v="6"/>
  </r>
  <r>
    <d v="2012-07-12T00:00:00"/>
    <n v="1"/>
    <n v="0"/>
    <n v="1"/>
    <n v="11"/>
    <x v="0"/>
    <n v="2"/>
    <n v="2"/>
    <n v="0.24"/>
    <n v="0.2424"/>
    <n v="0.6"/>
    <n v="0.1343"/>
    <n v="55"/>
    <n v="61"/>
    <s v="Thursday"/>
    <x v="0"/>
    <n v="6"/>
  </r>
  <r>
    <d v="2012-07-13T00:00:00"/>
    <n v="1"/>
    <n v="0"/>
    <n v="1"/>
    <n v="12"/>
    <x v="0"/>
    <n v="2"/>
    <n v="2"/>
    <n v="0.26"/>
    <n v="0.28789999999999999"/>
    <n v="0.56000000000000005"/>
    <n v="8.9599999999999999E-2"/>
    <n v="85"/>
    <n v="106"/>
    <s v="Friday"/>
    <x v="0"/>
    <n v="21"/>
  </r>
  <r>
    <d v="2012-07-14T00:00:00"/>
    <n v="1"/>
    <n v="0"/>
    <n v="1"/>
    <n v="13"/>
    <x v="0"/>
    <n v="2"/>
    <n v="2"/>
    <n v="0.26"/>
    <n v="0.2727"/>
    <n v="0.56000000000000005"/>
    <n v="0.1343"/>
    <n v="72"/>
    <n v="93"/>
    <s v="Saturday"/>
    <x v="0"/>
    <n v="21"/>
  </r>
  <r>
    <d v="2012-07-15T00:00:00"/>
    <n v="1"/>
    <n v="0"/>
    <n v="1"/>
    <n v="14"/>
    <x v="0"/>
    <n v="2"/>
    <n v="2"/>
    <n v="0.3"/>
    <n v="0.33329999999999999"/>
    <n v="0.45"/>
    <n v="0"/>
    <n v="57"/>
    <n v="68"/>
    <s v="Sunday"/>
    <x v="0"/>
    <n v="11"/>
  </r>
  <r>
    <d v="2012-07-16T00:00:00"/>
    <n v="1"/>
    <n v="0"/>
    <n v="1"/>
    <n v="15"/>
    <x v="0"/>
    <n v="2"/>
    <n v="2"/>
    <n v="0.32"/>
    <n v="0.34849999999999998"/>
    <n v="0.42"/>
    <n v="0"/>
    <n v="63"/>
    <n v="84"/>
    <s v="Monday"/>
    <x v="0"/>
    <n v="21"/>
  </r>
  <r>
    <d v="2012-07-17T00:00:00"/>
    <n v="1"/>
    <n v="0"/>
    <n v="1"/>
    <n v="16"/>
    <x v="0"/>
    <n v="2"/>
    <n v="2"/>
    <n v="0.32"/>
    <n v="0.34849999999999998"/>
    <n v="0.42"/>
    <n v="0"/>
    <n v="102"/>
    <n v="116"/>
    <s v="Tuesday"/>
    <x v="0"/>
    <n v="14"/>
  </r>
  <r>
    <d v="2012-07-18T00:00:00"/>
    <n v="1"/>
    <n v="0"/>
    <n v="1"/>
    <n v="17"/>
    <x v="0"/>
    <n v="2"/>
    <n v="1"/>
    <n v="0.3"/>
    <n v="0.33329999999999999"/>
    <n v="0.45"/>
    <n v="0"/>
    <n v="208"/>
    <n v="222"/>
    <s v="Wednesday"/>
    <x v="0"/>
    <n v="14"/>
  </r>
  <r>
    <d v="2012-07-19T00:00:00"/>
    <n v="1"/>
    <n v="0"/>
    <n v="1"/>
    <n v="18"/>
    <x v="0"/>
    <n v="2"/>
    <n v="2"/>
    <n v="0.3"/>
    <n v="0.31819999999999998"/>
    <n v="0.49"/>
    <n v="8.9599999999999999E-2"/>
    <n v="218"/>
    <n v="225"/>
    <s v="Thursday"/>
    <x v="0"/>
    <n v="7"/>
  </r>
  <r>
    <d v="2012-07-20T00:00:00"/>
    <n v="1"/>
    <n v="0"/>
    <n v="1"/>
    <n v="19"/>
    <x v="0"/>
    <n v="2"/>
    <n v="2"/>
    <n v="0.26"/>
    <n v="0.2576"/>
    <n v="0.65"/>
    <n v="0.16420000000000001"/>
    <n v="133"/>
    <n v="146"/>
    <s v="Friday"/>
    <x v="0"/>
    <n v="13"/>
  </r>
  <r>
    <d v="2012-07-21T00:00:00"/>
    <n v="1"/>
    <n v="0"/>
    <n v="1"/>
    <n v="20"/>
    <x v="0"/>
    <n v="2"/>
    <n v="1"/>
    <n v="0.24"/>
    <n v="0.2273"/>
    <n v="0.65"/>
    <n v="0.19400000000000001"/>
    <n v="103"/>
    <n v="119"/>
    <s v="Saturday"/>
    <x v="0"/>
    <n v="16"/>
  </r>
  <r>
    <d v="2012-07-22T00:00:00"/>
    <n v="1"/>
    <n v="0"/>
    <n v="1"/>
    <n v="21"/>
    <x v="0"/>
    <n v="2"/>
    <n v="1"/>
    <n v="0.24"/>
    <n v="0.2273"/>
    <n v="0.65"/>
    <n v="0.19400000000000001"/>
    <n v="40"/>
    <n v="45"/>
    <s v="Sunday"/>
    <x v="0"/>
    <n v="5"/>
  </r>
  <r>
    <d v="2012-07-23T00:00:00"/>
    <n v="1"/>
    <n v="0"/>
    <n v="1"/>
    <n v="22"/>
    <x v="0"/>
    <n v="2"/>
    <n v="1"/>
    <n v="0.22"/>
    <n v="0.2273"/>
    <n v="0.64"/>
    <n v="0.16420000000000001"/>
    <n v="49"/>
    <n v="53"/>
    <s v="Monday"/>
    <x v="1"/>
    <n v="4"/>
  </r>
  <r>
    <d v="2012-07-24T00:00:00"/>
    <n v="1"/>
    <n v="0"/>
    <n v="1"/>
    <n v="23"/>
    <x v="0"/>
    <n v="2"/>
    <n v="2"/>
    <n v="0.22"/>
    <n v="0.2273"/>
    <n v="0.64"/>
    <n v="0.16420000000000001"/>
    <n v="37"/>
    <n v="40"/>
    <s v="Tuesday"/>
    <x v="1"/>
    <n v="3"/>
  </r>
  <r>
    <d v="2012-07-25T00:00:00"/>
    <n v="1"/>
    <n v="0"/>
    <n v="1"/>
    <n v="0"/>
    <x v="0"/>
    <n v="3"/>
    <n v="2"/>
    <n v="0.22"/>
    <n v="0.2273"/>
    <n v="0.69"/>
    <n v="0.1343"/>
    <n v="14"/>
    <n v="17"/>
    <s v="Wednesday"/>
    <x v="1"/>
    <n v="3"/>
  </r>
  <r>
    <d v="2012-07-26T00:00:00"/>
    <n v="1"/>
    <n v="0"/>
    <n v="1"/>
    <n v="1"/>
    <x v="0"/>
    <n v="3"/>
    <n v="2"/>
    <n v="0.24"/>
    <n v="0.2424"/>
    <n v="0.65"/>
    <n v="0.1343"/>
    <n v="5"/>
    <n v="5"/>
    <s v="Thursday"/>
    <x v="0"/>
    <n v="0"/>
  </r>
  <r>
    <d v="2012-07-27T00:00:00"/>
    <n v="1"/>
    <n v="0"/>
    <n v="1"/>
    <n v="2"/>
    <x v="0"/>
    <n v="3"/>
    <n v="3"/>
    <n v="0.22"/>
    <n v="0.2273"/>
    <n v="0.69"/>
    <n v="0.19400000000000001"/>
    <n v="7"/>
    <n v="10"/>
    <s v="Friday"/>
    <x v="1"/>
    <n v="3"/>
  </r>
  <r>
    <d v="2012-07-28T00:00:00"/>
    <n v="1"/>
    <n v="0"/>
    <n v="1"/>
    <n v="5"/>
    <x v="0"/>
    <n v="3"/>
    <n v="3"/>
    <n v="0.2"/>
    <n v="0.18179999999999999"/>
    <n v="0.86"/>
    <n v="0.28360000000000002"/>
    <n v="1"/>
    <n v="1"/>
    <s v="Saturday"/>
    <x v="1"/>
    <n v="0"/>
  </r>
  <r>
    <d v="2012-07-29T00:00:00"/>
    <n v="1"/>
    <n v="0"/>
    <n v="1"/>
    <n v="6"/>
    <x v="0"/>
    <n v="3"/>
    <n v="3"/>
    <n v="0.2"/>
    <n v="0.18179999999999999"/>
    <n v="0.86"/>
    <n v="0.28360000000000002"/>
    <n v="8"/>
    <n v="8"/>
    <s v="Sunday"/>
    <x v="1"/>
    <n v="0"/>
  </r>
  <r>
    <d v="2012-07-30T00:00:00"/>
    <n v="1"/>
    <n v="0"/>
    <n v="1"/>
    <n v="7"/>
    <x v="0"/>
    <n v="3"/>
    <n v="3"/>
    <n v="0.22"/>
    <n v="0.21210000000000001"/>
    <n v="0.87"/>
    <n v="0.29849999999999999"/>
    <n v="29"/>
    <n v="30"/>
    <s v="Monday"/>
    <x v="1"/>
    <n v="1"/>
  </r>
  <r>
    <d v="2012-07-31T00:00:00"/>
    <n v="1"/>
    <n v="0"/>
    <n v="1"/>
    <n v="8"/>
    <x v="0"/>
    <n v="3"/>
    <n v="3"/>
    <n v="0.22"/>
    <n v="0.21210000000000001"/>
    <n v="0.87"/>
    <n v="0.29849999999999999"/>
    <n v="69"/>
    <n v="72"/>
    <s v="Tuesday"/>
    <x v="1"/>
    <n v="3"/>
  </r>
  <r>
    <d v="2012-08-01T00:00:00"/>
    <n v="1"/>
    <n v="0"/>
    <n v="1"/>
    <n v="9"/>
    <x v="0"/>
    <n v="3"/>
    <n v="3"/>
    <n v="0.22"/>
    <n v="0.21210000000000001"/>
    <n v="0.87"/>
    <n v="0.29849999999999999"/>
    <n v="55"/>
    <n v="58"/>
    <s v="Wednesday"/>
    <x v="1"/>
    <n v="3"/>
  </r>
  <r>
    <d v="2012-08-02T00:00:00"/>
    <n v="1"/>
    <n v="0"/>
    <n v="1"/>
    <n v="10"/>
    <x v="0"/>
    <n v="3"/>
    <n v="3"/>
    <n v="0.22"/>
    <n v="0.21210000000000001"/>
    <n v="0.93"/>
    <n v="0.28360000000000002"/>
    <n v="26"/>
    <n v="28"/>
    <s v="Thursday"/>
    <x v="1"/>
    <n v="2"/>
  </r>
  <r>
    <d v="2012-08-03T00:00:00"/>
    <n v="1"/>
    <n v="0"/>
    <n v="1"/>
    <n v="11"/>
    <x v="0"/>
    <n v="3"/>
    <n v="3"/>
    <n v="0.22"/>
    <n v="0.19700000000000001"/>
    <n v="0.93"/>
    <n v="0.32840000000000003"/>
    <n v="35"/>
    <n v="41"/>
    <s v="Friday"/>
    <x v="1"/>
    <n v="6"/>
  </r>
  <r>
    <d v="2012-08-04T00:00:00"/>
    <n v="1"/>
    <n v="0"/>
    <n v="1"/>
    <n v="12"/>
    <x v="0"/>
    <n v="3"/>
    <n v="3"/>
    <n v="0.22"/>
    <n v="0.19700000000000001"/>
    <n v="0.93"/>
    <n v="0.32840000000000003"/>
    <n v="41"/>
    <n v="48"/>
    <s v="Saturday"/>
    <x v="1"/>
    <n v="7"/>
  </r>
  <r>
    <d v="2012-08-05T00:00:00"/>
    <n v="1"/>
    <n v="0"/>
    <n v="1"/>
    <n v="13"/>
    <x v="0"/>
    <n v="3"/>
    <n v="3"/>
    <n v="0.22"/>
    <n v="0.19700000000000001"/>
    <n v="0.93"/>
    <n v="0.32840000000000003"/>
    <n v="43"/>
    <n v="47"/>
    <s v="Sunday"/>
    <x v="1"/>
    <n v="4"/>
  </r>
  <r>
    <d v="2012-08-06T00:00:00"/>
    <n v="1"/>
    <n v="0"/>
    <n v="1"/>
    <n v="14"/>
    <x v="0"/>
    <n v="3"/>
    <n v="3"/>
    <n v="0.22"/>
    <n v="0.19700000000000001"/>
    <n v="0.93"/>
    <n v="0.35820000000000002"/>
    <n v="36"/>
    <n v="36"/>
    <s v="Monday"/>
    <x v="1"/>
    <n v="0"/>
  </r>
  <r>
    <d v="2012-08-07T00:00:00"/>
    <n v="1"/>
    <n v="0"/>
    <n v="1"/>
    <n v="15"/>
    <x v="0"/>
    <n v="3"/>
    <n v="3"/>
    <n v="0.22"/>
    <n v="0.18179999999999999"/>
    <n v="0.93"/>
    <n v="0.4627"/>
    <n v="42"/>
    <n v="43"/>
    <s v="Tuesday"/>
    <x v="1"/>
    <n v="1"/>
  </r>
  <r>
    <d v="2012-08-08T00:00:00"/>
    <n v="1"/>
    <n v="0"/>
    <n v="1"/>
    <n v="16"/>
    <x v="0"/>
    <n v="3"/>
    <n v="4"/>
    <n v="0.22"/>
    <n v="0.19700000000000001"/>
    <n v="0.93"/>
    <n v="0.32840000000000003"/>
    <n v="35"/>
    <n v="36"/>
    <s v="Wednesday"/>
    <x v="1"/>
    <n v="1"/>
  </r>
  <r>
    <d v="2012-08-09T00:00:00"/>
    <n v="1"/>
    <n v="0"/>
    <n v="1"/>
    <n v="17"/>
    <x v="0"/>
    <n v="3"/>
    <n v="3"/>
    <n v="0.2"/>
    <n v="0.18179999999999999"/>
    <n v="0.93"/>
    <n v="0.35820000000000002"/>
    <n v="26"/>
    <n v="26"/>
    <s v="Thursday"/>
    <x v="1"/>
    <n v="0"/>
  </r>
  <r>
    <d v="2012-08-10T00:00:00"/>
    <n v="1"/>
    <n v="0"/>
    <n v="1"/>
    <n v="16"/>
    <x v="0"/>
    <n v="4"/>
    <n v="1"/>
    <n v="0.22"/>
    <n v="0.2273"/>
    <n v="0.55000000000000004"/>
    <n v="0.19400000000000001"/>
    <n v="23"/>
    <n v="24"/>
    <s v="Friday"/>
    <x v="1"/>
    <n v="1"/>
  </r>
  <r>
    <d v="2012-08-11T00:00:00"/>
    <n v="1"/>
    <n v="0"/>
    <n v="1"/>
    <n v="17"/>
    <x v="0"/>
    <n v="4"/>
    <n v="1"/>
    <n v="0.22"/>
    <n v="0.2424"/>
    <n v="0.55000000000000004"/>
    <n v="0.1045"/>
    <n v="82"/>
    <n v="84"/>
    <s v="Saturday"/>
    <x v="1"/>
    <n v="2"/>
  </r>
  <r>
    <d v="2012-08-12T00:00:00"/>
    <n v="1"/>
    <n v="0"/>
    <n v="1"/>
    <n v="18"/>
    <x v="0"/>
    <n v="4"/>
    <n v="1"/>
    <n v="0.2"/>
    <n v="0.2273"/>
    <n v="0.69"/>
    <n v="8.9599999999999999E-2"/>
    <n v="101"/>
    <n v="104"/>
    <s v="Sunday"/>
    <x v="1"/>
    <n v="3"/>
  </r>
  <r>
    <d v="2012-08-13T00:00:00"/>
    <n v="1"/>
    <n v="0"/>
    <n v="1"/>
    <n v="19"/>
    <x v="0"/>
    <n v="4"/>
    <n v="1"/>
    <n v="0.2"/>
    <n v="0.2273"/>
    <n v="0.69"/>
    <n v="8.9599999999999999E-2"/>
    <n v="76"/>
    <n v="79"/>
    <s v="Monday"/>
    <x v="1"/>
    <n v="3"/>
  </r>
  <r>
    <d v="2012-08-14T00:00:00"/>
    <n v="1"/>
    <n v="0"/>
    <n v="1"/>
    <n v="20"/>
    <x v="0"/>
    <n v="4"/>
    <n v="1"/>
    <n v="0.18"/>
    <n v="0.21210000000000001"/>
    <n v="0.74"/>
    <n v="8.9599999999999999E-2"/>
    <n v="55"/>
    <n v="59"/>
    <s v="Tuesday"/>
    <x v="1"/>
    <n v="4"/>
  </r>
  <r>
    <d v="2012-08-15T00:00:00"/>
    <n v="1"/>
    <n v="0"/>
    <n v="1"/>
    <n v="21"/>
    <x v="0"/>
    <n v="4"/>
    <n v="1"/>
    <n v="0.18"/>
    <n v="0.21210000000000001"/>
    <n v="0.74"/>
    <n v="8.9599999999999999E-2"/>
    <n v="36"/>
    <n v="38"/>
    <s v="Wednesday"/>
    <x v="1"/>
    <n v="2"/>
  </r>
  <r>
    <d v="2012-08-16T00:00:00"/>
    <n v="1"/>
    <n v="0"/>
    <n v="1"/>
    <n v="22"/>
    <x v="0"/>
    <n v="4"/>
    <n v="1"/>
    <n v="0.18"/>
    <n v="0.21210000000000001"/>
    <n v="0.74"/>
    <n v="8.9599999999999999E-2"/>
    <n v="27"/>
    <n v="27"/>
    <s v="Thursday"/>
    <x v="1"/>
    <n v="0"/>
  </r>
  <r>
    <d v="2012-08-17T00:00:00"/>
    <n v="1"/>
    <n v="0"/>
    <n v="1"/>
    <n v="23"/>
    <x v="0"/>
    <n v="4"/>
    <n v="1"/>
    <n v="0.18"/>
    <n v="0.19700000000000001"/>
    <n v="0.8"/>
    <n v="0.16420000000000001"/>
    <n v="16"/>
    <n v="16"/>
    <s v="Friday"/>
    <x v="1"/>
    <n v="0"/>
  </r>
  <r>
    <d v="2012-08-18T00:00:00"/>
    <n v="1"/>
    <n v="0"/>
    <n v="1"/>
    <n v="0"/>
    <x v="0"/>
    <n v="5"/>
    <n v="2"/>
    <n v="0.2"/>
    <n v="0.21210000000000001"/>
    <n v="0.75"/>
    <n v="0.1343"/>
    <n v="9"/>
    <n v="9"/>
    <s v="Saturday"/>
    <x v="1"/>
    <n v="0"/>
  </r>
  <r>
    <d v="2012-08-19T00:00:00"/>
    <n v="1"/>
    <n v="0"/>
    <n v="1"/>
    <n v="1"/>
    <x v="0"/>
    <n v="5"/>
    <n v="2"/>
    <n v="0.2"/>
    <n v="0.21210000000000001"/>
    <n v="0.75"/>
    <n v="0.1343"/>
    <n v="2"/>
    <n v="3"/>
    <s v="Sunday"/>
    <x v="1"/>
    <n v="1"/>
  </r>
  <r>
    <d v="2012-08-20T00:00:00"/>
    <n v="1"/>
    <n v="0"/>
    <n v="1"/>
    <n v="2"/>
    <x v="0"/>
    <n v="5"/>
    <n v="2"/>
    <n v="0.2"/>
    <n v="0.21210000000000001"/>
    <n v="0.75"/>
    <n v="0.16420000000000001"/>
    <n v="2"/>
    <n v="2"/>
    <s v="Monday"/>
    <x v="1"/>
    <n v="0"/>
  </r>
  <r>
    <d v="2012-08-21T00:00:00"/>
    <n v="1"/>
    <n v="0"/>
    <n v="1"/>
    <n v="3"/>
    <x v="0"/>
    <n v="5"/>
    <n v="2"/>
    <n v="0.2"/>
    <n v="0.2273"/>
    <n v="0.75"/>
    <n v="0.1045"/>
    <n v="0"/>
    <n v="1"/>
    <s v="Tuesday"/>
    <x v="1"/>
    <n v="1"/>
  </r>
  <r>
    <d v="2012-08-22T00:00:00"/>
    <n v="1"/>
    <n v="0"/>
    <n v="1"/>
    <n v="5"/>
    <x v="0"/>
    <n v="5"/>
    <n v="2"/>
    <n v="0.18"/>
    <n v="0.21210000000000001"/>
    <n v="0.8"/>
    <n v="0.1045"/>
    <n v="4"/>
    <n v="4"/>
    <s v="Wednesday"/>
    <x v="1"/>
    <n v="0"/>
  </r>
  <r>
    <d v="2012-08-23T00:00:00"/>
    <n v="1"/>
    <n v="0"/>
    <n v="1"/>
    <n v="6"/>
    <x v="0"/>
    <n v="5"/>
    <n v="2"/>
    <n v="0.18"/>
    <n v="0.19700000000000001"/>
    <n v="0.8"/>
    <n v="0.1343"/>
    <n v="16"/>
    <n v="16"/>
    <s v="Thursday"/>
    <x v="1"/>
    <n v="0"/>
  </r>
  <r>
    <d v="2012-08-24T00:00:00"/>
    <n v="1"/>
    <n v="0"/>
    <n v="1"/>
    <n v="7"/>
    <x v="0"/>
    <n v="5"/>
    <n v="2"/>
    <n v="0.16"/>
    <n v="0.19700000000000001"/>
    <n v="0.86"/>
    <n v="8.9599999999999999E-2"/>
    <n v="58"/>
    <n v="60"/>
    <s v="Friday"/>
    <x v="1"/>
    <n v="2"/>
  </r>
  <r>
    <d v="2012-08-25T00:00:00"/>
    <n v="1"/>
    <n v="0"/>
    <n v="1"/>
    <n v="8"/>
    <x v="0"/>
    <n v="5"/>
    <n v="2"/>
    <n v="0.16"/>
    <n v="0.19700000000000001"/>
    <n v="0.86"/>
    <n v="8.9599999999999999E-2"/>
    <n v="155"/>
    <n v="157"/>
    <s v="Saturday"/>
    <x v="1"/>
    <n v="2"/>
  </r>
  <r>
    <d v="2012-08-26T00:00:00"/>
    <n v="1"/>
    <n v="0"/>
    <n v="1"/>
    <n v="9"/>
    <x v="0"/>
    <n v="5"/>
    <n v="3"/>
    <n v="0.18"/>
    <n v="0.21210000000000001"/>
    <n v="0.86"/>
    <n v="8.9599999999999999E-2"/>
    <n v="95"/>
    <n v="101"/>
    <s v="Sunday"/>
    <x v="1"/>
    <n v="6"/>
  </r>
  <r>
    <d v="2012-08-27T00:00:00"/>
    <n v="1"/>
    <n v="0"/>
    <n v="1"/>
    <n v="10"/>
    <x v="0"/>
    <n v="5"/>
    <n v="3"/>
    <n v="0.18"/>
    <n v="0.21210000000000001"/>
    <n v="0.86"/>
    <n v="0.1045"/>
    <n v="49"/>
    <n v="49"/>
    <s v="Monday"/>
    <x v="1"/>
    <n v="0"/>
  </r>
  <r>
    <d v="2012-08-28T00:00:00"/>
    <n v="1"/>
    <n v="0"/>
    <n v="1"/>
    <n v="11"/>
    <x v="0"/>
    <n v="5"/>
    <n v="3"/>
    <n v="0.18"/>
    <n v="0.21210000000000001"/>
    <n v="0.93"/>
    <n v="0.1045"/>
    <n v="30"/>
    <n v="30"/>
    <s v="Tuesday"/>
    <x v="1"/>
    <n v="0"/>
  </r>
  <r>
    <d v="2012-08-29T00:00:00"/>
    <n v="1"/>
    <n v="0"/>
    <n v="1"/>
    <n v="12"/>
    <x v="0"/>
    <n v="5"/>
    <n v="3"/>
    <n v="0.18"/>
    <n v="0.21210000000000001"/>
    <n v="0.93"/>
    <n v="0.1045"/>
    <n v="28"/>
    <n v="29"/>
    <s v="Wednesday"/>
    <x v="1"/>
    <n v="1"/>
  </r>
  <r>
    <d v="2012-08-30T00:00:00"/>
    <n v="1"/>
    <n v="0"/>
    <n v="1"/>
    <n v="13"/>
    <x v="0"/>
    <n v="5"/>
    <n v="3"/>
    <n v="0.18"/>
    <n v="0.21210000000000001"/>
    <n v="0.93"/>
    <n v="0.1045"/>
    <n v="31"/>
    <n v="31"/>
    <s v="Thursday"/>
    <x v="1"/>
    <n v="0"/>
  </r>
  <r>
    <d v="2012-08-31T00:00:00"/>
    <n v="1"/>
    <n v="0"/>
    <n v="1"/>
    <n v="14"/>
    <x v="0"/>
    <n v="5"/>
    <n v="3"/>
    <n v="0.22"/>
    <n v="0.2727"/>
    <n v="0.8"/>
    <n v="0"/>
    <n v="36"/>
    <n v="38"/>
    <s v="Friday"/>
    <x v="1"/>
    <n v="2"/>
  </r>
  <r>
    <d v="2012-09-01T00:00:00"/>
    <n v="1"/>
    <n v="0"/>
    <n v="1"/>
    <n v="15"/>
    <x v="0"/>
    <n v="5"/>
    <n v="2"/>
    <n v="0.2"/>
    <n v="0.2576"/>
    <n v="0.86"/>
    <n v="0"/>
    <n v="40"/>
    <n v="41"/>
    <s v="Saturday"/>
    <x v="1"/>
    <n v="1"/>
  </r>
  <r>
    <d v="2011-01-28T00:00:00"/>
    <n v="1"/>
    <n v="0"/>
    <n v="1"/>
    <n v="16"/>
    <x v="0"/>
    <n v="5"/>
    <n v="1"/>
    <n v="0.22"/>
    <n v="0.2727"/>
    <n v="0.8"/>
    <n v="0"/>
    <n v="70"/>
    <n v="80"/>
    <s v="Friday"/>
    <x v="1"/>
    <n v="10"/>
  </r>
  <r>
    <d v="2011-01-28T00:00:00"/>
    <n v="1"/>
    <n v="0"/>
    <n v="1"/>
    <n v="17"/>
    <x v="0"/>
    <n v="5"/>
    <n v="1"/>
    <n v="0.24"/>
    <n v="0.2424"/>
    <n v="0.75"/>
    <n v="0.1343"/>
    <n v="147"/>
    <n v="149"/>
    <s v="Friday"/>
    <x v="0"/>
    <n v="2"/>
  </r>
  <r>
    <d v="2011-01-28T00:00:00"/>
    <n v="1"/>
    <n v="0"/>
    <n v="1"/>
    <n v="18"/>
    <x v="0"/>
    <n v="5"/>
    <n v="1"/>
    <n v="0.24"/>
    <n v="0.2273"/>
    <n v="0.75"/>
    <n v="0.19400000000000001"/>
    <n v="107"/>
    <n v="109"/>
    <s v="Friday"/>
    <x v="0"/>
    <n v="2"/>
  </r>
  <r>
    <d v="2011-01-28T00:00:00"/>
    <n v="1"/>
    <n v="0"/>
    <n v="1"/>
    <n v="19"/>
    <x v="0"/>
    <n v="5"/>
    <n v="2"/>
    <n v="0.24"/>
    <n v="0.2424"/>
    <n v="0.75"/>
    <n v="0.1343"/>
    <n v="84"/>
    <n v="89"/>
    <s v="Friday"/>
    <x v="0"/>
    <n v="5"/>
  </r>
  <r>
    <d v="2011-01-28T00:00:00"/>
    <n v="1"/>
    <n v="0"/>
    <n v="1"/>
    <n v="20"/>
    <x v="0"/>
    <n v="5"/>
    <n v="2"/>
    <n v="0.24"/>
    <n v="0.2273"/>
    <n v="0.7"/>
    <n v="0.19400000000000001"/>
    <n v="61"/>
    <n v="62"/>
    <s v="Friday"/>
    <x v="0"/>
    <n v="1"/>
  </r>
  <r>
    <d v="2011-01-28T00:00:00"/>
    <n v="1"/>
    <n v="0"/>
    <n v="1"/>
    <n v="21"/>
    <x v="0"/>
    <n v="5"/>
    <n v="2"/>
    <n v="0.22"/>
    <n v="0.2273"/>
    <n v="0.75"/>
    <n v="0.1343"/>
    <n v="57"/>
    <n v="58"/>
    <s v="Friday"/>
    <x v="1"/>
    <n v="1"/>
  </r>
  <r>
    <d v="2011-01-28T00:00:00"/>
    <n v="1"/>
    <n v="0"/>
    <n v="1"/>
    <n v="22"/>
    <x v="0"/>
    <n v="5"/>
    <n v="1"/>
    <n v="0.24"/>
    <n v="0.21210000000000001"/>
    <n v="0.65"/>
    <n v="0.35820000000000002"/>
    <n v="26"/>
    <n v="26"/>
    <s v="Friday"/>
    <x v="0"/>
    <n v="0"/>
  </r>
  <r>
    <d v="2011-01-28T00:00:00"/>
    <n v="1"/>
    <n v="0"/>
    <n v="1"/>
    <n v="23"/>
    <x v="0"/>
    <n v="5"/>
    <n v="1"/>
    <n v="0.24"/>
    <n v="0.2273"/>
    <n v="0.6"/>
    <n v="0.22389999999999999"/>
    <n v="22"/>
    <n v="23"/>
    <s v="Friday"/>
    <x v="0"/>
    <n v="1"/>
  </r>
  <r>
    <d v="2011-01-29T00:00:00"/>
    <n v="1"/>
    <n v="0"/>
    <n v="1"/>
    <n v="0"/>
    <x v="0"/>
    <n v="6"/>
    <n v="1"/>
    <n v="0.22"/>
    <n v="0.19700000000000001"/>
    <n v="0.64"/>
    <n v="0.35820000000000002"/>
    <n v="26"/>
    <n v="28"/>
    <s v="Saturday"/>
    <x v="1"/>
    <n v="2"/>
  </r>
  <r>
    <d v="2011-01-29T00:00:00"/>
    <n v="1"/>
    <n v="0"/>
    <n v="1"/>
    <n v="1"/>
    <x v="0"/>
    <n v="6"/>
    <n v="1"/>
    <n v="0.22"/>
    <n v="0.2273"/>
    <n v="0.64"/>
    <n v="0.19400000000000001"/>
    <n v="20"/>
    <n v="20"/>
    <s v="Saturday"/>
    <x v="1"/>
    <n v="0"/>
  </r>
  <r>
    <d v="2011-01-29T00:00:00"/>
    <n v="1"/>
    <n v="0"/>
    <n v="1"/>
    <n v="2"/>
    <x v="0"/>
    <n v="6"/>
    <n v="1"/>
    <n v="0.22"/>
    <n v="0.2273"/>
    <n v="0.64"/>
    <n v="0.16420000000000001"/>
    <n v="15"/>
    <n v="15"/>
    <s v="Saturday"/>
    <x v="1"/>
    <n v="0"/>
  </r>
  <r>
    <d v="2011-01-29T00:00:00"/>
    <n v="1"/>
    <n v="0"/>
    <n v="1"/>
    <n v="3"/>
    <x v="0"/>
    <n v="6"/>
    <n v="1"/>
    <n v="0.2"/>
    <n v="0.21210000000000001"/>
    <n v="0.64"/>
    <n v="0.1343"/>
    <n v="5"/>
    <n v="8"/>
    <s v="Saturday"/>
    <x v="1"/>
    <n v="3"/>
  </r>
  <r>
    <d v="2011-01-29T00:00:00"/>
    <n v="1"/>
    <n v="0"/>
    <n v="1"/>
    <n v="4"/>
    <x v="0"/>
    <n v="6"/>
    <n v="1"/>
    <n v="0.16"/>
    <n v="0.18179999999999999"/>
    <n v="0.69"/>
    <n v="0.1045"/>
    <n v="2"/>
    <n v="3"/>
    <s v="Saturday"/>
    <x v="1"/>
    <n v="1"/>
  </r>
  <r>
    <d v="2011-01-29T00:00:00"/>
    <n v="1"/>
    <n v="0"/>
    <n v="1"/>
    <n v="6"/>
    <x v="0"/>
    <n v="6"/>
    <n v="1"/>
    <n v="0.16"/>
    <n v="0.18179999999999999"/>
    <n v="0.64"/>
    <n v="0.1343"/>
    <n v="2"/>
    <n v="2"/>
    <s v="Saturday"/>
    <x v="1"/>
    <n v="0"/>
  </r>
  <r>
    <d v="2011-01-29T00:00:00"/>
    <n v="1"/>
    <n v="0"/>
    <n v="1"/>
    <n v="7"/>
    <x v="0"/>
    <n v="6"/>
    <n v="1"/>
    <n v="0.16"/>
    <n v="0.18179999999999999"/>
    <n v="0.59"/>
    <n v="0.1045"/>
    <n v="4"/>
    <n v="5"/>
    <s v="Saturday"/>
    <x v="1"/>
    <n v="1"/>
  </r>
  <r>
    <d v="2011-01-29T00:00:00"/>
    <n v="1"/>
    <n v="0"/>
    <n v="1"/>
    <n v="8"/>
    <x v="0"/>
    <n v="6"/>
    <n v="1"/>
    <n v="0.18"/>
    <n v="0.19700000000000001"/>
    <n v="0.55000000000000004"/>
    <n v="0.16420000000000001"/>
    <n v="31"/>
    <n v="34"/>
    <s v="Saturday"/>
    <x v="1"/>
    <n v="3"/>
  </r>
  <r>
    <d v="2011-01-29T00:00:00"/>
    <n v="1"/>
    <n v="0"/>
    <n v="1"/>
    <n v="9"/>
    <x v="0"/>
    <n v="6"/>
    <n v="1"/>
    <n v="0.18"/>
    <n v="0.21210000000000001"/>
    <n v="0.59"/>
    <n v="8.9599999999999999E-2"/>
    <n v="34"/>
    <n v="34"/>
    <s v="Saturday"/>
    <x v="1"/>
    <n v="0"/>
  </r>
  <r>
    <d v="2011-01-29T00:00:00"/>
    <n v="1"/>
    <n v="0"/>
    <n v="1"/>
    <n v="10"/>
    <x v="0"/>
    <n v="6"/>
    <n v="2"/>
    <n v="0.18"/>
    <n v="0.21210000000000001"/>
    <n v="0.64"/>
    <n v="0.1045"/>
    <n v="51"/>
    <n v="55"/>
    <s v="Saturday"/>
    <x v="1"/>
    <n v="4"/>
  </r>
  <r>
    <d v="2011-01-29T00:00:00"/>
    <n v="1"/>
    <n v="0"/>
    <n v="1"/>
    <n v="11"/>
    <x v="0"/>
    <n v="6"/>
    <n v="2"/>
    <n v="0.18"/>
    <n v="0.19700000000000001"/>
    <n v="0.64"/>
    <n v="0.1343"/>
    <n v="60"/>
    <n v="64"/>
    <s v="Saturday"/>
    <x v="1"/>
    <n v="4"/>
  </r>
  <r>
    <d v="2011-01-29T00:00:00"/>
    <n v="1"/>
    <n v="0"/>
    <n v="1"/>
    <n v="12"/>
    <x v="0"/>
    <n v="6"/>
    <n v="2"/>
    <n v="0.2"/>
    <n v="0.19700000000000001"/>
    <n v="0.59"/>
    <n v="0.19400000000000001"/>
    <n v="66"/>
    <n v="78"/>
    <s v="Saturday"/>
    <x v="1"/>
    <n v="12"/>
  </r>
  <r>
    <d v="2011-01-29T00:00:00"/>
    <n v="1"/>
    <n v="0"/>
    <n v="1"/>
    <n v="13"/>
    <x v="0"/>
    <n v="6"/>
    <n v="2"/>
    <n v="0.22"/>
    <n v="0.2273"/>
    <n v="0.55000000000000004"/>
    <n v="0.16420000000000001"/>
    <n v="56"/>
    <n v="65"/>
    <s v="Saturday"/>
    <x v="1"/>
    <n v="9"/>
  </r>
  <r>
    <d v="2011-01-29T00:00:00"/>
    <n v="1"/>
    <n v="0"/>
    <n v="1"/>
    <n v="14"/>
    <x v="0"/>
    <n v="6"/>
    <n v="2"/>
    <n v="0.22"/>
    <n v="0.2273"/>
    <n v="0.6"/>
    <n v="0.1343"/>
    <n v="89"/>
    <n v="99"/>
    <s v="Saturday"/>
    <x v="1"/>
    <n v="10"/>
  </r>
  <r>
    <d v="2011-01-29T00:00:00"/>
    <n v="1"/>
    <n v="0"/>
    <n v="1"/>
    <n v="15"/>
    <x v="0"/>
    <n v="6"/>
    <n v="1"/>
    <n v="0.22"/>
    <n v="0.21210000000000001"/>
    <n v="0.69"/>
    <n v="0.25369999999999998"/>
    <n v="98"/>
    <n v="120"/>
    <s v="Saturday"/>
    <x v="1"/>
    <n v="22"/>
  </r>
  <r>
    <d v="2011-01-29T00:00:00"/>
    <n v="1"/>
    <n v="0"/>
    <n v="1"/>
    <n v="16"/>
    <x v="0"/>
    <n v="6"/>
    <n v="1"/>
    <n v="0.24"/>
    <n v="0.2424"/>
    <n v="0.6"/>
    <n v="0.16420000000000001"/>
    <n v="88"/>
    <n v="107"/>
    <s v="Saturday"/>
    <x v="0"/>
    <n v="19"/>
  </r>
  <r>
    <d v="2011-01-29T00:00:00"/>
    <n v="1"/>
    <n v="0"/>
    <n v="1"/>
    <n v="17"/>
    <x v="0"/>
    <n v="6"/>
    <n v="1"/>
    <n v="0.24"/>
    <n v="0.28789999999999999"/>
    <n v="0.6"/>
    <n v="0"/>
    <n v="82"/>
    <n v="91"/>
    <s v="Saturday"/>
    <x v="0"/>
    <n v="9"/>
  </r>
  <r>
    <d v="2011-01-29T00:00:00"/>
    <n v="1"/>
    <n v="0"/>
    <n v="1"/>
    <n v="18"/>
    <x v="0"/>
    <n v="6"/>
    <n v="1"/>
    <n v="0.22"/>
    <n v="0.2273"/>
    <n v="0.69"/>
    <n v="0.1343"/>
    <n v="59"/>
    <n v="68"/>
    <s v="Saturday"/>
    <x v="1"/>
    <n v="9"/>
  </r>
  <r>
    <d v="2011-01-29T00:00:00"/>
    <n v="1"/>
    <n v="0"/>
    <n v="1"/>
    <n v="19"/>
    <x v="0"/>
    <n v="6"/>
    <n v="2"/>
    <n v="0.22"/>
    <n v="0.21210000000000001"/>
    <n v="0.69"/>
    <n v="0.25369999999999998"/>
    <n v="52"/>
    <n v="58"/>
    <s v="Saturday"/>
    <x v="1"/>
    <n v="6"/>
  </r>
  <r>
    <d v="2011-01-29T00:00:00"/>
    <n v="1"/>
    <n v="0"/>
    <n v="1"/>
    <n v="20"/>
    <x v="0"/>
    <n v="6"/>
    <n v="1"/>
    <n v="0.18"/>
    <n v="0.21210000000000001"/>
    <n v="0.74"/>
    <n v="8.9599999999999999E-2"/>
    <n v="42"/>
    <n v="43"/>
    <s v="Saturday"/>
    <x v="1"/>
    <n v="1"/>
  </r>
  <r>
    <d v="2011-01-29T00:00:00"/>
    <n v="1"/>
    <n v="0"/>
    <n v="1"/>
    <n v="21"/>
    <x v="0"/>
    <n v="6"/>
    <n v="1"/>
    <n v="0.18"/>
    <n v="0.21210000000000001"/>
    <n v="0.74"/>
    <n v="8.9599999999999999E-2"/>
    <n v="35"/>
    <n v="36"/>
    <s v="Saturday"/>
    <x v="1"/>
    <n v="1"/>
  </r>
  <r>
    <d v="2011-01-29T00:00:00"/>
    <n v="1"/>
    <n v="0"/>
    <n v="1"/>
    <n v="22"/>
    <x v="0"/>
    <n v="6"/>
    <n v="1"/>
    <n v="0.16"/>
    <n v="0.19700000000000001"/>
    <n v="0.8"/>
    <n v="8.9599999999999999E-2"/>
    <n v="28"/>
    <n v="32"/>
    <s v="Saturday"/>
    <x v="1"/>
    <n v="4"/>
  </r>
  <r>
    <d v="2011-01-29T00:00:00"/>
    <n v="1"/>
    <n v="0"/>
    <n v="1"/>
    <n v="23"/>
    <x v="0"/>
    <n v="6"/>
    <n v="1"/>
    <n v="0.16"/>
    <n v="0.19700000000000001"/>
    <n v="0.8"/>
    <n v="8.9599999999999999E-2"/>
    <n v="30"/>
    <n v="33"/>
    <s v="Saturday"/>
    <x v="1"/>
    <n v="3"/>
  </r>
  <r>
    <d v="2011-01-30T00:00:00"/>
    <n v="1"/>
    <n v="0"/>
    <n v="1"/>
    <n v="0"/>
    <x v="0"/>
    <n v="0"/>
    <n v="1"/>
    <n v="0.16"/>
    <n v="0.18179999999999999"/>
    <n v="0.8"/>
    <n v="0.1045"/>
    <n v="33"/>
    <n v="33"/>
    <s v="Sunday"/>
    <x v="1"/>
    <n v="0"/>
  </r>
  <r>
    <d v="2011-01-30T00:00:00"/>
    <n v="1"/>
    <n v="0"/>
    <n v="1"/>
    <n v="1"/>
    <x v="0"/>
    <n v="0"/>
    <n v="1"/>
    <n v="0.14000000000000001"/>
    <n v="0.21210000000000001"/>
    <n v="0.8"/>
    <n v="0"/>
    <n v="22"/>
    <n v="29"/>
    <s v="Sunday"/>
    <x v="1"/>
    <n v="7"/>
  </r>
  <r>
    <d v="2011-01-30T00:00:00"/>
    <n v="1"/>
    <n v="0"/>
    <n v="1"/>
    <n v="2"/>
    <x v="0"/>
    <n v="0"/>
    <n v="1"/>
    <n v="0.16"/>
    <n v="0.2273"/>
    <n v="0.8"/>
    <n v="0"/>
    <n v="10"/>
    <n v="11"/>
    <s v="Sunday"/>
    <x v="1"/>
    <n v="1"/>
  </r>
  <r>
    <d v="2011-01-30T00:00:00"/>
    <n v="1"/>
    <n v="0"/>
    <n v="1"/>
    <n v="3"/>
    <x v="0"/>
    <n v="0"/>
    <n v="1"/>
    <n v="0.14000000000000001"/>
    <n v="0.21210000000000001"/>
    <n v="0.93"/>
    <n v="0"/>
    <n v="7"/>
    <n v="8"/>
    <s v="Sunday"/>
    <x v="1"/>
    <n v="1"/>
  </r>
  <r>
    <d v="2011-01-30T00:00:00"/>
    <n v="1"/>
    <n v="0"/>
    <n v="1"/>
    <n v="4"/>
    <x v="0"/>
    <n v="0"/>
    <n v="1"/>
    <n v="0.14000000000000001"/>
    <n v="0.21210000000000001"/>
    <n v="0.93"/>
    <n v="0"/>
    <n v="1"/>
    <n v="1"/>
    <s v="Sunday"/>
    <x v="1"/>
    <n v="0"/>
  </r>
  <r>
    <d v="2011-01-30T00:00:00"/>
    <n v="1"/>
    <n v="0"/>
    <n v="1"/>
    <n v="5"/>
    <x v="0"/>
    <n v="0"/>
    <n v="1"/>
    <n v="0.14000000000000001"/>
    <n v="0.21210000000000001"/>
    <n v="0.86"/>
    <n v="0"/>
    <n v="3"/>
    <n v="3"/>
    <s v="Sunday"/>
    <x v="1"/>
    <n v="0"/>
  </r>
  <r>
    <d v="2011-01-30T00:00:00"/>
    <n v="1"/>
    <n v="0"/>
    <n v="1"/>
    <n v="7"/>
    <x v="0"/>
    <n v="0"/>
    <n v="1"/>
    <n v="0.14000000000000001"/>
    <n v="0.21210000000000001"/>
    <n v="0.86"/>
    <n v="0"/>
    <n v="3"/>
    <n v="3"/>
    <s v="Sunday"/>
    <x v="1"/>
    <n v="0"/>
  </r>
  <r>
    <d v="2011-01-30T00:00:00"/>
    <n v="1"/>
    <n v="0"/>
    <n v="1"/>
    <n v="8"/>
    <x v="0"/>
    <n v="0"/>
    <n v="2"/>
    <n v="0.14000000000000001"/>
    <n v="0.21210000000000001"/>
    <n v="0.86"/>
    <n v="0"/>
    <n v="11"/>
    <n v="12"/>
    <s v="Sunday"/>
    <x v="1"/>
    <n v="1"/>
  </r>
  <r>
    <d v="2011-01-30T00:00:00"/>
    <n v="1"/>
    <n v="0"/>
    <n v="1"/>
    <n v="9"/>
    <x v="0"/>
    <n v="0"/>
    <n v="2"/>
    <n v="0.16"/>
    <n v="0.2273"/>
    <n v="0.8"/>
    <n v="0"/>
    <n v="34"/>
    <n v="38"/>
    <s v="Sunday"/>
    <x v="1"/>
    <n v="4"/>
  </r>
  <r>
    <d v="2011-01-30T00:00:00"/>
    <n v="1"/>
    <n v="0"/>
    <n v="1"/>
    <n v="10"/>
    <x v="0"/>
    <n v="0"/>
    <n v="2"/>
    <n v="0.18"/>
    <n v="0.2424"/>
    <n v="0.8"/>
    <n v="0"/>
    <n v="57"/>
    <n v="64"/>
    <s v="Sunday"/>
    <x v="1"/>
    <n v="7"/>
  </r>
  <r>
    <d v="2011-01-30T00:00:00"/>
    <n v="1"/>
    <n v="0"/>
    <n v="1"/>
    <n v="11"/>
    <x v="0"/>
    <n v="0"/>
    <n v="1"/>
    <n v="0.22"/>
    <n v="0.2727"/>
    <n v="0.75"/>
    <n v="0"/>
    <n v="50"/>
    <n v="59"/>
    <s v="Sunday"/>
    <x v="1"/>
    <n v="9"/>
  </r>
  <r>
    <d v="2011-01-30T00:00:00"/>
    <n v="1"/>
    <n v="0"/>
    <n v="1"/>
    <n v="12"/>
    <x v="0"/>
    <n v="0"/>
    <n v="1"/>
    <n v="0.3"/>
    <n v="0.31819999999999998"/>
    <n v="0.52"/>
    <n v="0.1045"/>
    <n v="87"/>
    <n v="97"/>
    <s v="Sunday"/>
    <x v="0"/>
    <n v="10"/>
  </r>
  <r>
    <d v="2011-01-30T00:00:00"/>
    <n v="1"/>
    <n v="0"/>
    <n v="1"/>
    <n v="13"/>
    <x v="0"/>
    <n v="0"/>
    <n v="1"/>
    <n v="0.28000000000000003"/>
    <n v="0.28789999999999999"/>
    <n v="0.61"/>
    <n v="0.1045"/>
    <n v="71"/>
    <n v="84"/>
    <s v="Sunday"/>
    <x v="0"/>
    <n v="13"/>
  </r>
  <r>
    <d v="2011-01-30T00:00:00"/>
    <n v="1"/>
    <n v="0"/>
    <n v="1"/>
    <n v="14"/>
    <x v="0"/>
    <n v="0"/>
    <n v="1"/>
    <n v="0.28000000000000003"/>
    <n v="0.30299999999999999"/>
    <n v="0.61"/>
    <n v="8.9599999999999999E-2"/>
    <n v="104"/>
    <n v="122"/>
    <s v="Sunday"/>
    <x v="0"/>
    <n v="18"/>
  </r>
  <r>
    <d v="2011-01-30T00:00:00"/>
    <n v="1"/>
    <n v="0"/>
    <n v="1"/>
    <n v="15"/>
    <x v="0"/>
    <n v="0"/>
    <n v="1"/>
    <n v="0.3"/>
    <n v="0.33329999999999999"/>
    <n v="0.56000000000000005"/>
    <n v="0"/>
    <n v="95"/>
    <n v="109"/>
    <s v="Sunday"/>
    <x v="0"/>
    <n v="14"/>
  </r>
  <r>
    <d v="2011-01-30T00:00:00"/>
    <n v="1"/>
    <n v="0"/>
    <n v="1"/>
    <n v="16"/>
    <x v="0"/>
    <n v="0"/>
    <n v="1"/>
    <n v="0.3"/>
    <n v="0.33329999999999999"/>
    <n v="0.56000000000000005"/>
    <n v="0"/>
    <n v="104"/>
    <n v="123"/>
    <s v="Sunday"/>
    <x v="0"/>
    <n v="19"/>
  </r>
  <r>
    <d v="2011-01-30T00:00:00"/>
    <n v="1"/>
    <n v="0"/>
    <n v="1"/>
    <n v="17"/>
    <x v="0"/>
    <n v="0"/>
    <n v="1"/>
    <n v="0.3"/>
    <n v="0.28789999999999999"/>
    <n v="0.56000000000000005"/>
    <n v="0.19400000000000001"/>
    <n v="71"/>
    <n v="77"/>
    <s v="Sunday"/>
    <x v="0"/>
    <n v="6"/>
  </r>
  <r>
    <d v="2011-01-30T00:00:00"/>
    <n v="1"/>
    <n v="0"/>
    <n v="1"/>
    <n v="18"/>
    <x v="0"/>
    <n v="0"/>
    <n v="1"/>
    <n v="0.26"/>
    <n v="0.2576"/>
    <n v="0.65"/>
    <n v="0.16420000000000001"/>
    <n v="57"/>
    <n v="65"/>
    <s v="Sunday"/>
    <x v="0"/>
    <n v="8"/>
  </r>
  <r>
    <d v="2011-01-30T00:00:00"/>
    <n v="1"/>
    <n v="0"/>
    <n v="1"/>
    <n v="19"/>
    <x v="0"/>
    <n v="0"/>
    <n v="1"/>
    <n v="0.26"/>
    <n v="0.2576"/>
    <n v="0.65"/>
    <n v="0.19400000000000001"/>
    <n v="46"/>
    <n v="55"/>
    <s v="Sunday"/>
    <x v="0"/>
    <n v="9"/>
  </r>
  <r>
    <d v="2011-01-30T00:00:00"/>
    <n v="1"/>
    <n v="0"/>
    <n v="1"/>
    <n v="20"/>
    <x v="0"/>
    <n v="0"/>
    <n v="2"/>
    <n v="0.26"/>
    <n v="0.2727"/>
    <n v="0.65"/>
    <n v="0.1045"/>
    <n v="30"/>
    <n v="33"/>
    <s v="Sunday"/>
    <x v="0"/>
    <n v="3"/>
  </r>
  <r>
    <d v="2011-01-30T00:00:00"/>
    <n v="1"/>
    <n v="0"/>
    <n v="1"/>
    <n v="21"/>
    <x v="0"/>
    <n v="0"/>
    <n v="2"/>
    <n v="0.24"/>
    <n v="0.2424"/>
    <n v="0.7"/>
    <n v="0.16420000000000001"/>
    <n v="25"/>
    <n v="28"/>
    <s v="Sunday"/>
    <x v="0"/>
    <n v="3"/>
  </r>
  <r>
    <d v="2011-01-30T00:00:00"/>
    <n v="1"/>
    <n v="0"/>
    <n v="1"/>
    <n v="22"/>
    <x v="0"/>
    <n v="0"/>
    <n v="2"/>
    <n v="0.24"/>
    <n v="0.2273"/>
    <n v="0.7"/>
    <n v="0.19400000000000001"/>
    <n v="19"/>
    <n v="21"/>
    <s v="Sunday"/>
    <x v="0"/>
    <n v="2"/>
  </r>
  <r>
    <d v="2011-01-30T00:00:00"/>
    <n v="1"/>
    <n v="0"/>
    <n v="1"/>
    <n v="23"/>
    <x v="0"/>
    <n v="0"/>
    <n v="2"/>
    <n v="0.24"/>
    <n v="0.21210000000000001"/>
    <n v="0.65"/>
    <n v="0.28360000000000002"/>
    <n v="16"/>
    <n v="21"/>
    <s v="Sunday"/>
    <x v="0"/>
    <n v="5"/>
  </r>
  <r>
    <d v="2011-01-31T00:00:00"/>
    <n v="1"/>
    <n v="0"/>
    <n v="1"/>
    <n v="0"/>
    <x v="0"/>
    <n v="1"/>
    <n v="2"/>
    <n v="0.24"/>
    <n v="0.2273"/>
    <n v="0.65"/>
    <n v="0.22389999999999999"/>
    <n v="6"/>
    <n v="7"/>
    <s v="Monday"/>
    <x v="0"/>
    <n v="1"/>
  </r>
  <r>
    <d v="2011-01-31T00:00:00"/>
    <n v="1"/>
    <n v="0"/>
    <n v="1"/>
    <n v="1"/>
    <x v="0"/>
    <n v="1"/>
    <n v="1"/>
    <n v="0.22"/>
    <n v="0.21210000000000001"/>
    <n v="0.64"/>
    <n v="0.25369999999999998"/>
    <n v="5"/>
    <n v="7"/>
    <s v="Monday"/>
    <x v="1"/>
    <n v="2"/>
  </r>
  <r>
    <d v="2011-01-31T00:00:00"/>
    <n v="1"/>
    <n v="0"/>
    <n v="1"/>
    <n v="2"/>
    <x v="0"/>
    <n v="1"/>
    <n v="1"/>
    <n v="0.22"/>
    <n v="0.2273"/>
    <n v="0.64"/>
    <n v="0.19400000000000001"/>
    <n v="1"/>
    <n v="1"/>
    <s v="Monday"/>
    <x v="1"/>
    <n v="0"/>
  </r>
  <r>
    <d v="2011-01-31T00:00:00"/>
    <n v="1"/>
    <n v="0"/>
    <n v="1"/>
    <n v="3"/>
    <x v="0"/>
    <n v="1"/>
    <n v="1"/>
    <n v="0.22"/>
    <n v="0.2273"/>
    <n v="0.64"/>
    <n v="0.19400000000000001"/>
    <n v="2"/>
    <n v="2"/>
    <s v="Monday"/>
    <x v="1"/>
    <n v="0"/>
  </r>
  <r>
    <d v="2011-01-31T00:00:00"/>
    <n v="1"/>
    <n v="0"/>
    <n v="1"/>
    <n v="4"/>
    <x v="0"/>
    <n v="1"/>
    <n v="1"/>
    <n v="0.2"/>
    <n v="0.19700000000000001"/>
    <n v="0.59"/>
    <n v="0.22389999999999999"/>
    <n v="2"/>
    <n v="2"/>
    <s v="Monday"/>
    <x v="1"/>
    <n v="0"/>
  </r>
  <r>
    <d v="2011-01-31T00:00:00"/>
    <n v="1"/>
    <n v="0"/>
    <n v="1"/>
    <n v="5"/>
    <x v="0"/>
    <n v="1"/>
    <n v="1"/>
    <n v="0.18"/>
    <n v="0.16669999999999999"/>
    <n v="0.64"/>
    <n v="0.28360000000000002"/>
    <n v="8"/>
    <n v="8"/>
    <s v="Monday"/>
    <x v="1"/>
    <n v="0"/>
  </r>
  <r>
    <d v="2011-01-31T00:00:00"/>
    <n v="1"/>
    <n v="0"/>
    <n v="1"/>
    <n v="6"/>
    <x v="0"/>
    <n v="1"/>
    <n v="1"/>
    <n v="0.16"/>
    <n v="0.13639999999999999"/>
    <n v="0.69"/>
    <n v="0.32840000000000003"/>
    <n v="37"/>
    <n v="37"/>
    <s v="Monday"/>
    <x v="1"/>
    <n v="0"/>
  </r>
  <r>
    <d v="2011-01-31T00:00:00"/>
    <n v="1"/>
    <n v="0"/>
    <n v="1"/>
    <n v="7"/>
    <x v="0"/>
    <n v="1"/>
    <n v="2"/>
    <n v="0.16"/>
    <n v="0.13639999999999999"/>
    <n v="0.64"/>
    <n v="0.28360000000000002"/>
    <n v="71"/>
    <n v="72"/>
    <s v="Monday"/>
    <x v="1"/>
    <n v="1"/>
  </r>
  <r>
    <d v="2011-01-31T00:00:00"/>
    <n v="1"/>
    <n v="0"/>
    <n v="1"/>
    <n v="8"/>
    <x v="0"/>
    <n v="1"/>
    <n v="2"/>
    <n v="0.16"/>
    <n v="0.13639999999999999"/>
    <n v="0.59"/>
    <n v="0.28360000000000002"/>
    <n v="182"/>
    <n v="185"/>
    <s v="Monday"/>
    <x v="1"/>
    <n v="3"/>
  </r>
  <r>
    <d v="2011-01-31T00:00:00"/>
    <n v="1"/>
    <n v="0"/>
    <n v="1"/>
    <n v="9"/>
    <x v="0"/>
    <n v="1"/>
    <n v="2"/>
    <n v="0.16"/>
    <n v="0.13639999999999999"/>
    <n v="0.59"/>
    <n v="0.29849999999999999"/>
    <n v="112"/>
    <n v="112"/>
    <s v="Monday"/>
    <x v="1"/>
    <n v="0"/>
  </r>
  <r>
    <d v="2011-01-31T00:00:00"/>
    <n v="1"/>
    <n v="0"/>
    <n v="1"/>
    <n v="10"/>
    <x v="0"/>
    <n v="1"/>
    <n v="2"/>
    <n v="0.16"/>
    <n v="0.1515"/>
    <n v="0.59"/>
    <n v="0.19400000000000001"/>
    <n v="68"/>
    <n v="69"/>
    <s v="Monday"/>
    <x v="1"/>
    <n v="1"/>
  </r>
  <r>
    <d v="2011-01-31T00:00:00"/>
    <n v="1"/>
    <n v="0"/>
    <n v="1"/>
    <n v="11"/>
    <x v="0"/>
    <n v="1"/>
    <n v="2"/>
    <n v="0.16"/>
    <n v="0.1515"/>
    <n v="0.59"/>
    <n v="0.19400000000000001"/>
    <n v="46"/>
    <n v="48"/>
    <s v="Monday"/>
    <x v="1"/>
    <n v="2"/>
  </r>
  <r>
    <d v="2011-01-31T00:00:00"/>
    <n v="1"/>
    <n v="0"/>
    <n v="1"/>
    <n v="12"/>
    <x v="0"/>
    <n v="1"/>
    <n v="2"/>
    <n v="0.18"/>
    <n v="0.21210000000000001"/>
    <n v="0.55000000000000004"/>
    <n v="0.1045"/>
    <n v="62"/>
    <n v="68"/>
    <s v="Monday"/>
    <x v="1"/>
    <n v="6"/>
  </r>
  <r>
    <d v="2011-01-31T00:00:00"/>
    <n v="1"/>
    <n v="0"/>
    <n v="1"/>
    <n v="13"/>
    <x v="0"/>
    <n v="1"/>
    <n v="2"/>
    <n v="0.16"/>
    <n v="0.2273"/>
    <n v="0.59"/>
    <n v="0"/>
    <n v="52"/>
    <n v="54"/>
    <s v="Monday"/>
    <x v="1"/>
    <n v="2"/>
  </r>
  <r>
    <d v="2011-01-31T00:00:00"/>
    <n v="1"/>
    <n v="0"/>
    <n v="1"/>
    <n v="14"/>
    <x v="0"/>
    <n v="1"/>
    <n v="2"/>
    <n v="0.18"/>
    <n v="0.19700000000000001"/>
    <n v="0.55000000000000004"/>
    <n v="0.1343"/>
    <n v="85"/>
    <n v="86"/>
    <s v="Monday"/>
    <x v="1"/>
    <n v="1"/>
  </r>
  <r>
    <d v="2011-01-31T00:00:00"/>
    <n v="1"/>
    <n v="0"/>
    <n v="1"/>
    <n v="15"/>
    <x v="0"/>
    <n v="1"/>
    <n v="2"/>
    <n v="0.16"/>
    <n v="0.18179999999999999"/>
    <n v="0.59"/>
    <n v="0.1343"/>
    <n v="41"/>
    <n v="44"/>
    <s v="Monday"/>
    <x v="1"/>
    <n v="3"/>
  </r>
  <r>
    <d v="2011-01-31T00:00:00"/>
    <n v="1"/>
    <n v="0"/>
    <n v="1"/>
    <n v="16"/>
    <x v="0"/>
    <n v="1"/>
    <n v="2"/>
    <n v="0.16"/>
    <n v="0.18179999999999999"/>
    <n v="0.56000000000000005"/>
    <n v="0.19400000000000001"/>
    <n v="83"/>
    <n v="86"/>
    <s v="Monday"/>
    <x v="1"/>
    <n v="3"/>
  </r>
  <r>
    <d v="2011-01-31T00:00:00"/>
    <n v="1"/>
    <n v="0"/>
    <n v="1"/>
    <n v="17"/>
    <x v="0"/>
    <n v="1"/>
    <n v="2"/>
    <n v="0.16"/>
    <n v="0.1515"/>
    <n v="0.59"/>
    <n v="0.19400000000000001"/>
    <n v="155"/>
    <n v="161"/>
    <s v="Monday"/>
    <x v="1"/>
    <n v="6"/>
  </r>
  <r>
    <d v="2011-01-31T00:00:00"/>
    <n v="1"/>
    <n v="0"/>
    <n v="1"/>
    <n v="18"/>
    <x v="0"/>
    <n v="1"/>
    <n v="2"/>
    <n v="0.16"/>
    <n v="0.1515"/>
    <n v="0.55000000000000004"/>
    <n v="0.22389999999999999"/>
    <n v="153"/>
    <n v="156"/>
    <s v="Monday"/>
    <x v="1"/>
    <n v="3"/>
  </r>
  <r>
    <d v="2011-01-31T00:00:00"/>
    <n v="1"/>
    <n v="0"/>
    <n v="1"/>
    <n v="19"/>
    <x v="0"/>
    <n v="1"/>
    <n v="1"/>
    <n v="0.3"/>
    <n v="0.31819999999999998"/>
    <n v="0.61"/>
    <n v="0.1045"/>
    <n v="108"/>
    <n v="111"/>
    <s v="Monday"/>
    <x v="0"/>
    <n v="3"/>
  </r>
  <r>
    <d v="2011-01-31T00:00:00"/>
    <n v="1"/>
    <n v="0"/>
    <n v="1"/>
    <n v="20"/>
    <x v="0"/>
    <n v="1"/>
    <n v="3"/>
    <n v="0.16"/>
    <n v="0.16669999999999999"/>
    <n v="0.59"/>
    <n v="0.16420000000000001"/>
    <n v="78"/>
    <n v="78"/>
    <s v="Monday"/>
    <x v="1"/>
    <n v="0"/>
  </r>
  <r>
    <d v="2011-01-31T00:00:00"/>
    <n v="1"/>
    <n v="0"/>
    <n v="1"/>
    <n v="21"/>
    <x v="0"/>
    <n v="1"/>
    <n v="3"/>
    <n v="0.16"/>
    <n v="0.19700000000000001"/>
    <n v="0.59"/>
    <n v="8.9599999999999999E-2"/>
    <n v="53"/>
    <n v="56"/>
    <s v="Monday"/>
    <x v="1"/>
    <n v="3"/>
  </r>
  <r>
    <d v="2011-01-31T00:00:00"/>
    <n v="1"/>
    <n v="0"/>
    <n v="1"/>
    <n v="22"/>
    <x v="0"/>
    <n v="1"/>
    <n v="2"/>
    <n v="0.16"/>
    <n v="0.18179999999999999"/>
    <n v="0.59"/>
    <n v="0.1045"/>
    <n v="34"/>
    <n v="34"/>
    <s v="Monday"/>
    <x v="1"/>
    <n v="0"/>
  </r>
  <r>
    <d v="2011-01-31T00:00:00"/>
    <n v="1"/>
    <n v="0"/>
    <n v="1"/>
    <n v="23"/>
    <x v="0"/>
    <n v="1"/>
    <n v="2"/>
    <n v="0.16"/>
    <n v="0.19700000000000001"/>
    <n v="0.64"/>
    <n v="8.9599999999999999E-2"/>
    <n v="15"/>
    <n v="17"/>
    <s v="Monday"/>
    <x v="1"/>
    <n v="2"/>
  </r>
  <r>
    <d v="2011-02-01T00:00:00"/>
    <n v="1"/>
    <n v="0"/>
    <n v="2"/>
    <n v="0"/>
    <x v="0"/>
    <n v="2"/>
    <n v="2"/>
    <n v="0.16"/>
    <n v="0.18179999999999999"/>
    <n v="0.64"/>
    <n v="0.1045"/>
    <n v="6"/>
    <n v="8"/>
    <s v="Tuesday"/>
    <x v="1"/>
    <n v="2"/>
  </r>
  <r>
    <d v="2011-02-01T00:00:00"/>
    <n v="1"/>
    <n v="0"/>
    <n v="2"/>
    <n v="1"/>
    <x v="0"/>
    <n v="2"/>
    <n v="2"/>
    <n v="0.16"/>
    <n v="0.18179999999999999"/>
    <n v="0.69"/>
    <n v="0.1045"/>
    <n v="3"/>
    <n v="3"/>
    <s v="Tuesday"/>
    <x v="1"/>
    <n v="0"/>
  </r>
  <r>
    <d v="2011-02-01T00:00:00"/>
    <n v="1"/>
    <n v="0"/>
    <n v="2"/>
    <n v="2"/>
    <x v="0"/>
    <n v="2"/>
    <n v="2"/>
    <n v="0.16"/>
    <n v="0.2273"/>
    <n v="0.69"/>
    <n v="0"/>
    <n v="2"/>
    <n v="2"/>
    <s v="Tuesday"/>
    <x v="1"/>
    <n v="0"/>
  </r>
  <r>
    <d v="2011-02-01T00:00:00"/>
    <n v="1"/>
    <n v="0"/>
    <n v="2"/>
    <n v="3"/>
    <x v="0"/>
    <n v="2"/>
    <n v="2"/>
    <n v="0.16"/>
    <n v="0.2273"/>
    <n v="0.69"/>
    <n v="0"/>
    <n v="2"/>
    <n v="2"/>
    <s v="Tuesday"/>
    <x v="1"/>
    <n v="0"/>
  </r>
  <r>
    <d v="2011-02-01T00:00:00"/>
    <n v="1"/>
    <n v="0"/>
    <n v="2"/>
    <n v="5"/>
    <x v="0"/>
    <n v="2"/>
    <n v="3"/>
    <n v="0.14000000000000001"/>
    <n v="0.21210000000000001"/>
    <n v="0.93"/>
    <n v="0"/>
    <n v="3"/>
    <n v="3"/>
    <s v="Tuesday"/>
    <x v="1"/>
    <n v="0"/>
  </r>
  <r>
    <d v="2011-02-01T00:00:00"/>
    <n v="1"/>
    <n v="0"/>
    <n v="2"/>
    <n v="6"/>
    <x v="0"/>
    <n v="2"/>
    <n v="3"/>
    <n v="0.14000000000000001"/>
    <n v="0.21210000000000001"/>
    <n v="0.93"/>
    <n v="0"/>
    <n v="22"/>
    <n v="22"/>
    <s v="Tuesday"/>
    <x v="1"/>
    <n v="0"/>
  </r>
  <r>
    <d v="2011-02-01T00:00:00"/>
    <n v="1"/>
    <n v="0"/>
    <n v="2"/>
    <n v="7"/>
    <x v="0"/>
    <n v="2"/>
    <n v="3"/>
    <n v="0.16"/>
    <n v="0.2273"/>
    <n v="0.93"/>
    <n v="0"/>
    <n v="52"/>
    <n v="52"/>
    <s v="Tuesday"/>
    <x v="1"/>
    <n v="0"/>
  </r>
  <r>
    <d v="2011-02-01T00:00:00"/>
    <n v="1"/>
    <n v="0"/>
    <n v="2"/>
    <n v="8"/>
    <x v="0"/>
    <n v="2"/>
    <n v="3"/>
    <n v="0.16"/>
    <n v="0.2273"/>
    <n v="0.93"/>
    <n v="0"/>
    <n v="132"/>
    <n v="135"/>
    <s v="Tuesday"/>
    <x v="1"/>
    <n v="3"/>
  </r>
  <r>
    <d v="2011-02-01T00:00:00"/>
    <n v="1"/>
    <n v="0"/>
    <n v="2"/>
    <n v="9"/>
    <x v="0"/>
    <n v="2"/>
    <n v="2"/>
    <n v="0.16"/>
    <n v="0.2273"/>
    <n v="0.93"/>
    <n v="0"/>
    <n v="114"/>
    <n v="116"/>
    <s v="Tuesday"/>
    <x v="1"/>
    <n v="2"/>
  </r>
  <r>
    <d v="2011-02-01T00:00:00"/>
    <n v="1"/>
    <n v="0"/>
    <n v="2"/>
    <n v="10"/>
    <x v="0"/>
    <n v="2"/>
    <n v="2"/>
    <n v="0.16"/>
    <n v="0.2273"/>
    <n v="0.93"/>
    <n v="0"/>
    <n v="47"/>
    <n v="47"/>
    <s v="Tuesday"/>
    <x v="1"/>
    <n v="0"/>
  </r>
  <r>
    <d v="2011-02-01T00:00:00"/>
    <n v="1"/>
    <n v="0"/>
    <n v="2"/>
    <n v="11"/>
    <x v="0"/>
    <n v="2"/>
    <n v="2"/>
    <n v="0.18"/>
    <n v="0.2424"/>
    <n v="0.86"/>
    <n v="0"/>
    <n v="49"/>
    <n v="51"/>
    <s v="Tuesday"/>
    <x v="1"/>
    <n v="2"/>
  </r>
  <r>
    <d v="2011-02-01T00:00:00"/>
    <n v="1"/>
    <n v="0"/>
    <n v="2"/>
    <n v="12"/>
    <x v="0"/>
    <n v="2"/>
    <n v="2"/>
    <n v="0.2"/>
    <n v="0.2576"/>
    <n v="0.86"/>
    <n v="0"/>
    <n v="53"/>
    <n v="55"/>
    <s v="Tuesday"/>
    <x v="1"/>
    <n v="2"/>
  </r>
  <r>
    <d v="2011-02-01T00:00:00"/>
    <n v="1"/>
    <n v="0"/>
    <n v="2"/>
    <n v="13"/>
    <x v="0"/>
    <n v="2"/>
    <n v="2"/>
    <n v="0.2"/>
    <n v="0.2576"/>
    <n v="0.86"/>
    <n v="0"/>
    <n v="49"/>
    <n v="52"/>
    <s v="Tuesday"/>
    <x v="1"/>
    <n v="3"/>
  </r>
  <r>
    <d v="2011-02-01T00:00:00"/>
    <n v="1"/>
    <n v="0"/>
    <n v="2"/>
    <n v="14"/>
    <x v="0"/>
    <n v="2"/>
    <n v="2"/>
    <n v="0.22"/>
    <n v="0.2576"/>
    <n v="0.8"/>
    <n v="8.9599999999999999E-2"/>
    <n v="49"/>
    <n v="54"/>
    <s v="Tuesday"/>
    <x v="1"/>
    <n v="5"/>
  </r>
  <r>
    <d v="2011-02-01T00:00:00"/>
    <n v="1"/>
    <n v="0"/>
    <n v="2"/>
    <n v="15"/>
    <x v="0"/>
    <n v="2"/>
    <n v="2"/>
    <n v="0.24"/>
    <n v="0.28789999999999999"/>
    <n v="0.75"/>
    <n v="0"/>
    <n v="45"/>
    <n v="52"/>
    <s v="Tuesday"/>
    <x v="0"/>
    <n v="7"/>
  </r>
  <r>
    <d v="2011-02-01T00:00:00"/>
    <n v="1"/>
    <n v="0"/>
    <n v="2"/>
    <n v="16"/>
    <x v="0"/>
    <n v="2"/>
    <n v="2"/>
    <n v="0.24"/>
    <n v="0.2424"/>
    <n v="0.75"/>
    <n v="0.1343"/>
    <n v="61"/>
    <n v="64"/>
    <s v="Tuesday"/>
    <x v="0"/>
    <n v="3"/>
  </r>
  <r>
    <d v="2011-02-01T00:00:00"/>
    <n v="1"/>
    <n v="0"/>
    <n v="2"/>
    <n v="17"/>
    <x v="0"/>
    <n v="2"/>
    <n v="2"/>
    <n v="0.24"/>
    <n v="0.28789999999999999"/>
    <n v="0.75"/>
    <n v="0"/>
    <n v="172"/>
    <n v="176"/>
    <s v="Tuesday"/>
    <x v="0"/>
    <n v="4"/>
  </r>
  <r>
    <d v="2011-02-01T00:00:00"/>
    <n v="1"/>
    <n v="0"/>
    <n v="2"/>
    <n v="18"/>
    <x v="0"/>
    <n v="2"/>
    <n v="2"/>
    <n v="0.24"/>
    <n v="0.2576"/>
    <n v="0.81"/>
    <n v="0.1045"/>
    <n v="165"/>
    <n v="168"/>
    <s v="Tuesday"/>
    <x v="0"/>
    <n v="3"/>
  </r>
  <r>
    <d v="2011-02-01T00:00:00"/>
    <n v="1"/>
    <n v="0"/>
    <n v="2"/>
    <n v="19"/>
    <x v="0"/>
    <n v="2"/>
    <n v="2"/>
    <n v="0.24"/>
    <n v="0.2424"/>
    <n v="0.81"/>
    <n v="0.1343"/>
    <n v="105"/>
    <n v="108"/>
    <s v="Tuesday"/>
    <x v="0"/>
    <n v="3"/>
  </r>
  <r>
    <d v="2011-02-01T00:00:00"/>
    <n v="1"/>
    <n v="0"/>
    <n v="2"/>
    <n v="20"/>
    <x v="0"/>
    <n v="2"/>
    <n v="2"/>
    <n v="0.22"/>
    <n v="0.2273"/>
    <n v="0.87"/>
    <n v="0.1343"/>
    <n v="69"/>
    <n v="74"/>
    <s v="Tuesday"/>
    <x v="1"/>
    <n v="5"/>
  </r>
  <r>
    <d v="2011-02-01T00:00:00"/>
    <n v="1"/>
    <n v="0"/>
    <n v="2"/>
    <n v="21"/>
    <x v="0"/>
    <n v="2"/>
    <n v="2"/>
    <n v="0.22"/>
    <n v="0.2273"/>
    <n v="0.87"/>
    <n v="0.1343"/>
    <n v="64"/>
    <n v="64"/>
    <s v="Tuesday"/>
    <x v="1"/>
    <n v="0"/>
  </r>
  <r>
    <d v="2011-02-01T00:00:00"/>
    <n v="1"/>
    <n v="0"/>
    <n v="2"/>
    <n v="22"/>
    <x v="0"/>
    <n v="2"/>
    <n v="2"/>
    <n v="0.22"/>
    <n v="0.2576"/>
    <n v="0.87"/>
    <n v="8.9599999999999999E-2"/>
    <n v="34"/>
    <n v="36"/>
    <s v="Tuesday"/>
    <x v="1"/>
    <n v="2"/>
  </r>
  <r>
    <d v="2011-02-01T00:00:00"/>
    <n v="1"/>
    <n v="0"/>
    <n v="2"/>
    <n v="23"/>
    <x v="0"/>
    <n v="2"/>
    <n v="3"/>
    <n v="0.2"/>
    <n v="0.19700000000000001"/>
    <n v="0.93"/>
    <n v="0.19400000000000001"/>
    <n v="15"/>
    <n v="16"/>
    <s v="Tuesday"/>
    <x v="1"/>
    <n v="1"/>
  </r>
  <r>
    <d v="2011-02-02T00:00:00"/>
    <n v="1"/>
    <n v="0"/>
    <n v="2"/>
    <n v="0"/>
    <x v="0"/>
    <n v="3"/>
    <n v="3"/>
    <n v="0.22"/>
    <n v="0.2424"/>
    <n v="0.93"/>
    <n v="0.1045"/>
    <n v="2"/>
    <n v="2"/>
    <s v="Wednesday"/>
    <x v="1"/>
    <n v="0"/>
  </r>
  <r>
    <d v="2011-02-02T00:00:00"/>
    <n v="1"/>
    <n v="0"/>
    <n v="2"/>
    <n v="1"/>
    <x v="0"/>
    <n v="3"/>
    <n v="3"/>
    <n v="0.22"/>
    <n v="0.2273"/>
    <n v="0.93"/>
    <n v="0.19400000000000001"/>
    <n v="3"/>
    <n v="3"/>
    <s v="Wednesday"/>
    <x v="1"/>
    <n v="0"/>
  </r>
  <r>
    <d v="2011-02-02T00:00:00"/>
    <n v="1"/>
    <n v="0"/>
    <n v="2"/>
    <n v="2"/>
    <x v="0"/>
    <n v="3"/>
    <n v="3"/>
    <n v="0.22"/>
    <n v="0.2273"/>
    <n v="0.93"/>
    <n v="0.1343"/>
    <n v="0"/>
    <n v="4"/>
    <s v="Wednesday"/>
    <x v="1"/>
    <n v="4"/>
  </r>
  <r>
    <d v="2011-02-02T00:00:00"/>
    <n v="1"/>
    <n v="0"/>
    <n v="2"/>
    <n v="3"/>
    <x v="0"/>
    <n v="3"/>
    <n v="3"/>
    <n v="0.22"/>
    <n v="0.2273"/>
    <n v="0.93"/>
    <n v="0.1343"/>
    <n v="1"/>
    <n v="1"/>
    <s v="Wednesday"/>
    <x v="1"/>
    <n v="0"/>
  </r>
  <r>
    <d v="2011-02-02T00:00:00"/>
    <n v="1"/>
    <n v="0"/>
    <n v="2"/>
    <n v="4"/>
    <x v="0"/>
    <n v="3"/>
    <n v="3"/>
    <n v="0.22"/>
    <n v="0.21210000000000001"/>
    <n v="0.93"/>
    <n v="0.28360000000000002"/>
    <n v="1"/>
    <n v="1"/>
    <s v="Wednesday"/>
    <x v="1"/>
    <n v="0"/>
  </r>
  <r>
    <d v="2011-02-02T00:00:00"/>
    <n v="1"/>
    <n v="0"/>
    <n v="2"/>
    <n v="5"/>
    <x v="0"/>
    <n v="3"/>
    <n v="3"/>
    <n v="0.22"/>
    <n v="0.2424"/>
    <n v="0.93"/>
    <n v="0.1045"/>
    <n v="3"/>
    <n v="3"/>
    <s v="Wednesday"/>
    <x v="1"/>
    <n v="0"/>
  </r>
  <r>
    <d v="2011-02-02T00:00:00"/>
    <n v="1"/>
    <n v="0"/>
    <n v="2"/>
    <n v="6"/>
    <x v="0"/>
    <n v="3"/>
    <n v="3"/>
    <n v="0.22"/>
    <n v="0.2424"/>
    <n v="0.93"/>
    <n v="0.1045"/>
    <n v="17"/>
    <n v="18"/>
    <s v="Wednesday"/>
    <x v="1"/>
    <n v="1"/>
  </r>
  <r>
    <d v="2011-02-02T00:00:00"/>
    <n v="1"/>
    <n v="0"/>
    <n v="2"/>
    <n v="7"/>
    <x v="0"/>
    <n v="3"/>
    <n v="3"/>
    <n v="0.22"/>
    <n v="0.21210000000000001"/>
    <n v="0.93"/>
    <n v="0.22389999999999999"/>
    <n v="48"/>
    <n v="49"/>
    <s v="Wednesday"/>
    <x v="1"/>
    <n v="1"/>
  </r>
  <r>
    <d v="2011-02-02T00:00:00"/>
    <n v="1"/>
    <n v="0"/>
    <n v="2"/>
    <n v="8"/>
    <x v="0"/>
    <n v="3"/>
    <n v="3"/>
    <n v="0.22"/>
    <n v="0.21210000000000001"/>
    <n v="0.93"/>
    <n v="0.22389999999999999"/>
    <n v="154"/>
    <n v="155"/>
    <s v="Wednesday"/>
    <x v="1"/>
    <n v="1"/>
  </r>
  <r>
    <d v="2011-02-02T00:00:00"/>
    <n v="1"/>
    <n v="0"/>
    <n v="2"/>
    <n v="9"/>
    <x v="0"/>
    <n v="3"/>
    <n v="2"/>
    <n v="0.24"/>
    <n v="0.2576"/>
    <n v="0.93"/>
    <n v="8.9599999999999999E-2"/>
    <n v="119"/>
    <n v="123"/>
    <s v="Wednesday"/>
    <x v="0"/>
    <n v="4"/>
  </r>
  <r>
    <d v="2011-02-02T00:00:00"/>
    <n v="1"/>
    <n v="0"/>
    <n v="2"/>
    <n v="10"/>
    <x v="0"/>
    <n v="3"/>
    <n v="2"/>
    <n v="0.22"/>
    <n v="0.2727"/>
    <n v="1"/>
    <n v="0"/>
    <n v="59"/>
    <n v="61"/>
    <s v="Wednesday"/>
    <x v="1"/>
    <n v="2"/>
  </r>
  <r>
    <d v="2011-02-02T00:00:00"/>
    <n v="1"/>
    <n v="0"/>
    <n v="2"/>
    <n v="11"/>
    <x v="0"/>
    <n v="3"/>
    <n v="2"/>
    <n v="0.24"/>
    <n v="0.2273"/>
    <n v="0.93"/>
    <n v="0.19400000000000001"/>
    <n v="47"/>
    <n v="52"/>
    <s v="Wednesday"/>
    <x v="0"/>
    <n v="5"/>
  </r>
  <r>
    <d v="2011-02-02T00:00:00"/>
    <n v="1"/>
    <n v="0"/>
    <n v="2"/>
    <n v="12"/>
    <x v="0"/>
    <n v="3"/>
    <n v="2"/>
    <n v="0.24"/>
    <n v="0.2273"/>
    <n v="0.93"/>
    <n v="0.22389999999999999"/>
    <n v="61"/>
    <n v="64"/>
    <s v="Wednesday"/>
    <x v="0"/>
    <n v="3"/>
  </r>
  <r>
    <d v="2011-02-02T00:00:00"/>
    <n v="1"/>
    <n v="0"/>
    <n v="2"/>
    <n v="13"/>
    <x v="0"/>
    <n v="3"/>
    <n v="1"/>
    <n v="0.34"/>
    <n v="0.33329999999999999"/>
    <n v="0.93"/>
    <n v="0.16420000000000001"/>
    <n v="74"/>
    <n v="75"/>
    <s v="Wednesday"/>
    <x v="0"/>
    <n v="1"/>
  </r>
  <r>
    <d v="2011-02-02T00:00:00"/>
    <n v="1"/>
    <n v="0"/>
    <n v="2"/>
    <n v="14"/>
    <x v="0"/>
    <n v="3"/>
    <n v="1"/>
    <n v="0.38"/>
    <n v="0.39389999999999997"/>
    <n v="0.82"/>
    <n v="0.3881"/>
    <n v="61"/>
    <n v="63"/>
    <s v="Wednesday"/>
    <x v="0"/>
    <n v="2"/>
  </r>
  <r>
    <d v="2011-02-02T00:00:00"/>
    <n v="1"/>
    <n v="0"/>
    <n v="2"/>
    <n v="15"/>
    <x v="0"/>
    <n v="3"/>
    <n v="1"/>
    <n v="0.38"/>
    <n v="0.39389999999999997"/>
    <n v="0.76"/>
    <n v="0.32840000000000003"/>
    <n v="66"/>
    <n v="76"/>
    <s v="Wednesday"/>
    <x v="0"/>
    <n v="10"/>
  </r>
  <r>
    <d v="2011-02-02T00:00:00"/>
    <n v="1"/>
    <n v="0"/>
    <n v="2"/>
    <n v="16"/>
    <x v="0"/>
    <n v="3"/>
    <n v="1"/>
    <n v="0.36"/>
    <n v="0.33329999999999999"/>
    <n v="0.71"/>
    <n v="0.29849999999999999"/>
    <n v="95"/>
    <n v="103"/>
    <s v="Wednesday"/>
    <x v="0"/>
    <n v="8"/>
  </r>
  <r>
    <d v="2011-02-02T00:00:00"/>
    <n v="1"/>
    <n v="0"/>
    <n v="2"/>
    <n v="17"/>
    <x v="0"/>
    <n v="3"/>
    <n v="1"/>
    <n v="0.36"/>
    <n v="0.31819999999999998"/>
    <n v="0.53"/>
    <n v="0.52239999999999998"/>
    <n v="183"/>
    <n v="190"/>
    <s v="Wednesday"/>
    <x v="0"/>
    <n v="7"/>
  </r>
  <r>
    <d v="2011-02-02T00:00:00"/>
    <n v="1"/>
    <n v="0"/>
    <n v="2"/>
    <n v="18"/>
    <x v="0"/>
    <n v="3"/>
    <n v="1"/>
    <n v="0.34"/>
    <n v="0.28789999999999999"/>
    <n v="0.42"/>
    <n v="0.55220000000000002"/>
    <n v="175"/>
    <n v="182"/>
    <s v="Wednesday"/>
    <x v="0"/>
    <n v="7"/>
  </r>
  <r>
    <d v="2011-02-02T00:00:00"/>
    <n v="1"/>
    <n v="0"/>
    <n v="2"/>
    <n v="19"/>
    <x v="0"/>
    <n v="3"/>
    <n v="1"/>
    <n v="0.28000000000000003"/>
    <n v="0.2424"/>
    <n v="0.45"/>
    <n v="0.49249999999999999"/>
    <n v="88"/>
    <n v="91"/>
    <s v="Wednesday"/>
    <x v="0"/>
    <n v="3"/>
  </r>
  <r>
    <d v="2011-02-02T00:00:00"/>
    <n v="1"/>
    <n v="0"/>
    <n v="2"/>
    <n v="20"/>
    <x v="0"/>
    <n v="3"/>
    <n v="1"/>
    <n v="0.24"/>
    <n v="0.19700000000000001"/>
    <n v="0.48"/>
    <n v="0.55220000000000002"/>
    <n v="71"/>
    <n v="75"/>
    <s v="Wednesday"/>
    <x v="0"/>
    <n v="4"/>
  </r>
  <r>
    <d v="2011-02-02T00:00:00"/>
    <n v="1"/>
    <n v="0"/>
    <n v="2"/>
    <n v="21"/>
    <x v="0"/>
    <n v="3"/>
    <n v="1"/>
    <n v="0.22"/>
    <n v="0.19700000000000001"/>
    <n v="0.47"/>
    <n v="0.32840000000000003"/>
    <n v="62"/>
    <n v="63"/>
    <s v="Wednesday"/>
    <x v="1"/>
    <n v="1"/>
  </r>
  <r>
    <d v="2011-02-02T00:00:00"/>
    <n v="1"/>
    <n v="0"/>
    <n v="2"/>
    <n v="22"/>
    <x v="0"/>
    <n v="3"/>
    <n v="1"/>
    <n v="0.22"/>
    <n v="0.21210000000000001"/>
    <n v="0.44"/>
    <n v="0.25369999999999998"/>
    <n v="35"/>
    <n v="40"/>
    <s v="Wednesday"/>
    <x v="1"/>
    <n v="5"/>
  </r>
  <r>
    <d v="2011-02-02T00:00:00"/>
    <n v="1"/>
    <n v="0"/>
    <n v="2"/>
    <n v="23"/>
    <x v="0"/>
    <n v="3"/>
    <n v="1"/>
    <n v="0.2"/>
    <n v="0.16669999999999999"/>
    <n v="0.44"/>
    <n v="0.44779999999999998"/>
    <n v="29"/>
    <n v="32"/>
    <s v="Wednesday"/>
    <x v="1"/>
    <n v="3"/>
  </r>
  <r>
    <d v="2011-02-03T00:00:00"/>
    <n v="1"/>
    <n v="0"/>
    <n v="2"/>
    <n v="0"/>
    <x v="0"/>
    <n v="4"/>
    <n v="1"/>
    <n v="0.2"/>
    <n v="0.16669999999999999"/>
    <n v="0.4"/>
    <n v="0.44779999999999998"/>
    <n v="11"/>
    <n v="12"/>
    <s v="Thursday"/>
    <x v="1"/>
    <n v="1"/>
  </r>
  <r>
    <d v="2011-02-03T00:00:00"/>
    <n v="1"/>
    <n v="0"/>
    <n v="2"/>
    <n v="1"/>
    <x v="0"/>
    <n v="4"/>
    <n v="1"/>
    <n v="0.2"/>
    <n v="0.1515"/>
    <n v="0.44"/>
    <n v="0.52239999999999998"/>
    <n v="5"/>
    <n v="5"/>
    <s v="Thursday"/>
    <x v="1"/>
    <n v="0"/>
  </r>
  <r>
    <d v="2011-02-03T00:00:00"/>
    <n v="1"/>
    <n v="0"/>
    <n v="2"/>
    <n v="2"/>
    <x v="0"/>
    <n v="4"/>
    <n v="1"/>
    <n v="0.18"/>
    <n v="0.16669999999999999"/>
    <n v="0.43"/>
    <n v="0.25369999999999998"/>
    <n v="2"/>
    <n v="2"/>
    <s v="Thursday"/>
    <x v="1"/>
    <n v="0"/>
  </r>
  <r>
    <d v="2011-02-03T00:00:00"/>
    <n v="1"/>
    <n v="0"/>
    <n v="2"/>
    <n v="3"/>
    <x v="0"/>
    <n v="4"/>
    <n v="1"/>
    <n v="0.18"/>
    <n v="0.16669999999999999"/>
    <n v="0.43"/>
    <n v="0.25369999999999998"/>
    <n v="1"/>
    <n v="1"/>
    <s v="Thursday"/>
    <x v="1"/>
    <n v="0"/>
  </r>
  <r>
    <d v="2011-02-03T00:00:00"/>
    <n v="1"/>
    <n v="0"/>
    <n v="2"/>
    <n v="5"/>
    <x v="0"/>
    <n v="4"/>
    <n v="1"/>
    <n v="0.16"/>
    <n v="0.13639999999999999"/>
    <n v="0.5"/>
    <n v="0.29849999999999999"/>
    <n v="2"/>
    <n v="2"/>
    <s v="Thursday"/>
    <x v="1"/>
    <n v="0"/>
  </r>
  <r>
    <d v="2011-02-03T00:00:00"/>
    <n v="1"/>
    <n v="0"/>
    <n v="2"/>
    <n v="6"/>
    <x v="0"/>
    <n v="4"/>
    <n v="1"/>
    <n v="0.16"/>
    <n v="0.13639999999999999"/>
    <n v="0.43"/>
    <n v="0.35820000000000002"/>
    <n v="39"/>
    <n v="39"/>
    <s v="Thursday"/>
    <x v="1"/>
    <n v="0"/>
  </r>
  <r>
    <d v="2011-02-03T00:00:00"/>
    <n v="1"/>
    <n v="0"/>
    <n v="2"/>
    <n v="7"/>
    <x v="0"/>
    <n v="4"/>
    <n v="1"/>
    <n v="0.14000000000000001"/>
    <n v="0.1212"/>
    <n v="0.5"/>
    <n v="0.32840000000000003"/>
    <n v="86"/>
    <n v="87"/>
    <s v="Thursday"/>
    <x v="1"/>
    <n v="1"/>
  </r>
  <r>
    <d v="2011-02-03T00:00:00"/>
    <n v="1"/>
    <n v="0"/>
    <n v="2"/>
    <n v="8"/>
    <x v="0"/>
    <n v="4"/>
    <n v="1"/>
    <n v="0.14000000000000001"/>
    <n v="0.1212"/>
    <n v="0.5"/>
    <n v="0.35820000000000002"/>
    <n v="184"/>
    <n v="188"/>
    <s v="Thursday"/>
    <x v="1"/>
    <n v="4"/>
  </r>
  <r>
    <d v="2011-02-03T00:00:00"/>
    <n v="1"/>
    <n v="0"/>
    <n v="2"/>
    <n v="9"/>
    <x v="0"/>
    <n v="4"/>
    <n v="1"/>
    <n v="0.16"/>
    <n v="0.13639999999999999"/>
    <n v="0.47"/>
    <n v="0.29849999999999999"/>
    <n v="127"/>
    <n v="133"/>
    <s v="Thursday"/>
    <x v="1"/>
    <n v="6"/>
  </r>
  <r>
    <d v="2011-02-03T00:00:00"/>
    <n v="1"/>
    <n v="0"/>
    <n v="2"/>
    <n v="10"/>
    <x v="0"/>
    <n v="4"/>
    <n v="1"/>
    <n v="0.18"/>
    <n v="0.1515"/>
    <n v="0.43"/>
    <n v="0.32840000000000003"/>
    <n v="50"/>
    <n v="52"/>
    <s v="Thursday"/>
    <x v="1"/>
    <n v="2"/>
  </r>
  <r>
    <d v="2011-02-03T00:00:00"/>
    <n v="1"/>
    <n v="0"/>
    <n v="2"/>
    <n v="11"/>
    <x v="0"/>
    <n v="4"/>
    <n v="1"/>
    <n v="0.18"/>
    <n v="0.13639999999999999"/>
    <n v="0.43"/>
    <n v="0.44779999999999998"/>
    <n v="55"/>
    <n v="64"/>
    <s v="Thursday"/>
    <x v="1"/>
    <n v="9"/>
  </r>
  <r>
    <d v="2011-02-03T00:00:00"/>
    <n v="1"/>
    <n v="0"/>
    <n v="2"/>
    <n v="12"/>
    <x v="0"/>
    <n v="4"/>
    <n v="1"/>
    <n v="0.2"/>
    <n v="0.18179999999999999"/>
    <n v="0.4"/>
    <n v="0.35820000000000002"/>
    <n v="67"/>
    <n v="69"/>
    <s v="Thursday"/>
    <x v="1"/>
    <n v="2"/>
  </r>
  <r>
    <d v="2011-02-03T00:00:00"/>
    <n v="1"/>
    <n v="0"/>
    <n v="2"/>
    <n v="13"/>
    <x v="0"/>
    <n v="4"/>
    <n v="1"/>
    <n v="0.2"/>
    <n v="0.16669999999999999"/>
    <n v="0.4"/>
    <n v="0.41789999999999999"/>
    <n v="47"/>
    <n v="51"/>
    <s v="Thursday"/>
    <x v="1"/>
    <n v="4"/>
  </r>
  <r>
    <d v="2011-02-03T00:00:00"/>
    <n v="1"/>
    <n v="0"/>
    <n v="2"/>
    <n v="14"/>
    <x v="0"/>
    <n v="4"/>
    <n v="1"/>
    <n v="0.22"/>
    <n v="0.19700000000000001"/>
    <n v="0.37"/>
    <n v="0.3881"/>
    <n v="43"/>
    <n v="47"/>
    <s v="Thursday"/>
    <x v="1"/>
    <n v="4"/>
  </r>
  <r>
    <d v="2011-02-03T00:00:00"/>
    <n v="1"/>
    <n v="0"/>
    <n v="2"/>
    <n v="15"/>
    <x v="0"/>
    <n v="4"/>
    <n v="1"/>
    <n v="0.22"/>
    <n v="0.19700000000000001"/>
    <n v="0.37"/>
    <n v="0.32840000000000003"/>
    <n v="56"/>
    <n v="60"/>
    <s v="Thursday"/>
    <x v="1"/>
    <n v="4"/>
  </r>
  <r>
    <d v="2011-02-03T00:00:00"/>
    <n v="1"/>
    <n v="0"/>
    <n v="2"/>
    <n v="16"/>
    <x v="0"/>
    <n v="4"/>
    <n v="1"/>
    <n v="0.22"/>
    <n v="0.21210000000000001"/>
    <n v="0.37"/>
    <n v="0.25369999999999998"/>
    <n v="73"/>
    <n v="78"/>
    <s v="Thursday"/>
    <x v="1"/>
    <n v="5"/>
  </r>
  <r>
    <d v="2011-02-03T00:00:00"/>
    <n v="1"/>
    <n v="0"/>
    <n v="2"/>
    <n v="17"/>
    <x v="0"/>
    <n v="4"/>
    <n v="1"/>
    <n v="0.2"/>
    <n v="0.19700000000000001"/>
    <n v="0.4"/>
    <n v="0.19400000000000001"/>
    <n v="170"/>
    <n v="175"/>
    <s v="Thursday"/>
    <x v="1"/>
    <n v="5"/>
  </r>
  <r>
    <d v="2011-02-03T00:00:00"/>
    <n v="1"/>
    <n v="0"/>
    <n v="2"/>
    <n v="18"/>
    <x v="0"/>
    <n v="4"/>
    <n v="1"/>
    <n v="0.2"/>
    <n v="0.21210000000000001"/>
    <n v="0.4"/>
    <n v="0.16420000000000001"/>
    <n v="145"/>
    <n v="147"/>
    <s v="Thursday"/>
    <x v="1"/>
    <n v="2"/>
  </r>
  <r>
    <d v="2011-02-03T00:00:00"/>
    <n v="1"/>
    <n v="0"/>
    <n v="2"/>
    <n v="19"/>
    <x v="0"/>
    <n v="4"/>
    <n v="1"/>
    <n v="0.2"/>
    <n v="0.2576"/>
    <n v="0.4"/>
    <n v="0"/>
    <n v="92"/>
    <n v="96"/>
    <s v="Thursday"/>
    <x v="1"/>
    <n v="4"/>
  </r>
  <r>
    <d v="2011-02-03T00:00:00"/>
    <n v="1"/>
    <n v="0"/>
    <n v="2"/>
    <n v="20"/>
    <x v="0"/>
    <n v="4"/>
    <n v="1"/>
    <n v="0.2"/>
    <n v="0.2273"/>
    <n v="0.47"/>
    <n v="8.9599999999999999E-2"/>
    <n v="108"/>
    <n v="109"/>
    <s v="Thursday"/>
    <x v="1"/>
    <n v="1"/>
  </r>
  <r>
    <d v="2011-02-03T00:00:00"/>
    <n v="1"/>
    <n v="0"/>
    <n v="2"/>
    <n v="21"/>
    <x v="0"/>
    <n v="4"/>
    <n v="1"/>
    <n v="0.18"/>
    <n v="0.21210000000000001"/>
    <n v="0.55000000000000004"/>
    <n v="0.1045"/>
    <n v="53"/>
    <n v="54"/>
    <s v="Thursday"/>
    <x v="1"/>
    <n v="1"/>
  </r>
  <r>
    <d v="2011-02-03T00:00:00"/>
    <n v="1"/>
    <n v="0"/>
    <n v="2"/>
    <n v="22"/>
    <x v="0"/>
    <n v="4"/>
    <n v="1"/>
    <n v="0.18"/>
    <n v="0.21210000000000001"/>
    <n v="0.51"/>
    <n v="8.9599999999999999E-2"/>
    <n v="39"/>
    <n v="41"/>
    <s v="Thursday"/>
    <x v="1"/>
    <n v="2"/>
  </r>
  <r>
    <d v="2011-02-03T00:00:00"/>
    <n v="1"/>
    <n v="0"/>
    <n v="2"/>
    <n v="23"/>
    <x v="0"/>
    <n v="4"/>
    <n v="1"/>
    <n v="0.2"/>
    <n v="0.2273"/>
    <n v="0.47"/>
    <n v="0.1045"/>
    <n v="34"/>
    <n v="38"/>
    <s v="Thursday"/>
    <x v="1"/>
    <n v="4"/>
  </r>
  <r>
    <d v="2011-02-04T00:00:00"/>
    <n v="1"/>
    <n v="0"/>
    <n v="2"/>
    <n v="0"/>
    <x v="0"/>
    <n v="5"/>
    <n v="2"/>
    <n v="0.2"/>
    <n v="0.2576"/>
    <n v="0.44"/>
    <n v="0"/>
    <n v="10"/>
    <n v="13"/>
    <s v="Friday"/>
    <x v="1"/>
    <n v="3"/>
  </r>
  <r>
    <d v="2011-02-04T00:00:00"/>
    <n v="1"/>
    <n v="0"/>
    <n v="2"/>
    <n v="1"/>
    <x v="0"/>
    <n v="5"/>
    <n v="2"/>
    <n v="0.16"/>
    <n v="0.2273"/>
    <n v="0.59"/>
    <n v="0"/>
    <n v="7"/>
    <n v="7"/>
    <s v="Friday"/>
    <x v="1"/>
    <n v="0"/>
  </r>
  <r>
    <d v="2011-02-04T00:00:00"/>
    <n v="1"/>
    <n v="0"/>
    <n v="2"/>
    <n v="2"/>
    <x v="0"/>
    <n v="5"/>
    <n v="2"/>
    <n v="0.14000000000000001"/>
    <n v="0.16669999999999999"/>
    <n v="0.63"/>
    <n v="0.1045"/>
    <n v="1"/>
    <n v="1"/>
    <s v="Friday"/>
    <x v="1"/>
    <n v="0"/>
  </r>
  <r>
    <d v="2011-02-04T00:00:00"/>
    <n v="1"/>
    <n v="0"/>
    <n v="2"/>
    <n v="3"/>
    <x v="0"/>
    <n v="5"/>
    <n v="2"/>
    <n v="0.14000000000000001"/>
    <n v="0.16669999999999999"/>
    <n v="0.63"/>
    <n v="0.1045"/>
    <n v="1"/>
    <n v="1"/>
    <s v="Friday"/>
    <x v="1"/>
    <n v="0"/>
  </r>
  <r>
    <d v="2011-02-04T00:00:00"/>
    <n v="1"/>
    <n v="0"/>
    <n v="2"/>
    <n v="5"/>
    <x v="0"/>
    <n v="5"/>
    <n v="2"/>
    <n v="0.14000000000000001"/>
    <n v="0.1515"/>
    <n v="0.63"/>
    <n v="0.1343"/>
    <n v="7"/>
    <n v="7"/>
    <s v="Friday"/>
    <x v="1"/>
    <n v="0"/>
  </r>
  <r>
    <d v="2011-02-04T00:00:00"/>
    <n v="1"/>
    <n v="0"/>
    <n v="2"/>
    <n v="6"/>
    <x v="0"/>
    <n v="5"/>
    <n v="2"/>
    <n v="0.16"/>
    <n v="0.2273"/>
    <n v="0.55000000000000004"/>
    <n v="0"/>
    <n v="26"/>
    <n v="28"/>
    <s v="Friday"/>
    <x v="1"/>
    <n v="2"/>
  </r>
  <r>
    <d v="2011-02-04T00:00:00"/>
    <n v="1"/>
    <n v="0"/>
    <n v="2"/>
    <n v="7"/>
    <x v="0"/>
    <n v="5"/>
    <n v="1"/>
    <n v="0.14000000000000001"/>
    <n v="0.21210000000000001"/>
    <n v="0.59"/>
    <n v="0"/>
    <n v="87"/>
    <n v="87"/>
    <s v="Friday"/>
    <x v="1"/>
    <n v="0"/>
  </r>
  <r>
    <d v="2011-02-04T00:00:00"/>
    <n v="1"/>
    <n v="0"/>
    <n v="2"/>
    <n v="8"/>
    <x v="0"/>
    <n v="5"/>
    <n v="1"/>
    <n v="0.14000000000000001"/>
    <n v="0.1515"/>
    <n v="0.74"/>
    <n v="0.1343"/>
    <n v="217"/>
    <n v="220"/>
    <s v="Friday"/>
    <x v="1"/>
    <n v="3"/>
  </r>
  <r>
    <d v="2011-02-04T00:00:00"/>
    <n v="1"/>
    <n v="0"/>
    <n v="2"/>
    <n v="9"/>
    <x v="0"/>
    <n v="5"/>
    <n v="2"/>
    <n v="0.16"/>
    <n v="0.18179999999999999"/>
    <n v="0.8"/>
    <n v="0.1343"/>
    <n v="124"/>
    <n v="127"/>
    <s v="Friday"/>
    <x v="1"/>
    <n v="3"/>
  </r>
  <r>
    <d v="2011-02-04T00:00:00"/>
    <n v="1"/>
    <n v="0"/>
    <n v="2"/>
    <n v="10"/>
    <x v="0"/>
    <n v="5"/>
    <n v="2"/>
    <n v="0.2"/>
    <n v="0.21210000000000001"/>
    <n v="0.51"/>
    <n v="0.1343"/>
    <n v="46"/>
    <n v="51"/>
    <s v="Friday"/>
    <x v="1"/>
    <n v="5"/>
  </r>
  <r>
    <d v="2011-02-04T00:00:00"/>
    <n v="1"/>
    <n v="0"/>
    <n v="2"/>
    <n v="11"/>
    <x v="0"/>
    <n v="5"/>
    <n v="1"/>
    <n v="0.22"/>
    <n v="0.2273"/>
    <n v="0.51"/>
    <n v="0.16420000000000001"/>
    <n v="61"/>
    <n v="64"/>
    <s v="Friday"/>
    <x v="1"/>
    <n v="3"/>
  </r>
  <r>
    <d v="2011-02-04T00:00:00"/>
    <n v="1"/>
    <n v="0"/>
    <n v="2"/>
    <n v="12"/>
    <x v="0"/>
    <n v="5"/>
    <n v="2"/>
    <n v="0.24"/>
    <n v="0.2424"/>
    <n v="0.48"/>
    <n v="0.16420000000000001"/>
    <n v="78"/>
    <n v="86"/>
    <s v="Friday"/>
    <x v="0"/>
    <n v="8"/>
  </r>
  <r>
    <d v="2011-02-04T00:00:00"/>
    <n v="1"/>
    <n v="0"/>
    <n v="2"/>
    <n v="13"/>
    <x v="0"/>
    <n v="5"/>
    <n v="2"/>
    <n v="0.26"/>
    <n v="0.2576"/>
    <n v="0.5"/>
    <n v="0.22389999999999999"/>
    <n v="73"/>
    <n v="82"/>
    <s v="Friday"/>
    <x v="0"/>
    <n v="9"/>
  </r>
  <r>
    <d v="2011-02-04T00:00:00"/>
    <n v="1"/>
    <n v="0"/>
    <n v="2"/>
    <n v="14"/>
    <x v="0"/>
    <n v="5"/>
    <n v="2"/>
    <n v="0.28000000000000003"/>
    <n v="0.2727"/>
    <n v="0.45"/>
    <n v="0.16420000000000001"/>
    <n v="76"/>
    <n v="91"/>
    <s v="Friday"/>
    <x v="0"/>
    <n v="15"/>
  </r>
  <r>
    <d v="2011-02-04T00:00:00"/>
    <n v="1"/>
    <n v="0"/>
    <n v="2"/>
    <n v="15"/>
    <x v="0"/>
    <n v="5"/>
    <n v="2"/>
    <n v="0.28000000000000003"/>
    <n v="0.2727"/>
    <n v="0.48"/>
    <n v="0.25369999999999998"/>
    <n v="81"/>
    <n v="90"/>
    <s v="Friday"/>
    <x v="0"/>
    <n v="9"/>
  </r>
  <r>
    <d v="2011-02-04T00:00:00"/>
    <n v="1"/>
    <n v="0"/>
    <n v="2"/>
    <n v="16"/>
    <x v="0"/>
    <n v="5"/>
    <n v="2"/>
    <n v="0.3"/>
    <n v="0.28789999999999999"/>
    <n v="0.42"/>
    <n v="0.22389999999999999"/>
    <n v="91"/>
    <n v="99"/>
    <s v="Friday"/>
    <x v="0"/>
    <n v="8"/>
  </r>
  <r>
    <d v="2011-02-04T00:00:00"/>
    <n v="1"/>
    <n v="0"/>
    <n v="2"/>
    <n v="17"/>
    <x v="0"/>
    <n v="5"/>
    <n v="2"/>
    <n v="0.26"/>
    <n v="0.2727"/>
    <n v="0.56000000000000005"/>
    <n v="0.1343"/>
    <n v="195"/>
    <n v="205"/>
    <s v="Friday"/>
    <x v="0"/>
    <n v="10"/>
  </r>
  <r>
    <d v="2011-02-04T00:00:00"/>
    <n v="1"/>
    <n v="0"/>
    <n v="2"/>
    <n v="18"/>
    <x v="0"/>
    <n v="5"/>
    <n v="2"/>
    <n v="0.24"/>
    <n v="0.2576"/>
    <n v="0.6"/>
    <n v="0.1045"/>
    <n v="152"/>
    <n v="155"/>
    <s v="Friday"/>
    <x v="0"/>
    <n v="3"/>
  </r>
  <r>
    <d v="2011-02-04T00:00:00"/>
    <n v="1"/>
    <n v="0"/>
    <n v="2"/>
    <n v="19"/>
    <x v="0"/>
    <n v="5"/>
    <n v="2"/>
    <n v="0.24"/>
    <n v="0.2424"/>
    <n v="0.65"/>
    <n v="0.1343"/>
    <n v="102"/>
    <n v="103"/>
    <s v="Friday"/>
    <x v="0"/>
    <n v="1"/>
  </r>
  <r>
    <d v="2011-02-04T00:00:00"/>
    <n v="1"/>
    <n v="0"/>
    <n v="2"/>
    <n v="20"/>
    <x v="0"/>
    <n v="5"/>
    <n v="2"/>
    <n v="0.24"/>
    <n v="0.2424"/>
    <n v="0.65"/>
    <n v="0.16420000000000001"/>
    <n v="69"/>
    <n v="71"/>
    <s v="Friday"/>
    <x v="0"/>
    <n v="2"/>
  </r>
  <r>
    <d v="2011-02-04T00:00:00"/>
    <n v="1"/>
    <n v="0"/>
    <n v="2"/>
    <n v="21"/>
    <x v="0"/>
    <n v="5"/>
    <n v="2"/>
    <n v="0.24"/>
    <n v="0.2424"/>
    <n v="0.7"/>
    <n v="0.16420000000000001"/>
    <n v="41"/>
    <n v="43"/>
    <s v="Friday"/>
    <x v="0"/>
    <n v="2"/>
  </r>
  <r>
    <d v="2011-02-04T00:00:00"/>
    <n v="1"/>
    <n v="0"/>
    <n v="2"/>
    <n v="22"/>
    <x v="0"/>
    <n v="5"/>
    <n v="2"/>
    <n v="0.24"/>
    <n v="0.2424"/>
    <n v="0.65"/>
    <n v="0.16420000000000001"/>
    <n v="45"/>
    <n v="46"/>
    <s v="Friday"/>
    <x v="0"/>
    <n v="1"/>
  </r>
  <r>
    <d v="2011-02-04T00:00:00"/>
    <n v="1"/>
    <n v="0"/>
    <n v="2"/>
    <n v="23"/>
    <x v="0"/>
    <n v="5"/>
    <n v="2"/>
    <n v="0.24"/>
    <n v="0.2424"/>
    <n v="0.7"/>
    <n v="0.1343"/>
    <n v="30"/>
    <n v="31"/>
    <s v="Friday"/>
    <x v="0"/>
    <n v="1"/>
  </r>
  <r>
    <d v="2011-02-05T00:00:00"/>
    <n v="1"/>
    <n v="0"/>
    <n v="2"/>
    <n v="0"/>
    <x v="0"/>
    <n v="6"/>
    <n v="2"/>
    <n v="0.24"/>
    <n v="0.2424"/>
    <n v="0.7"/>
    <n v="0.16420000000000001"/>
    <n v="36"/>
    <n v="39"/>
    <s v="Saturday"/>
    <x v="0"/>
    <n v="3"/>
  </r>
  <r>
    <d v="2011-02-05T00:00:00"/>
    <n v="1"/>
    <n v="0"/>
    <n v="2"/>
    <n v="1"/>
    <x v="0"/>
    <n v="6"/>
    <n v="2"/>
    <n v="0.24"/>
    <n v="0.2424"/>
    <n v="0.65"/>
    <n v="0.16420000000000001"/>
    <n v="17"/>
    <n v="18"/>
    <s v="Saturday"/>
    <x v="0"/>
    <n v="1"/>
  </r>
  <r>
    <d v="2011-02-05T00:00:00"/>
    <n v="1"/>
    <n v="0"/>
    <n v="2"/>
    <n v="2"/>
    <x v="0"/>
    <n v="6"/>
    <n v="2"/>
    <n v="0.24"/>
    <n v="0.2424"/>
    <n v="0.75"/>
    <n v="0.16420000000000001"/>
    <n v="12"/>
    <n v="17"/>
    <s v="Saturday"/>
    <x v="0"/>
    <n v="5"/>
  </r>
  <r>
    <d v="2011-02-05T00:00:00"/>
    <n v="1"/>
    <n v="0"/>
    <n v="2"/>
    <n v="3"/>
    <x v="0"/>
    <n v="6"/>
    <n v="2"/>
    <n v="0.24"/>
    <n v="0.2424"/>
    <n v="0.75"/>
    <n v="0.16420000000000001"/>
    <n v="10"/>
    <n v="11"/>
    <s v="Saturday"/>
    <x v="0"/>
    <n v="1"/>
  </r>
  <r>
    <d v="2011-02-05T00:00:00"/>
    <n v="1"/>
    <n v="0"/>
    <n v="2"/>
    <n v="4"/>
    <x v="0"/>
    <n v="6"/>
    <n v="3"/>
    <n v="0.22"/>
    <n v="0.2273"/>
    <n v="0.93"/>
    <n v="0.1343"/>
    <n v="8"/>
    <n v="8"/>
    <s v="Saturday"/>
    <x v="1"/>
    <n v="0"/>
  </r>
  <r>
    <d v="2011-02-05T00:00:00"/>
    <n v="1"/>
    <n v="0"/>
    <n v="2"/>
    <n v="5"/>
    <x v="0"/>
    <n v="6"/>
    <n v="3"/>
    <n v="0.2"/>
    <n v="0.2273"/>
    <n v="1"/>
    <n v="8.9599999999999999E-2"/>
    <n v="9"/>
    <n v="9"/>
    <s v="Saturday"/>
    <x v="1"/>
    <n v="0"/>
  </r>
  <r>
    <d v="2011-02-05T00:00:00"/>
    <n v="1"/>
    <n v="0"/>
    <n v="2"/>
    <n v="6"/>
    <x v="0"/>
    <n v="6"/>
    <n v="3"/>
    <n v="0.2"/>
    <n v="0.2576"/>
    <n v="1"/>
    <n v="0"/>
    <n v="4"/>
    <n v="4"/>
    <s v="Saturday"/>
    <x v="1"/>
    <n v="0"/>
  </r>
  <r>
    <d v="2011-02-05T00:00:00"/>
    <n v="1"/>
    <n v="0"/>
    <n v="2"/>
    <n v="7"/>
    <x v="0"/>
    <n v="6"/>
    <n v="3"/>
    <n v="0.22"/>
    <n v="0.2576"/>
    <n v="0.93"/>
    <n v="8.9599999999999999E-2"/>
    <n v="4"/>
    <n v="4"/>
    <s v="Saturday"/>
    <x v="1"/>
    <n v="0"/>
  </r>
  <r>
    <d v="2011-02-05T00:00:00"/>
    <n v="1"/>
    <n v="0"/>
    <n v="2"/>
    <n v="8"/>
    <x v="0"/>
    <n v="6"/>
    <n v="3"/>
    <n v="0.2"/>
    <n v="0.2273"/>
    <n v="1"/>
    <n v="8.9599999999999999E-2"/>
    <n v="10"/>
    <n v="10"/>
    <s v="Saturday"/>
    <x v="1"/>
    <n v="0"/>
  </r>
  <r>
    <d v="2011-02-05T00:00:00"/>
    <n v="1"/>
    <n v="0"/>
    <n v="2"/>
    <n v="9"/>
    <x v="0"/>
    <n v="6"/>
    <n v="3"/>
    <n v="0.2"/>
    <n v="0.2273"/>
    <n v="1"/>
    <n v="8.9599999999999999E-2"/>
    <n v="17"/>
    <n v="20"/>
    <s v="Saturday"/>
    <x v="1"/>
    <n v="3"/>
  </r>
  <r>
    <d v="2011-02-05T00:00:00"/>
    <n v="1"/>
    <n v="0"/>
    <n v="2"/>
    <n v="10"/>
    <x v="0"/>
    <n v="6"/>
    <n v="3"/>
    <n v="0.2"/>
    <n v="0.21210000000000001"/>
    <n v="1"/>
    <n v="0.1343"/>
    <n v="31"/>
    <n v="34"/>
    <s v="Saturday"/>
    <x v="1"/>
    <n v="3"/>
  </r>
  <r>
    <d v="2011-02-05T00:00:00"/>
    <n v="1"/>
    <n v="0"/>
    <n v="2"/>
    <n v="11"/>
    <x v="0"/>
    <n v="6"/>
    <n v="3"/>
    <n v="0.22"/>
    <n v="0.2273"/>
    <n v="1"/>
    <n v="0.1343"/>
    <n v="46"/>
    <n v="47"/>
    <s v="Saturday"/>
    <x v="1"/>
    <n v="1"/>
  </r>
  <r>
    <d v="2011-02-05T00:00:00"/>
    <n v="1"/>
    <n v="0"/>
    <n v="2"/>
    <n v="12"/>
    <x v="0"/>
    <n v="6"/>
    <n v="3"/>
    <n v="0.22"/>
    <n v="0.2273"/>
    <n v="1"/>
    <n v="0.16420000000000001"/>
    <n v="42"/>
    <n v="52"/>
    <s v="Saturday"/>
    <x v="1"/>
    <n v="10"/>
  </r>
  <r>
    <d v="2011-02-05T00:00:00"/>
    <n v="1"/>
    <n v="0"/>
    <n v="2"/>
    <n v="13"/>
    <x v="0"/>
    <n v="6"/>
    <n v="3"/>
    <n v="0.22"/>
    <n v="0.2273"/>
    <n v="1"/>
    <n v="0.16420000000000001"/>
    <n v="62"/>
    <n v="72"/>
    <s v="Saturday"/>
    <x v="1"/>
    <n v="10"/>
  </r>
  <r>
    <d v="2011-02-05T00:00:00"/>
    <n v="1"/>
    <n v="0"/>
    <n v="2"/>
    <n v="14"/>
    <x v="0"/>
    <n v="6"/>
    <n v="3"/>
    <n v="0.22"/>
    <n v="0.2727"/>
    <n v="1"/>
    <n v="0"/>
    <n v="50"/>
    <n v="55"/>
    <s v="Saturday"/>
    <x v="1"/>
    <n v="5"/>
  </r>
  <r>
    <d v="2011-02-05T00:00:00"/>
    <n v="1"/>
    <n v="0"/>
    <n v="2"/>
    <n v="15"/>
    <x v="0"/>
    <n v="6"/>
    <n v="3"/>
    <n v="0.22"/>
    <n v="0.2727"/>
    <n v="1"/>
    <n v="0"/>
    <n v="49"/>
    <n v="60"/>
    <s v="Saturday"/>
    <x v="1"/>
    <n v="11"/>
  </r>
  <r>
    <d v="2011-02-05T00:00:00"/>
    <n v="1"/>
    <n v="0"/>
    <n v="2"/>
    <n v="16"/>
    <x v="0"/>
    <n v="6"/>
    <n v="3"/>
    <n v="0.22"/>
    <n v="0.2273"/>
    <n v="1"/>
    <n v="0.1343"/>
    <n v="63"/>
    <n v="71"/>
    <s v="Saturday"/>
    <x v="1"/>
    <n v="8"/>
  </r>
  <r>
    <d v="2011-02-05T00:00:00"/>
    <n v="1"/>
    <n v="0"/>
    <n v="2"/>
    <n v="17"/>
    <x v="0"/>
    <n v="6"/>
    <n v="2"/>
    <n v="0.24"/>
    <n v="0.21210000000000001"/>
    <n v="1"/>
    <n v="0.28360000000000002"/>
    <n v="64"/>
    <n v="78"/>
    <s v="Saturday"/>
    <x v="0"/>
    <n v="14"/>
  </r>
  <r>
    <d v="2011-02-05T00:00:00"/>
    <n v="1"/>
    <n v="0"/>
    <n v="2"/>
    <n v="18"/>
    <x v="0"/>
    <n v="6"/>
    <n v="2"/>
    <n v="0.28000000000000003"/>
    <n v="0.2424"/>
    <n v="0.93"/>
    <n v="0.44779999999999998"/>
    <n v="81"/>
    <n v="83"/>
    <s v="Saturday"/>
    <x v="0"/>
    <n v="2"/>
  </r>
  <r>
    <d v="2011-02-05T00:00:00"/>
    <n v="1"/>
    <n v="0"/>
    <n v="2"/>
    <n v="19"/>
    <x v="0"/>
    <n v="6"/>
    <n v="2"/>
    <n v="0.28000000000000003"/>
    <n v="0.2424"/>
    <n v="0.93"/>
    <n v="0.44779999999999998"/>
    <n v="78"/>
    <n v="84"/>
    <s v="Saturday"/>
    <x v="0"/>
    <n v="6"/>
  </r>
  <r>
    <d v="2011-02-05T00:00:00"/>
    <n v="1"/>
    <n v="0"/>
    <n v="2"/>
    <n v="20"/>
    <x v="0"/>
    <n v="6"/>
    <n v="1"/>
    <n v="0.3"/>
    <n v="0.28789999999999999"/>
    <n v="0.87"/>
    <n v="0.25369999999999998"/>
    <n v="64"/>
    <n v="69"/>
    <s v="Saturday"/>
    <x v="0"/>
    <n v="5"/>
  </r>
  <r>
    <d v="2011-02-05T00:00:00"/>
    <n v="1"/>
    <n v="0"/>
    <n v="2"/>
    <n v="21"/>
    <x v="0"/>
    <n v="6"/>
    <n v="1"/>
    <n v="0.26"/>
    <n v="0.2576"/>
    <n v="1"/>
    <n v="0.19400000000000001"/>
    <n v="53"/>
    <n v="56"/>
    <s v="Saturday"/>
    <x v="0"/>
    <n v="3"/>
  </r>
  <r>
    <d v="2011-02-05T00:00:00"/>
    <n v="1"/>
    <n v="0"/>
    <n v="2"/>
    <n v="22"/>
    <x v="0"/>
    <n v="6"/>
    <n v="1"/>
    <n v="0.26"/>
    <n v="0.2727"/>
    <n v="0.93"/>
    <n v="0.1343"/>
    <n v="43"/>
    <n v="45"/>
    <s v="Saturday"/>
    <x v="0"/>
    <n v="2"/>
  </r>
  <r>
    <d v="2011-02-05T00:00:00"/>
    <n v="1"/>
    <n v="0"/>
    <n v="2"/>
    <n v="23"/>
    <x v="0"/>
    <n v="6"/>
    <n v="1"/>
    <n v="0.26"/>
    <n v="0.2576"/>
    <n v="0.93"/>
    <n v="0.22389999999999999"/>
    <n v="52"/>
    <n v="59"/>
    <s v="Saturday"/>
    <x v="0"/>
    <n v="7"/>
  </r>
  <r>
    <d v="2011-02-06T00:00:00"/>
    <n v="1"/>
    <n v="0"/>
    <n v="2"/>
    <n v="0"/>
    <x v="0"/>
    <n v="0"/>
    <n v="1"/>
    <n v="0.26"/>
    <n v="0.2576"/>
    <n v="0.7"/>
    <n v="0.19400000000000001"/>
    <n v="37"/>
    <n v="39"/>
    <s v="Sunday"/>
    <x v="0"/>
    <n v="2"/>
  </r>
  <r>
    <d v="2011-02-06T00:00:00"/>
    <n v="1"/>
    <n v="0"/>
    <n v="2"/>
    <n v="1"/>
    <x v="0"/>
    <n v="0"/>
    <n v="1"/>
    <n v="0.26"/>
    <n v="0.2273"/>
    <n v="0.65"/>
    <n v="0.41789999999999999"/>
    <n v="40"/>
    <n v="44"/>
    <s v="Sunday"/>
    <x v="0"/>
    <n v="4"/>
  </r>
  <r>
    <d v="2011-02-06T00:00:00"/>
    <n v="1"/>
    <n v="0"/>
    <n v="2"/>
    <n v="2"/>
    <x v="0"/>
    <n v="0"/>
    <n v="1"/>
    <n v="0.26"/>
    <n v="0.2273"/>
    <n v="0.6"/>
    <n v="0.32840000000000003"/>
    <n v="20"/>
    <n v="20"/>
    <s v="Sunday"/>
    <x v="0"/>
    <n v="0"/>
  </r>
  <r>
    <d v="2011-02-06T00:00:00"/>
    <n v="1"/>
    <n v="0"/>
    <n v="2"/>
    <n v="3"/>
    <x v="0"/>
    <n v="0"/>
    <n v="1"/>
    <n v="0.26"/>
    <n v="0.28789999999999999"/>
    <n v="0.6"/>
    <n v="8.9599999999999999E-2"/>
    <n v="10"/>
    <n v="13"/>
    <s v="Sunday"/>
    <x v="0"/>
    <n v="3"/>
  </r>
  <r>
    <d v="2011-02-06T00:00:00"/>
    <n v="1"/>
    <n v="0"/>
    <n v="2"/>
    <n v="4"/>
    <x v="0"/>
    <n v="0"/>
    <n v="1"/>
    <n v="0.26"/>
    <n v="0.2273"/>
    <n v="0.6"/>
    <n v="0.35820000000000002"/>
    <n v="2"/>
    <n v="2"/>
    <s v="Sunday"/>
    <x v="0"/>
    <n v="0"/>
  </r>
  <r>
    <d v="2011-02-06T00:00:00"/>
    <n v="1"/>
    <n v="0"/>
    <n v="2"/>
    <n v="5"/>
    <x v="0"/>
    <n v="0"/>
    <n v="1"/>
    <n v="0.26"/>
    <n v="0.2576"/>
    <n v="0.6"/>
    <n v="0.22389999999999999"/>
    <n v="1"/>
    <n v="1"/>
    <s v="Sunday"/>
    <x v="0"/>
    <n v="0"/>
  </r>
  <r>
    <d v="2011-02-06T00:00:00"/>
    <n v="1"/>
    <n v="0"/>
    <n v="2"/>
    <n v="6"/>
    <x v="0"/>
    <n v="0"/>
    <n v="1"/>
    <n v="0.26"/>
    <n v="0.2576"/>
    <n v="0.6"/>
    <n v="0.22389999999999999"/>
    <n v="1"/>
    <n v="1"/>
    <s v="Sunday"/>
    <x v="0"/>
    <n v="0"/>
  </r>
  <r>
    <d v="2011-02-06T00:00:00"/>
    <n v="1"/>
    <n v="0"/>
    <n v="2"/>
    <n v="7"/>
    <x v="0"/>
    <n v="0"/>
    <n v="1"/>
    <n v="0.24"/>
    <n v="0.2424"/>
    <n v="0.65"/>
    <n v="0.16420000000000001"/>
    <n v="8"/>
    <n v="8"/>
    <s v="Sunday"/>
    <x v="0"/>
    <n v="0"/>
  </r>
  <r>
    <d v="2011-02-06T00:00:00"/>
    <n v="1"/>
    <n v="0"/>
    <n v="2"/>
    <n v="8"/>
    <x v="0"/>
    <n v="0"/>
    <n v="1"/>
    <n v="0.24"/>
    <n v="0.2576"/>
    <n v="0.65"/>
    <n v="0.1045"/>
    <n v="21"/>
    <n v="23"/>
    <s v="Sunday"/>
    <x v="0"/>
    <n v="2"/>
  </r>
  <r>
    <d v="2011-02-06T00:00:00"/>
    <n v="1"/>
    <n v="0"/>
    <n v="2"/>
    <n v="9"/>
    <x v="0"/>
    <n v="0"/>
    <n v="1"/>
    <n v="0.28000000000000003"/>
    <n v="0.28789999999999999"/>
    <n v="0.56000000000000005"/>
    <n v="0.1045"/>
    <n v="38"/>
    <n v="45"/>
    <s v="Sunday"/>
    <x v="0"/>
    <n v="7"/>
  </r>
  <r>
    <d v="2011-02-06T00:00:00"/>
    <n v="1"/>
    <n v="0"/>
    <n v="2"/>
    <n v="10"/>
    <x v="0"/>
    <n v="0"/>
    <n v="1"/>
    <n v="0.3"/>
    <n v="0.28789999999999999"/>
    <n v="0.52"/>
    <n v="0.25369999999999998"/>
    <n v="74"/>
    <n v="89"/>
    <s v="Sunday"/>
    <x v="0"/>
    <n v="15"/>
  </r>
  <r>
    <d v="2011-02-06T00:00:00"/>
    <n v="1"/>
    <n v="0"/>
    <n v="2"/>
    <n v="11"/>
    <x v="0"/>
    <n v="0"/>
    <n v="1"/>
    <n v="0.32"/>
    <n v="0.30299999999999999"/>
    <n v="0.49"/>
    <n v="0.25369999999999998"/>
    <n v="89"/>
    <n v="117"/>
    <s v="Sunday"/>
    <x v="0"/>
    <n v="28"/>
  </r>
  <r>
    <d v="2011-02-06T00:00:00"/>
    <n v="1"/>
    <n v="0"/>
    <n v="2"/>
    <n v="12"/>
    <x v="0"/>
    <n v="0"/>
    <n v="1"/>
    <n v="0.34"/>
    <n v="0.33329999999999999"/>
    <n v="0.46"/>
    <n v="0"/>
    <n v="126"/>
    <n v="174"/>
    <s v="Sunday"/>
    <x v="0"/>
    <n v="48"/>
  </r>
  <r>
    <d v="2011-02-06T00:00:00"/>
    <n v="1"/>
    <n v="0"/>
    <n v="2"/>
    <n v="13"/>
    <x v="0"/>
    <n v="0"/>
    <n v="1"/>
    <n v="0.34"/>
    <n v="0.36359999999999998"/>
    <n v="0.46"/>
    <n v="0"/>
    <n v="135"/>
    <n v="182"/>
    <s v="Sunday"/>
    <x v="0"/>
    <n v="47"/>
  </r>
  <r>
    <d v="2011-02-06T00:00:00"/>
    <n v="1"/>
    <n v="0"/>
    <n v="2"/>
    <n v="14"/>
    <x v="0"/>
    <n v="0"/>
    <n v="1"/>
    <n v="0.34"/>
    <n v="0.34849999999999998"/>
    <n v="0.46"/>
    <n v="8.9599999999999999E-2"/>
    <n v="114"/>
    <n v="161"/>
    <s v="Sunday"/>
    <x v="0"/>
    <n v="47"/>
  </r>
  <r>
    <d v="2011-02-06T00:00:00"/>
    <n v="1"/>
    <n v="0"/>
    <n v="2"/>
    <n v="15"/>
    <x v="0"/>
    <n v="0"/>
    <n v="1"/>
    <n v="0.34"/>
    <n v="0.34849999999999998"/>
    <n v="0.46"/>
    <n v="8.9599999999999999E-2"/>
    <n v="130"/>
    <n v="182"/>
    <s v="Sunday"/>
    <x v="0"/>
    <n v="52"/>
  </r>
  <r>
    <d v="2011-02-06T00:00:00"/>
    <n v="1"/>
    <n v="0"/>
    <n v="2"/>
    <n v="16"/>
    <x v="0"/>
    <n v="0"/>
    <n v="1"/>
    <n v="0.34"/>
    <n v="0.34849999999999998"/>
    <n v="0.49"/>
    <n v="0.1045"/>
    <n v="115"/>
    <n v="157"/>
    <s v="Sunday"/>
    <x v="0"/>
    <n v="42"/>
  </r>
  <r>
    <d v="2011-02-06T00:00:00"/>
    <n v="1"/>
    <n v="0"/>
    <n v="2"/>
    <n v="17"/>
    <x v="0"/>
    <n v="0"/>
    <n v="1"/>
    <n v="0.34"/>
    <n v="0.36359999999999998"/>
    <n v="0.46"/>
    <n v="0"/>
    <n v="97"/>
    <n v="121"/>
    <s v="Sunday"/>
    <x v="0"/>
    <n v="24"/>
  </r>
  <r>
    <d v="2011-02-06T00:00:00"/>
    <n v="1"/>
    <n v="0"/>
    <n v="2"/>
    <n v="18"/>
    <x v="0"/>
    <n v="0"/>
    <n v="1"/>
    <n v="0.3"/>
    <n v="0.30299999999999999"/>
    <n v="0.56000000000000005"/>
    <n v="0.16420000000000001"/>
    <n v="65"/>
    <n v="78"/>
    <s v="Sunday"/>
    <x v="0"/>
    <n v="13"/>
  </r>
  <r>
    <d v="2011-02-06T00:00:00"/>
    <n v="1"/>
    <n v="0"/>
    <n v="2"/>
    <n v="19"/>
    <x v="0"/>
    <n v="0"/>
    <n v="1"/>
    <n v="0.28000000000000003"/>
    <n v="0.28789999999999999"/>
    <n v="0.61"/>
    <n v="0.1343"/>
    <n v="20"/>
    <n v="21"/>
    <s v="Sunday"/>
    <x v="0"/>
    <n v="1"/>
  </r>
  <r>
    <d v="2011-02-06T00:00:00"/>
    <n v="1"/>
    <n v="0"/>
    <n v="2"/>
    <n v="20"/>
    <x v="0"/>
    <n v="0"/>
    <n v="1"/>
    <n v="0.28000000000000003"/>
    <n v="0.28789999999999999"/>
    <n v="0.61"/>
    <n v="0.1045"/>
    <n v="21"/>
    <n v="26"/>
    <s v="Sunday"/>
    <x v="0"/>
    <n v="5"/>
  </r>
  <r>
    <d v="2011-02-06T00:00:00"/>
    <n v="1"/>
    <n v="0"/>
    <n v="2"/>
    <n v="21"/>
    <x v="0"/>
    <n v="0"/>
    <n v="1"/>
    <n v="0.26"/>
    <n v="0.30299999999999999"/>
    <n v="0.6"/>
    <n v="0"/>
    <n v="22"/>
    <n v="27"/>
    <s v="Sunday"/>
    <x v="0"/>
    <n v="5"/>
  </r>
  <r>
    <d v="2011-02-06T00:00:00"/>
    <n v="1"/>
    <n v="0"/>
    <n v="2"/>
    <n v="22"/>
    <x v="0"/>
    <n v="0"/>
    <n v="1"/>
    <n v="0.26"/>
    <n v="0.30299999999999999"/>
    <n v="0.6"/>
    <n v="0"/>
    <n v="57"/>
    <n v="62"/>
    <s v="Sunday"/>
    <x v="0"/>
    <n v="5"/>
  </r>
  <r>
    <d v="2011-02-06T00:00:00"/>
    <n v="1"/>
    <n v="0"/>
    <n v="2"/>
    <n v="23"/>
    <x v="0"/>
    <n v="0"/>
    <n v="1"/>
    <n v="0.24"/>
    <n v="0.28789999999999999"/>
    <n v="0.65"/>
    <n v="0"/>
    <n v="26"/>
    <n v="30"/>
    <s v="Sunday"/>
    <x v="0"/>
    <n v="4"/>
  </r>
  <r>
    <d v="2011-02-07T00:00:00"/>
    <n v="1"/>
    <n v="0"/>
    <n v="2"/>
    <n v="0"/>
    <x v="0"/>
    <n v="1"/>
    <n v="1"/>
    <n v="0.24"/>
    <n v="0.28789999999999999"/>
    <n v="0.65"/>
    <n v="0"/>
    <n v="14"/>
    <n v="15"/>
    <s v="Monday"/>
    <x v="0"/>
    <n v="1"/>
  </r>
  <r>
    <d v="2011-02-07T00:00:00"/>
    <n v="1"/>
    <n v="0"/>
    <n v="2"/>
    <n v="1"/>
    <x v="0"/>
    <n v="1"/>
    <n v="1"/>
    <n v="0.22"/>
    <n v="0.2727"/>
    <n v="0.75"/>
    <n v="0"/>
    <n v="4"/>
    <n v="5"/>
    <s v="Monday"/>
    <x v="1"/>
    <n v="1"/>
  </r>
  <r>
    <d v="2011-02-07T00:00:00"/>
    <n v="1"/>
    <n v="0"/>
    <n v="2"/>
    <n v="2"/>
    <x v="0"/>
    <n v="1"/>
    <n v="1"/>
    <n v="0.2"/>
    <n v="0.2576"/>
    <n v="0.8"/>
    <n v="0"/>
    <n v="3"/>
    <n v="3"/>
    <s v="Monday"/>
    <x v="1"/>
    <n v="0"/>
  </r>
  <r>
    <d v="2011-02-07T00:00:00"/>
    <n v="1"/>
    <n v="0"/>
    <n v="2"/>
    <n v="3"/>
    <x v="0"/>
    <n v="1"/>
    <n v="1"/>
    <n v="0.2"/>
    <n v="0.2576"/>
    <n v="0.86"/>
    <n v="0"/>
    <n v="1"/>
    <n v="1"/>
    <s v="Monday"/>
    <x v="1"/>
    <n v="0"/>
  </r>
  <r>
    <d v="2011-02-07T00:00:00"/>
    <n v="1"/>
    <n v="0"/>
    <n v="2"/>
    <n v="4"/>
    <x v="0"/>
    <n v="1"/>
    <n v="1"/>
    <n v="0.2"/>
    <n v="0.2576"/>
    <n v="0.86"/>
    <n v="0"/>
    <n v="1"/>
    <n v="2"/>
    <s v="Monday"/>
    <x v="1"/>
    <n v="1"/>
  </r>
  <r>
    <d v="2011-02-07T00:00:00"/>
    <n v="1"/>
    <n v="0"/>
    <n v="2"/>
    <n v="5"/>
    <x v="0"/>
    <n v="1"/>
    <n v="1"/>
    <n v="0.2"/>
    <n v="0.2576"/>
    <n v="0.86"/>
    <n v="0"/>
    <n v="9"/>
    <n v="10"/>
    <s v="Monday"/>
    <x v="1"/>
    <n v="1"/>
  </r>
  <r>
    <d v="2011-02-07T00:00:00"/>
    <n v="1"/>
    <n v="0"/>
    <n v="2"/>
    <n v="6"/>
    <x v="0"/>
    <n v="1"/>
    <n v="1"/>
    <n v="0.18"/>
    <n v="0.2424"/>
    <n v="0.93"/>
    <n v="0"/>
    <n v="29"/>
    <n v="30"/>
    <s v="Monday"/>
    <x v="1"/>
    <n v="1"/>
  </r>
  <r>
    <d v="2011-02-07T00:00:00"/>
    <n v="1"/>
    <n v="0"/>
    <n v="2"/>
    <n v="7"/>
    <x v="0"/>
    <n v="1"/>
    <n v="1"/>
    <n v="0.18"/>
    <n v="0.2424"/>
    <n v="0.86"/>
    <n v="0"/>
    <n v="89"/>
    <n v="95"/>
    <s v="Monday"/>
    <x v="1"/>
    <n v="6"/>
  </r>
  <r>
    <d v="2011-02-07T00:00:00"/>
    <n v="1"/>
    <n v="0"/>
    <n v="2"/>
    <n v="8"/>
    <x v="0"/>
    <n v="1"/>
    <n v="2"/>
    <n v="0.16"/>
    <n v="0.2273"/>
    <n v="1"/>
    <n v="0"/>
    <n v="223"/>
    <n v="230"/>
    <s v="Monday"/>
    <x v="1"/>
    <n v="7"/>
  </r>
  <r>
    <d v="2011-02-07T00:00:00"/>
    <n v="1"/>
    <n v="0"/>
    <n v="2"/>
    <n v="9"/>
    <x v="0"/>
    <n v="1"/>
    <n v="1"/>
    <n v="0.22"/>
    <n v="0.2727"/>
    <n v="0.8"/>
    <n v="0"/>
    <n v="115"/>
    <n v="118"/>
    <s v="Monday"/>
    <x v="1"/>
    <n v="3"/>
  </r>
  <r>
    <d v="2011-02-07T00:00:00"/>
    <n v="1"/>
    <n v="0"/>
    <n v="2"/>
    <n v="10"/>
    <x v="0"/>
    <n v="1"/>
    <n v="1"/>
    <n v="0.24"/>
    <n v="0.2576"/>
    <n v="0.75"/>
    <n v="0.1045"/>
    <n v="49"/>
    <n v="55"/>
    <s v="Monday"/>
    <x v="0"/>
    <n v="6"/>
  </r>
  <r>
    <d v="2011-02-07T00:00:00"/>
    <n v="1"/>
    <n v="0"/>
    <n v="2"/>
    <n v="11"/>
    <x v="0"/>
    <n v="1"/>
    <n v="1"/>
    <n v="0.3"/>
    <n v="0.31819999999999998"/>
    <n v="0.65"/>
    <n v="8.9599999999999999E-2"/>
    <n v="36"/>
    <n v="47"/>
    <s v="Monday"/>
    <x v="0"/>
    <n v="11"/>
  </r>
  <r>
    <d v="2011-02-07T00:00:00"/>
    <n v="1"/>
    <n v="0"/>
    <n v="2"/>
    <n v="12"/>
    <x v="0"/>
    <n v="1"/>
    <n v="2"/>
    <n v="0.32"/>
    <n v="0.34849999999999998"/>
    <n v="0.62"/>
    <n v="0"/>
    <n v="59"/>
    <n v="66"/>
    <s v="Monday"/>
    <x v="0"/>
    <n v="7"/>
  </r>
  <r>
    <d v="2011-02-07T00:00:00"/>
    <n v="1"/>
    <n v="0"/>
    <n v="2"/>
    <n v="13"/>
    <x v="0"/>
    <n v="1"/>
    <n v="2"/>
    <n v="0.36"/>
    <n v="0.36359999999999998"/>
    <n v="0.56999999999999995"/>
    <n v="8.9599999999999999E-2"/>
    <n v="54"/>
    <n v="64"/>
    <s v="Monday"/>
    <x v="0"/>
    <n v="10"/>
  </r>
  <r>
    <d v="2011-02-07T00:00:00"/>
    <n v="1"/>
    <n v="0"/>
    <n v="2"/>
    <n v="14"/>
    <x v="0"/>
    <n v="1"/>
    <n v="2"/>
    <n v="0.36"/>
    <n v="0.36359999999999998"/>
    <n v="0.56999999999999995"/>
    <n v="8.9599999999999999E-2"/>
    <n v="52"/>
    <n v="60"/>
    <s v="Monday"/>
    <x v="0"/>
    <n v="8"/>
  </r>
  <r>
    <d v="2011-02-07T00:00:00"/>
    <n v="1"/>
    <n v="0"/>
    <n v="2"/>
    <n v="15"/>
    <x v="0"/>
    <n v="1"/>
    <n v="2"/>
    <n v="0.38"/>
    <n v="0.39389999999999997"/>
    <n v="0.54"/>
    <n v="8.9599999999999999E-2"/>
    <n v="46"/>
    <n v="50"/>
    <s v="Monday"/>
    <x v="0"/>
    <n v="4"/>
  </r>
  <r>
    <d v="2011-02-07T00:00:00"/>
    <n v="1"/>
    <n v="0"/>
    <n v="2"/>
    <n v="16"/>
    <x v="0"/>
    <n v="1"/>
    <n v="2"/>
    <n v="0.36"/>
    <n v="0.34849999999999998"/>
    <n v="0.56999999999999995"/>
    <n v="0.1343"/>
    <n v="98"/>
    <n v="114"/>
    <s v="Monday"/>
    <x v="0"/>
    <n v="16"/>
  </r>
  <r>
    <d v="2011-02-07T00:00:00"/>
    <n v="1"/>
    <n v="0"/>
    <n v="2"/>
    <n v="17"/>
    <x v="0"/>
    <n v="1"/>
    <n v="2"/>
    <n v="0.32"/>
    <n v="0.31819999999999998"/>
    <n v="0.7"/>
    <n v="0.16420000000000001"/>
    <n v="207"/>
    <n v="216"/>
    <s v="Monday"/>
    <x v="0"/>
    <n v="9"/>
  </r>
  <r>
    <d v="2011-02-07T00:00:00"/>
    <n v="1"/>
    <n v="0"/>
    <n v="2"/>
    <n v="18"/>
    <x v="0"/>
    <n v="1"/>
    <n v="2"/>
    <n v="0.34"/>
    <n v="0.33329999999999999"/>
    <n v="0.66"/>
    <n v="0.1343"/>
    <n v="170"/>
    <n v="175"/>
    <s v="Monday"/>
    <x v="0"/>
    <n v="5"/>
  </r>
  <r>
    <d v="2011-02-07T00:00:00"/>
    <n v="1"/>
    <n v="0"/>
    <n v="2"/>
    <n v="19"/>
    <x v="0"/>
    <n v="1"/>
    <n v="2"/>
    <n v="0.32"/>
    <n v="0.34849999999999998"/>
    <n v="0.7"/>
    <n v="0"/>
    <n v="123"/>
    <n v="128"/>
    <s v="Monday"/>
    <x v="0"/>
    <n v="5"/>
  </r>
  <r>
    <d v="2011-02-07T00:00:00"/>
    <n v="1"/>
    <n v="0"/>
    <n v="2"/>
    <n v="20"/>
    <x v="0"/>
    <n v="1"/>
    <n v="2"/>
    <n v="0.32"/>
    <n v="0.33329999999999999"/>
    <n v="0.7"/>
    <n v="0.1045"/>
    <n v="82"/>
    <n v="88"/>
    <s v="Monday"/>
    <x v="0"/>
    <n v="6"/>
  </r>
  <r>
    <d v="2011-02-07T00:00:00"/>
    <n v="1"/>
    <n v="0"/>
    <n v="2"/>
    <n v="21"/>
    <x v="0"/>
    <n v="1"/>
    <n v="1"/>
    <n v="0.32"/>
    <n v="0.34849999999999998"/>
    <n v="0.7"/>
    <n v="0"/>
    <n v="75"/>
    <n v="78"/>
    <s v="Monday"/>
    <x v="0"/>
    <n v="3"/>
  </r>
  <r>
    <d v="2011-02-07T00:00:00"/>
    <n v="1"/>
    <n v="0"/>
    <n v="2"/>
    <n v="22"/>
    <x v="0"/>
    <n v="1"/>
    <n v="1"/>
    <n v="0.28000000000000003"/>
    <n v="0.30299999999999999"/>
    <n v="0.81"/>
    <n v="8.9599999999999999E-2"/>
    <n v="34"/>
    <n v="37"/>
    <s v="Monday"/>
    <x v="0"/>
    <n v="3"/>
  </r>
  <r>
    <d v="2011-02-07T00:00:00"/>
    <n v="1"/>
    <n v="0"/>
    <n v="2"/>
    <n v="23"/>
    <x v="0"/>
    <n v="1"/>
    <n v="2"/>
    <n v="0.3"/>
    <n v="0.33329999999999999"/>
    <n v="0.81"/>
    <n v="0"/>
    <n v="19"/>
    <n v="25"/>
    <s v="Monday"/>
    <x v="0"/>
    <n v="6"/>
  </r>
  <r>
    <d v="2011-02-08T00:00:00"/>
    <n v="1"/>
    <n v="0"/>
    <n v="2"/>
    <n v="0"/>
    <x v="0"/>
    <n v="2"/>
    <n v="2"/>
    <n v="0.28000000000000003"/>
    <n v="0.31819999999999998"/>
    <n v="0.87"/>
    <n v="0"/>
    <n v="6"/>
    <n v="10"/>
    <s v="Tuesday"/>
    <x v="0"/>
    <n v="4"/>
  </r>
  <r>
    <d v="2011-02-08T00:00:00"/>
    <n v="1"/>
    <n v="0"/>
    <n v="2"/>
    <n v="1"/>
    <x v="0"/>
    <n v="2"/>
    <n v="2"/>
    <n v="0.28000000000000003"/>
    <n v="0.31819999999999998"/>
    <n v="0.87"/>
    <n v="0"/>
    <n v="4"/>
    <n v="4"/>
    <s v="Tuesday"/>
    <x v="0"/>
    <n v="0"/>
  </r>
  <r>
    <d v="2011-02-08T00:00:00"/>
    <n v="1"/>
    <n v="0"/>
    <n v="2"/>
    <n v="2"/>
    <x v="0"/>
    <n v="2"/>
    <n v="2"/>
    <n v="0.26"/>
    <n v="0.2727"/>
    <n v="0.93"/>
    <n v="0.1045"/>
    <n v="1"/>
    <n v="2"/>
    <s v="Tuesday"/>
    <x v="0"/>
    <n v="1"/>
  </r>
  <r>
    <d v="2011-02-08T00:00:00"/>
    <n v="1"/>
    <n v="0"/>
    <n v="2"/>
    <n v="3"/>
    <x v="0"/>
    <n v="2"/>
    <n v="3"/>
    <n v="0.28000000000000003"/>
    <n v="0.2727"/>
    <n v="0.93"/>
    <n v="0.16420000000000001"/>
    <n v="1"/>
    <n v="1"/>
    <s v="Tuesday"/>
    <x v="0"/>
    <n v="0"/>
  </r>
  <r>
    <d v="2011-02-08T00:00:00"/>
    <n v="1"/>
    <n v="0"/>
    <n v="2"/>
    <n v="4"/>
    <x v="0"/>
    <n v="2"/>
    <n v="1"/>
    <n v="0.26"/>
    <n v="0.2576"/>
    <n v="0.93"/>
    <n v="0.16420000000000001"/>
    <n v="3"/>
    <n v="3"/>
    <s v="Tuesday"/>
    <x v="0"/>
    <n v="0"/>
  </r>
  <r>
    <d v="2011-02-08T00:00:00"/>
    <n v="1"/>
    <n v="0"/>
    <n v="2"/>
    <n v="5"/>
    <x v="0"/>
    <n v="2"/>
    <n v="1"/>
    <n v="0.26"/>
    <n v="0.2273"/>
    <n v="0.81"/>
    <n v="0.32840000000000003"/>
    <n v="2"/>
    <n v="2"/>
    <s v="Tuesday"/>
    <x v="0"/>
    <n v="0"/>
  </r>
  <r>
    <d v="2011-02-08T00:00:00"/>
    <n v="1"/>
    <n v="0"/>
    <n v="2"/>
    <n v="6"/>
    <x v="0"/>
    <n v="2"/>
    <n v="1"/>
    <n v="0.26"/>
    <n v="0.2273"/>
    <n v="0.7"/>
    <n v="0.32840000000000003"/>
    <n v="39"/>
    <n v="39"/>
    <s v="Tuesday"/>
    <x v="0"/>
    <n v="0"/>
  </r>
  <r>
    <d v="2011-02-08T00:00:00"/>
    <n v="1"/>
    <n v="0"/>
    <n v="2"/>
    <n v="7"/>
    <x v="0"/>
    <n v="2"/>
    <n v="1"/>
    <n v="0.24"/>
    <n v="0.19700000000000001"/>
    <n v="0.65"/>
    <n v="0.41789999999999999"/>
    <n v="97"/>
    <n v="100"/>
    <s v="Tuesday"/>
    <x v="0"/>
    <n v="3"/>
  </r>
  <r>
    <d v="2011-02-08T00:00:00"/>
    <n v="1"/>
    <n v="0"/>
    <n v="2"/>
    <n v="8"/>
    <x v="0"/>
    <n v="2"/>
    <n v="1"/>
    <n v="0.24"/>
    <n v="0.19700000000000001"/>
    <n v="0.56000000000000005"/>
    <n v="0.49249999999999999"/>
    <n v="236"/>
    <n v="243"/>
    <s v="Tuesday"/>
    <x v="0"/>
    <n v="7"/>
  </r>
  <r>
    <d v="2011-02-08T00:00:00"/>
    <n v="1"/>
    <n v="0"/>
    <n v="2"/>
    <n v="9"/>
    <x v="0"/>
    <n v="2"/>
    <n v="1"/>
    <n v="0.24"/>
    <n v="0.19700000000000001"/>
    <n v="0.52"/>
    <n v="0.49249999999999999"/>
    <n v="128"/>
    <n v="135"/>
    <s v="Tuesday"/>
    <x v="0"/>
    <n v="7"/>
  </r>
  <r>
    <d v="2011-02-08T00:00:00"/>
    <n v="1"/>
    <n v="0"/>
    <n v="2"/>
    <n v="10"/>
    <x v="0"/>
    <n v="2"/>
    <n v="1"/>
    <n v="0.22"/>
    <n v="0.18179999999999999"/>
    <n v="0.47"/>
    <n v="0.55220000000000002"/>
    <n v="44"/>
    <n v="48"/>
    <s v="Tuesday"/>
    <x v="1"/>
    <n v="4"/>
  </r>
  <r>
    <d v="2011-02-08T00:00:00"/>
    <n v="1"/>
    <n v="0"/>
    <n v="2"/>
    <n v="11"/>
    <x v="0"/>
    <n v="2"/>
    <n v="1"/>
    <n v="0.22"/>
    <n v="0.18179999999999999"/>
    <n v="0.47"/>
    <n v="0.4627"/>
    <n v="49"/>
    <n v="50"/>
    <s v="Tuesday"/>
    <x v="1"/>
    <n v="1"/>
  </r>
  <r>
    <d v="2011-02-08T00:00:00"/>
    <n v="1"/>
    <n v="0"/>
    <n v="2"/>
    <n v="12"/>
    <x v="0"/>
    <n v="2"/>
    <n v="1"/>
    <n v="0.24"/>
    <n v="0.19700000000000001"/>
    <n v="0.38"/>
    <n v="0.49249999999999999"/>
    <n v="63"/>
    <n v="65"/>
    <s v="Tuesday"/>
    <x v="0"/>
    <n v="2"/>
  </r>
  <r>
    <d v="2011-02-08T00:00:00"/>
    <n v="1"/>
    <n v="0"/>
    <n v="2"/>
    <n v="13"/>
    <x v="0"/>
    <n v="2"/>
    <n v="2"/>
    <n v="0.24"/>
    <n v="0.19700000000000001"/>
    <n v="0.32"/>
    <n v="0.44779999999999998"/>
    <n v="48"/>
    <n v="50"/>
    <s v="Tuesday"/>
    <x v="0"/>
    <n v="2"/>
  </r>
  <r>
    <d v="2011-02-08T00:00:00"/>
    <n v="1"/>
    <n v="0"/>
    <n v="2"/>
    <n v="14"/>
    <x v="0"/>
    <n v="2"/>
    <n v="1"/>
    <n v="0.22"/>
    <n v="0.19700000000000001"/>
    <n v="0.37"/>
    <n v="0.41789999999999999"/>
    <n v="61"/>
    <n v="64"/>
    <s v="Tuesday"/>
    <x v="1"/>
    <n v="3"/>
  </r>
  <r>
    <d v="2011-02-08T00:00:00"/>
    <n v="1"/>
    <n v="0"/>
    <n v="2"/>
    <n v="15"/>
    <x v="0"/>
    <n v="2"/>
    <n v="1"/>
    <n v="0.22"/>
    <n v="0.19700000000000001"/>
    <n v="0.35"/>
    <n v="0.3881"/>
    <n v="45"/>
    <n v="51"/>
    <s v="Tuesday"/>
    <x v="1"/>
    <n v="6"/>
  </r>
  <r>
    <d v="2011-02-08T00:00:00"/>
    <n v="1"/>
    <n v="0"/>
    <n v="2"/>
    <n v="16"/>
    <x v="0"/>
    <n v="2"/>
    <n v="1"/>
    <n v="0.22"/>
    <n v="0.18179999999999999"/>
    <n v="0.35"/>
    <n v="0.52239999999999998"/>
    <n v="79"/>
    <n v="83"/>
    <s v="Tuesday"/>
    <x v="1"/>
    <n v="4"/>
  </r>
  <r>
    <d v="2011-02-08T00:00:00"/>
    <n v="1"/>
    <n v="0"/>
    <n v="2"/>
    <n v="17"/>
    <x v="0"/>
    <n v="2"/>
    <n v="1"/>
    <n v="0.22"/>
    <n v="0.18179999999999999"/>
    <n v="0.32"/>
    <n v="0.58209999999999995"/>
    <n v="172"/>
    <n v="176"/>
    <s v="Tuesday"/>
    <x v="1"/>
    <n v="4"/>
  </r>
  <r>
    <d v="2011-02-08T00:00:00"/>
    <n v="1"/>
    <n v="0"/>
    <n v="2"/>
    <n v="18"/>
    <x v="0"/>
    <n v="2"/>
    <n v="1"/>
    <n v="0.2"/>
    <n v="0.18179999999999999"/>
    <n v="0.32"/>
    <n v="0.3881"/>
    <n v="151"/>
    <n v="152"/>
    <s v="Tuesday"/>
    <x v="1"/>
    <n v="1"/>
  </r>
  <r>
    <d v="2011-02-08T00:00:00"/>
    <n v="1"/>
    <n v="0"/>
    <n v="2"/>
    <n v="19"/>
    <x v="0"/>
    <n v="2"/>
    <n v="1"/>
    <n v="0.16"/>
    <n v="0.1212"/>
    <n v="0.4"/>
    <n v="0.4627"/>
    <n v="100"/>
    <n v="101"/>
    <s v="Tuesday"/>
    <x v="1"/>
    <n v="1"/>
  </r>
  <r>
    <d v="2011-02-08T00:00:00"/>
    <n v="1"/>
    <n v="0"/>
    <n v="2"/>
    <n v="20"/>
    <x v="0"/>
    <n v="2"/>
    <n v="1"/>
    <n v="0.16"/>
    <n v="0.13639999999999999"/>
    <n v="0.4"/>
    <n v="0.32840000000000003"/>
    <n v="53"/>
    <n v="56"/>
    <s v="Tuesday"/>
    <x v="1"/>
    <n v="3"/>
  </r>
  <r>
    <d v="2011-02-08T00:00:00"/>
    <n v="1"/>
    <n v="0"/>
    <n v="2"/>
    <n v="21"/>
    <x v="0"/>
    <n v="2"/>
    <n v="1"/>
    <n v="0.14000000000000001"/>
    <n v="0.1061"/>
    <n v="0.33"/>
    <n v="0.4627"/>
    <n v="46"/>
    <n v="54"/>
    <s v="Tuesday"/>
    <x v="1"/>
    <n v="8"/>
  </r>
  <r>
    <d v="2011-02-08T00:00:00"/>
    <n v="1"/>
    <n v="0"/>
    <n v="2"/>
    <n v="22"/>
    <x v="0"/>
    <n v="2"/>
    <n v="1"/>
    <n v="0.12"/>
    <n v="0.1061"/>
    <n v="0.33"/>
    <n v="0.35820000000000002"/>
    <n v="29"/>
    <n v="29"/>
    <s v="Tuesday"/>
    <x v="1"/>
    <n v="0"/>
  </r>
  <r>
    <d v="2011-02-08T00:00:00"/>
    <n v="1"/>
    <n v="0"/>
    <n v="2"/>
    <n v="23"/>
    <x v="0"/>
    <n v="2"/>
    <n v="1"/>
    <n v="0.12"/>
    <n v="0.1061"/>
    <n v="0.33"/>
    <n v="0.32840000000000003"/>
    <n v="9"/>
    <n v="12"/>
    <s v="Tuesday"/>
    <x v="1"/>
    <n v="3"/>
  </r>
  <r>
    <d v="2011-02-09T00:00:00"/>
    <n v="1"/>
    <n v="0"/>
    <n v="2"/>
    <n v="0"/>
    <x v="0"/>
    <n v="3"/>
    <n v="1"/>
    <n v="0.1"/>
    <n v="7.5800000000000006E-2"/>
    <n v="0.36"/>
    <n v="0.35820000000000002"/>
    <n v="17"/>
    <n v="17"/>
    <s v="Wednesday"/>
    <x v="1"/>
    <n v="0"/>
  </r>
  <r>
    <d v="2011-02-09T00:00:00"/>
    <n v="1"/>
    <n v="0"/>
    <n v="2"/>
    <n v="1"/>
    <x v="0"/>
    <n v="3"/>
    <n v="1"/>
    <n v="0.1"/>
    <n v="0.1061"/>
    <n v="0.36"/>
    <n v="0.22389999999999999"/>
    <n v="7"/>
    <n v="7"/>
    <s v="Wednesday"/>
    <x v="1"/>
    <n v="0"/>
  </r>
  <r>
    <d v="2011-02-09T00:00:00"/>
    <n v="1"/>
    <n v="0"/>
    <n v="2"/>
    <n v="2"/>
    <x v="0"/>
    <n v="3"/>
    <n v="1"/>
    <n v="0.08"/>
    <n v="7.5800000000000006E-2"/>
    <n v="0.38"/>
    <n v="0.28360000000000002"/>
    <n v="2"/>
    <n v="3"/>
    <s v="Wednesday"/>
    <x v="1"/>
    <n v="1"/>
  </r>
  <r>
    <d v="2011-02-09T00:00:00"/>
    <n v="1"/>
    <n v="0"/>
    <n v="2"/>
    <n v="3"/>
    <x v="0"/>
    <n v="3"/>
    <n v="1"/>
    <n v="0.06"/>
    <n v="7.5800000000000006E-2"/>
    <n v="0.45"/>
    <n v="0.1343"/>
    <n v="2"/>
    <n v="2"/>
    <s v="Wednesday"/>
    <x v="1"/>
    <n v="0"/>
  </r>
  <r>
    <d v="2011-02-09T00:00:00"/>
    <n v="1"/>
    <n v="0"/>
    <n v="2"/>
    <n v="5"/>
    <x v="0"/>
    <n v="3"/>
    <n v="1"/>
    <n v="0.06"/>
    <n v="0.1061"/>
    <n v="0.45"/>
    <n v="0.1045"/>
    <n v="7"/>
    <n v="7"/>
    <s v="Wednesday"/>
    <x v="1"/>
    <n v="0"/>
  </r>
  <r>
    <d v="2011-02-09T00:00:00"/>
    <n v="1"/>
    <n v="0"/>
    <n v="2"/>
    <n v="6"/>
    <x v="0"/>
    <n v="3"/>
    <n v="1"/>
    <n v="0.06"/>
    <n v="0.1515"/>
    <n v="0.45"/>
    <n v="0"/>
    <n v="43"/>
    <n v="43"/>
    <s v="Wednesday"/>
    <x v="1"/>
    <n v="0"/>
  </r>
  <r>
    <d v="2011-02-09T00:00:00"/>
    <n v="1"/>
    <n v="0"/>
    <n v="2"/>
    <n v="7"/>
    <x v="0"/>
    <n v="3"/>
    <n v="1"/>
    <n v="0.06"/>
    <n v="0.1061"/>
    <n v="0.49"/>
    <n v="0.1045"/>
    <n v="95"/>
    <n v="99"/>
    <s v="Wednesday"/>
    <x v="1"/>
    <n v="4"/>
  </r>
  <r>
    <d v="2011-02-09T00:00:00"/>
    <n v="1"/>
    <n v="0"/>
    <n v="2"/>
    <n v="8"/>
    <x v="0"/>
    <n v="3"/>
    <n v="1"/>
    <n v="0.1"/>
    <n v="0.13639999999999999"/>
    <n v="0.42"/>
    <n v="0"/>
    <n v="198"/>
    <n v="199"/>
    <s v="Wednesday"/>
    <x v="1"/>
    <n v="1"/>
  </r>
  <r>
    <d v="2011-02-09T00:00:00"/>
    <n v="1"/>
    <n v="0"/>
    <n v="2"/>
    <n v="9"/>
    <x v="0"/>
    <n v="3"/>
    <n v="1"/>
    <n v="0.12"/>
    <n v="0.13639999999999999"/>
    <n v="0.39"/>
    <n v="0.16420000000000001"/>
    <n v="119"/>
    <n v="123"/>
    <s v="Wednesday"/>
    <x v="1"/>
    <n v="4"/>
  </r>
  <r>
    <d v="2011-02-09T00:00:00"/>
    <n v="1"/>
    <n v="0"/>
    <n v="2"/>
    <n v="10"/>
    <x v="0"/>
    <n v="3"/>
    <n v="1"/>
    <n v="0.14000000000000001"/>
    <n v="0.18179999999999999"/>
    <n v="0.36"/>
    <n v="0"/>
    <n v="51"/>
    <n v="59"/>
    <s v="Wednesday"/>
    <x v="1"/>
    <n v="8"/>
  </r>
  <r>
    <d v="2011-02-09T00:00:00"/>
    <n v="1"/>
    <n v="0"/>
    <n v="2"/>
    <n v="11"/>
    <x v="0"/>
    <n v="3"/>
    <n v="2"/>
    <n v="0.14000000000000001"/>
    <n v="0.1515"/>
    <n v="0.43"/>
    <n v="0.16420000000000001"/>
    <n v="40"/>
    <n v="41"/>
    <s v="Wednesday"/>
    <x v="1"/>
    <n v="1"/>
  </r>
  <r>
    <d v="2011-02-09T00:00:00"/>
    <n v="1"/>
    <n v="0"/>
    <n v="2"/>
    <n v="12"/>
    <x v="0"/>
    <n v="3"/>
    <n v="2"/>
    <n v="0.18"/>
    <n v="0.18179999999999999"/>
    <n v="0.4"/>
    <n v="0.22389999999999999"/>
    <n v="57"/>
    <n v="61"/>
    <s v="Wednesday"/>
    <x v="1"/>
    <n v="4"/>
  </r>
  <r>
    <d v="2011-02-09T00:00:00"/>
    <n v="1"/>
    <n v="0"/>
    <n v="2"/>
    <n v="13"/>
    <x v="0"/>
    <n v="3"/>
    <n v="1"/>
    <n v="0.18"/>
    <n v="0.16669999999999999"/>
    <n v="0.4"/>
    <n v="0.25369999999999998"/>
    <n v="67"/>
    <n v="69"/>
    <s v="Wednesday"/>
    <x v="1"/>
    <n v="2"/>
  </r>
  <r>
    <d v="2011-02-09T00:00:00"/>
    <n v="1"/>
    <n v="0"/>
    <n v="2"/>
    <n v="14"/>
    <x v="0"/>
    <n v="3"/>
    <n v="1"/>
    <n v="0.2"/>
    <n v="0.18179999999999999"/>
    <n v="0.34"/>
    <n v="0.29849999999999999"/>
    <n v="56"/>
    <n v="58"/>
    <s v="Wednesday"/>
    <x v="1"/>
    <n v="2"/>
  </r>
  <r>
    <d v="2011-02-09T00:00:00"/>
    <n v="1"/>
    <n v="0"/>
    <n v="2"/>
    <n v="15"/>
    <x v="0"/>
    <n v="3"/>
    <n v="2"/>
    <n v="0.2"/>
    <n v="0.18179999999999999"/>
    <n v="0.34"/>
    <n v="0.28360000000000002"/>
    <n v="61"/>
    <n v="64"/>
    <s v="Wednesday"/>
    <x v="1"/>
    <n v="3"/>
  </r>
  <r>
    <d v="2011-02-09T00:00:00"/>
    <n v="1"/>
    <n v="0"/>
    <n v="2"/>
    <n v="16"/>
    <x v="0"/>
    <n v="3"/>
    <n v="2"/>
    <n v="0.2"/>
    <n v="0.19700000000000001"/>
    <n v="0.37"/>
    <n v="0.25369999999999998"/>
    <n v="72"/>
    <n v="79"/>
    <s v="Wednesday"/>
    <x v="1"/>
    <n v="7"/>
  </r>
  <r>
    <d v="2011-02-09T00:00:00"/>
    <n v="1"/>
    <n v="0"/>
    <n v="2"/>
    <n v="17"/>
    <x v="0"/>
    <n v="3"/>
    <n v="2"/>
    <n v="0.2"/>
    <n v="0.19700000000000001"/>
    <n v="0.34"/>
    <n v="0.25369999999999998"/>
    <n v="157"/>
    <n v="166"/>
    <s v="Wednesday"/>
    <x v="1"/>
    <n v="9"/>
  </r>
  <r>
    <d v="2011-02-09T00:00:00"/>
    <n v="1"/>
    <n v="0"/>
    <n v="2"/>
    <n v="18"/>
    <x v="0"/>
    <n v="3"/>
    <n v="2"/>
    <n v="0.18"/>
    <n v="0.16669999999999999"/>
    <n v="0.47"/>
    <n v="0.29849999999999999"/>
    <n v="168"/>
    <n v="170"/>
    <s v="Wednesday"/>
    <x v="1"/>
    <n v="2"/>
  </r>
  <r>
    <d v="2011-02-09T00:00:00"/>
    <n v="1"/>
    <n v="0"/>
    <n v="2"/>
    <n v="19"/>
    <x v="0"/>
    <n v="3"/>
    <n v="3"/>
    <n v="0.14000000000000001"/>
    <n v="0.1212"/>
    <n v="0.86"/>
    <n v="0.25369999999999998"/>
    <n v="87"/>
    <n v="88"/>
    <s v="Wednesday"/>
    <x v="1"/>
    <n v="1"/>
  </r>
  <r>
    <d v="2011-02-09T00:00:00"/>
    <n v="1"/>
    <n v="0"/>
    <n v="2"/>
    <n v="20"/>
    <x v="0"/>
    <n v="3"/>
    <n v="3"/>
    <n v="0.14000000000000001"/>
    <n v="0.1515"/>
    <n v="0.86"/>
    <n v="0.16420000000000001"/>
    <n v="84"/>
    <n v="84"/>
    <s v="Wednesday"/>
    <x v="1"/>
    <n v="0"/>
  </r>
  <r>
    <d v="2011-02-09T00:00:00"/>
    <n v="1"/>
    <n v="0"/>
    <n v="2"/>
    <n v="21"/>
    <x v="0"/>
    <n v="3"/>
    <n v="2"/>
    <n v="0.14000000000000001"/>
    <n v="0.1515"/>
    <n v="0.86"/>
    <n v="0.16420000000000001"/>
    <n v="83"/>
    <n v="83"/>
    <s v="Wednesday"/>
    <x v="1"/>
    <n v="0"/>
  </r>
  <r>
    <d v="2011-02-09T00:00:00"/>
    <n v="1"/>
    <n v="0"/>
    <n v="2"/>
    <n v="22"/>
    <x v="0"/>
    <n v="3"/>
    <n v="3"/>
    <n v="0.16"/>
    <n v="0.16669999999999999"/>
    <n v="0.8"/>
    <n v="0.16420000000000001"/>
    <n v="42"/>
    <n v="46"/>
    <s v="Wednesday"/>
    <x v="1"/>
    <n v="4"/>
  </r>
  <r>
    <d v="2011-02-09T00:00:00"/>
    <n v="1"/>
    <n v="0"/>
    <n v="2"/>
    <n v="23"/>
    <x v="0"/>
    <n v="3"/>
    <n v="3"/>
    <n v="0.16"/>
    <n v="0.1515"/>
    <n v="0.8"/>
    <n v="0.19400000000000001"/>
    <n v="37"/>
    <n v="37"/>
    <s v="Wednesday"/>
    <x v="1"/>
    <n v="0"/>
  </r>
  <r>
    <d v="2011-02-10T00:00:00"/>
    <n v="1"/>
    <n v="0"/>
    <n v="2"/>
    <n v="0"/>
    <x v="0"/>
    <n v="4"/>
    <n v="3"/>
    <n v="0.14000000000000001"/>
    <n v="0.13639999999999999"/>
    <n v="0.86"/>
    <n v="0.19400000000000001"/>
    <n v="16"/>
    <n v="16"/>
    <s v="Thursday"/>
    <x v="1"/>
    <n v="0"/>
  </r>
  <r>
    <d v="2011-02-10T00:00:00"/>
    <n v="1"/>
    <n v="0"/>
    <n v="2"/>
    <n v="1"/>
    <x v="0"/>
    <n v="4"/>
    <n v="3"/>
    <n v="0.14000000000000001"/>
    <n v="0.1515"/>
    <n v="0.8"/>
    <n v="0.1343"/>
    <n v="7"/>
    <n v="7"/>
    <s v="Thursday"/>
    <x v="1"/>
    <n v="0"/>
  </r>
  <r>
    <d v="2011-02-10T00:00:00"/>
    <n v="1"/>
    <n v="0"/>
    <n v="2"/>
    <n v="2"/>
    <x v="0"/>
    <n v="4"/>
    <n v="3"/>
    <n v="0.14000000000000001"/>
    <n v="0.1515"/>
    <n v="0.8"/>
    <n v="0.1343"/>
    <n v="3"/>
    <n v="3"/>
    <s v="Thursday"/>
    <x v="1"/>
    <n v="0"/>
  </r>
  <r>
    <d v="2011-02-10T00:00:00"/>
    <n v="1"/>
    <n v="0"/>
    <n v="2"/>
    <n v="4"/>
    <x v="0"/>
    <n v="4"/>
    <n v="2"/>
    <n v="0.14000000000000001"/>
    <n v="0.13639999999999999"/>
    <n v="0.59"/>
    <n v="0.22389999999999999"/>
    <n v="1"/>
    <n v="1"/>
    <s v="Thursday"/>
    <x v="1"/>
    <n v="0"/>
  </r>
  <r>
    <d v="2011-02-10T00:00:00"/>
    <n v="1"/>
    <n v="0"/>
    <n v="2"/>
    <n v="5"/>
    <x v="0"/>
    <n v="4"/>
    <n v="2"/>
    <n v="0.12"/>
    <n v="0.1212"/>
    <n v="0.5"/>
    <n v="0.22389999999999999"/>
    <n v="6"/>
    <n v="6"/>
    <s v="Thursday"/>
    <x v="1"/>
    <n v="0"/>
  </r>
  <r>
    <d v="2011-02-10T00:00:00"/>
    <n v="1"/>
    <n v="0"/>
    <n v="2"/>
    <n v="6"/>
    <x v="0"/>
    <n v="4"/>
    <n v="2"/>
    <n v="0.12"/>
    <n v="0.1212"/>
    <n v="0.54"/>
    <n v="0.28360000000000002"/>
    <n v="26"/>
    <n v="26"/>
    <s v="Thursday"/>
    <x v="1"/>
    <n v="0"/>
  </r>
  <r>
    <d v="2011-02-10T00:00:00"/>
    <n v="1"/>
    <n v="0"/>
    <n v="2"/>
    <n v="7"/>
    <x v="0"/>
    <n v="4"/>
    <n v="1"/>
    <n v="0.1"/>
    <n v="7.5800000000000006E-2"/>
    <n v="0.5"/>
    <n v="0.41789999999999999"/>
    <n v="99"/>
    <n v="99"/>
    <s v="Thursday"/>
    <x v="1"/>
    <n v="0"/>
  </r>
  <r>
    <d v="2011-02-10T00:00:00"/>
    <n v="1"/>
    <n v="0"/>
    <n v="2"/>
    <n v="8"/>
    <x v="0"/>
    <n v="4"/>
    <n v="1"/>
    <n v="0.1"/>
    <n v="7.5800000000000006E-2"/>
    <n v="0.49"/>
    <n v="0.32840000000000003"/>
    <n v="173"/>
    <n v="178"/>
    <s v="Thursday"/>
    <x v="1"/>
    <n v="5"/>
  </r>
  <r>
    <d v="2011-02-10T00:00:00"/>
    <n v="1"/>
    <n v="0"/>
    <n v="2"/>
    <n v="9"/>
    <x v="0"/>
    <n v="4"/>
    <n v="1"/>
    <n v="0.12"/>
    <n v="0.1061"/>
    <n v="0.42"/>
    <n v="0.35820000000000002"/>
    <n v="121"/>
    <n v="122"/>
    <s v="Thursday"/>
    <x v="1"/>
    <n v="1"/>
  </r>
  <r>
    <d v="2011-02-10T00:00:00"/>
    <n v="1"/>
    <n v="0"/>
    <n v="2"/>
    <n v="10"/>
    <x v="0"/>
    <n v="4"/>
    <n v="1"/>
    <n v="0.12"/>
    <n v="0.1061"/>
    <n v="0.42"/>
    <n v="0.29849999999999999"/>
    <n v="34"/>
    <n v="35"/>
    <s v="Thursday"/>
    <x v="1"/>
    <n v="1"/>
  </r>
  <r>
    <d v="2011-02-10T00:00:00"/>
    <n v="1"/>
    <n v="0"/>
    <n v="2"/>
    <n v="11"/>
    <x v="0"/>
    <n v="4"/>
    <n v="1"/>
    <n v="0.14000000000000001"/>
    <n v="0.1212"/>
    <n v="0.39"/>
    <n v="0.35820000000000002"/>
    <n v="44"/>
    <n v="45"/>
    <s v="Thursday"/>
    <x v="1"/>
    <n v="1"/>
  </r>
  <r>
    <d v="2011-02-10T00:00:00"/>
    <n v="1"/>
    <n v="0"/>
    <n v="2"/>
    <n v="12"/>
    <x v="0"/>
    <n v="4"/>
    <n v="1"/>
    <n v="0.16"/>
    <n v="0.13639999999999999"/>
    <n v="0.34"/>
    <n v="0.3881"/>
    <n v="65"/>
    <n v="69"/>
    <s v="Thursday"/>
    <x v="1"/>
    <n v="4"/>
  </r>
  <r>
    <d v="2011-02-10T00:00:00"/>
    <n v="1"/>
    <n v="0"/>
    <n v="2"/>
    <n v="13"/>
    <x v="0"/>
    <n v="4"/>
    <n v="1"/>
    <n v="0.18"/>
    <n v="0.16669999999999999"/>
    <n v="0.28999999999999998"/>
    <n v="0.29849999999999999"/>
    <n v="59"/>
    <n v="62"/>
    <s v="Thursday"/>
    <x v="1"/>
    <n v="3"/>
  </r>
  <r>
    <d v="2011-02-10T00:00:00"/>
    <n v="1"/>
    <n v="0"/>
    <n v="2"/>
    <n v="14"/>
    <x v="0"/>
    <n v="4"/>
    <n v="1"/>
    <n v="0.2"/>
    <n v="0.18179999999999999"/>
    <n v="0.27"/>
    <n v="0.28360000000000002"/>
    <n v="42"/>
    <n v="48"/>
    <s v="Thursday"/>
    <x v="1"/>
    <n v="6"/>
  </r>
  <r>
    <d v="2011-02-10T00:00:00"/>
    <n v="1"/>
    <n v="0"/>
    <n v="2"/>
    <n v="15"/>
    <x v="0"/>
    <n v="4"/>
    <n v="1"/>
    <n v="0.2"/>
    <n v="0.19700000000000001"/>
    <n v="0.25"/>
    <n v="0.25369999999999998"/>
    <n v="50"/>
    <n v="50"/>
    <s v="Thursday"/>
    <x v="1"/>
    <n v="0"/>
  </r>
  <r>
    <d v="2011-02-10T00:00:00"/>
    <n v="1"/>
    <n v="0"/>
    <n v="2"/>
    <n v="16"/>
    <x v="0"/>
    <n v="4"/>
    <n v="1"/>
    <n v="0.2"/>
    <n v="0.18179999999999999"/>
    <n v="0.27"/>
    <n v="0.29849999999999999"/>
    <n v="76"/>
    <n v="80"/>
    <s v="Thursday"/>
    <x v="1"/>
    <n v="4"/>
  </r>
  <r>
    <d v="2011-02-10T00:00:00"/>
    <n v="1"/>
    <n v="0"/>
    <n v="2"/>
    <n v="17"/>
    <x v="0"/>
    <n v="4"/>
    <n v="1"/>
    <n v="0.18"/>
    <n v="0.18179999999999999"/>
    <n v="0.26"/>
    <n v="0.19400000000000001"/>
    <n v="159"/>
    <n v="165"/>
    <s v="Thursday"/>
    <x v="1"/>
    <n v="6"/>
  </r>
  <r>
    <d v="2011-02-10T00:00:00"/>
    <n v="1"/>
    <n v="0"/>
    <n v="2"/>
    <n v="18"/>
    <x v="0"/>
    <n v="4"/>
    <n v="1"/>
    <n v="0.16"/>
    <n v="0.18179999999999999"/>
    <n v="0.28000000000000003"/>
    <n v="0.1343"/>
    <n v="157"/>
    <n v="160"/>
    <s v="Thursday"/>
    <x v="1"/>
    <n v="3"/>
  </r>
  <r>
    <d v="2011-02-10T00:00:00"/>
    <n v="1"/>
    <n v="0"/>
    <n v="2"/>
    <n v="19"/>
    <x v="0"/>
    <n v="4"/>
    <n v="1"/>
    <n v="0.14000000000000001"/>
    <n v="0.16669999999999999"/>
    <n v="0.28000000000000003"/>
    <n v="0.1045"/>
    <n v="110"/>
    <n v="112"/>
    <s v="Thursday"/>
    <x v="1"/>
    <n v="2"/>
  </r>
  <r>
    <d v="2011-02-10T00:00:00"/>
    <n v="1"/>
    <n v="0"/>
    <n v="2"/>
    <n v="20"/>
    <x v="0"/>
    <n v="4"/>
    <n v="1"/>
    <n v="0.14000000000000001"/>
    <n v="0.18179999999999999"/>
    <n v="0.31"/>
    <n v="8.9599999999999999E-2"/>
    <n v="93"/>
    <n v="97"/>
    <s v="Thursday"/>
    <x v="1"/>
    <n v="4"/>
  </r>
  <r>
    <d v="2011-02-10T00:00:00"/>
    <n v="1"/>
    <n v="0"/>
    <n v="2"/>
    <n v="21"/>
    <x v="0"/>
    <n v="4"/>
    <n v="1"/>
    <n v="0.14000000000000001"/>
    <n v="0.21210000000000001"/>
    <n v="0.39"/>
    <n v="0"/>
    <n v="70"/>
    <n v="72"/>
    <s v="Thursday"/>
    <x v="1"/>
    <n v="2"/>
  </r>
  <r>
    <d v="2011-02-10T00:00:00"/>
    <n v="1"/>
    <n v="0"/>
    <n v="2"/>
    <n v="22"/>
    <x v="0"/>
    <n v="4"/>
    <n v="1"/>
    <n v="0.12"/>
    <n v="0.19700000000000001"/>
    <n v="0.39"/>
    <n v="0"/>
    <n v="47"/>
    <n v="51"/>
    <s v="Thursday"/>
    <x v="1"/>
    <n v="4"/>
  </r>
  <r>
    <d v="2011-02-10T00:00:00"/>
    <n v="1"/>
    <n v="0"/>
    <n v="2"/>
    <n v="23"/>
    <x v="0"/>
    <n v="4"/>
    <n v="1"/>
    <n v="0.12"/>
    <n v="0.1515"/>
    <n v="0.42"/>
    <n v="0.1045"/>
    <n v="33"/>
    <n v="34"/>
    <s v="Thursday"/>
    <x v="1"/>
    <n v="1"/>
  </r>
  <r>
    <d v="2011-02-11T00:00:00"/>
    <n v="1"/>
    <n v="0"/>
    <n v="2"/>
    <n v="0"/>
    <x v="0"/>
    <n v="5"/>
    <n v="1"/>
    <n v="0.1"/>
    <n v="0.13639999999999999"/>
    <n v="0.49"/>
    <n v="0.1045"/>
    <n v="12"/>
    <n v="14"/>
    <s v="Friday"/>
    <x v="1"/>
    <n v="2"/>
  </r>
  <r>
    <d v="2011-02-11T00:00:00"/>
    <n v="1"/>
    <n v="0"/>
    <n v="2"/>
    <n v="1"/>
    <x v="0"/>
    <n v="5"/>
    <n v="1"/>
    <n v="0.1"/>
    <n v="0.13639999999999999"/>
    <n v="0.54"/>
    <n v="8.9599999999999999E-2"/>
    <n v="6"/>
    <n v="7"/>
    <s v="Friday"/>
    <x v="1"/>
    <n v="1"/>
  </r>
  <r>
    <d v="2011-02-11T00:00:00"/>
    <n v="1"/>
    <n v="0"/>
    <n v="2"/>
    <n v="2"/>
    <x v="0"/>
    <n v="5"/>
    <n v="1"/>
    <n v="0.1"/>
    <n v="0.13639999999999999"/>
    <n v="0.54"/>
    <n v="8.9599999999999999E-2"/>
    <n v="3"/>
    <n v="3"/>
    <s v="Friday"/>
    <x v="1"/>
    <n v="0"/>
  </r>
  <r>
    <d v="2011-02-11T00:00:00"/>
    <n v="1"/>
    <n v="0"/>
    <n v="2"/>
    <n v="5"/>
    <x v="0"/>
    <n v="5"/>
    <n v="1"/>
    <n v="0.08"/>
    <n v="0.1212"/>
    <n v="0.63"/>
    <n v="8.9599999999999999E-2"/>
    <n v="4"/>
    <n v="4"/>
    <s v="Friday"/>
    <x v="1"/>
    <n v="0"/>
  </r>
  <r>
    <d v="2011-02-11T00:00:00"/>
    <n v="1"/>
    <n v="0"/>
    <n v="2"/>
    <n v="6"/>
    <x v="0"/>
    <n v="5"/>
    <n v="1"/>
    <n v="0.1"/>
    <n v="0.18179999999999999"/>
    <n v="0.68"/>
    <n v="0"/>
    <n v="23"/>
    <n v="24"/>
    <s v="Friday"/>
    <x v="1"/>
    <n v="1"/>
  </r>
  <r>
    <d v="2011-02-11T00:00:00"/>
    <n v="1"/>
    <n v="0"/>
    <n v="2"/>
    <n v="7"/>
    <x v="0"/>
    <n v="5"/>
    <n v="1"/>
    <n v="0.08"/>
    <n v="0.16669999999999999"/>
    <n v="0.73"/>
    <n v="0"/>
    <n v="73"/>
    <n v="74"/>
    <s v="Friday"/>
    <x v="1"/>
    <n v="1"/>
  </r>
  <r>
    <d v="2011-02-11T00:00:00"/>
    <n v="1"/>
    <n v="0"/>
    <n v="2"/>
    <n v="8"/>
    <x v="0"/>
    <n v="5"/>
    <n v="1"/>
    <n v="0.1"/>
    <n v="0.1212"/>
    <n v="0.74"/>
    <n v="0.16420000000000001"/>
    <n v="212"/>
    <n v="216"/>
    <s v="Friday"/>
    <x v="1"/>
    <n v="4"/>
  </r>
  <r>
    <d v="2011-02-11T00:00:00"/>
    <n v="1"/>
    <n v="0"/>
    <n v="2"/>
    <n v="9"/>
    <x v="0"/>
    <n v="5"/>
    <n v="1"/>
    <n v="0.12"/>
    <n v="0.1212"/>
    <n v="0.74"/>
    <n v="0.22389999999999999"/>
    <n v="132"/>
    <n v="140"/>
    <s v="Friday"/>
    <x v="1"/>
    <n v="8"/>
  </r>
  <r>
    <d v="2011-02-11T00:00:00"/>
    <n v="1"/>
    <n v="0"/>
    <n v="2"/>
    <n v="10"/>
    <x v="0"/>
    <n v="5"/>
    <n v="1"/>
    <n v="0.14000000000000001"/>
    <n v="0.13639999999999999"/>
    <n v="0.69"/>
    <n v="0.19400000000000001"/>
    <n v="39"/>
    <n v="44"/>
    <s v="Friday"/>
    <x v="1"/>
    <n v="5"/>
  </r>
  <r>
    <d v="2011-02-11T00:00:00"/>
    <n v="1"/>
    <n v="0"/>
    <n v="2"/>
    <n v="11"/>
    <x v="0"/>
    <n v="5"/>
    <n v="1"/>
    <n v="0.22"/>
    <n v="0.2273"/>
    <n v="0.47"/>
    <n v="0.1343"/>
    <n v="52"/>
    <n v="64"/>
    <s v="Friday"/>
    <x v="1"/>
    <n v="12"/>
  </r>
  <r>
    <d v="2011-02-11T00:00:00"/>
    <n v="1"/>
    <n v="0"/>
    <n v="2"/>
    <n v="12"/>
    <x v="0"/>
    <n v="5"/>
    <n v="1"/>
    <n v="0.22"/>
    <n v="0.2273"/>
    <n v="0.47"/>
    <n v="0.1343"/>
    <n v="64"/>
    <n v="71"/>
    <s v="Friday"/>
    <x v="1"/>
    <n v="7"/>
  </r>
  <r>
    <d v="2011-02-11T00:00:00"/>
    <n v="1"/>
    <n v="0"/>
    <n v="2"/>
    <n v="13"/>
    <x v="0"/>
    <n v="5"/>
    <n v="1"/>
    <n v="0.24"/>
    <n v="0.2273"/>
    <n v="0.35"/>
    <n v="0.19400000000000001"/>
    <n v="89"/>
    <n v="110"/>
    <s v="Friday"/>
    <x v="0"/>
    <n v="21"/>
  </r>
  <r>
    <d v="2011-02-11T00:00:00"/>
    <n v="1"/>
    <n v="0"/>
    <n v="2"/>
    <n v="14"/>
    <x v="0"/>
    <n v="5"/>
    <n v="1"/>
    <n v="0.3"/>
    <n v="0.28789999999999999"/>
    <n v="0.26"/>
    <n v="0.25369999999999998"/>
    <n v="67"/>
    <n v="84"/>
    <s v="Friday"/>
    <x v="0"/>
    <n v="17"/>
  </r>
  <r>
    <d v="2011-02-11T00:00:00"/>
    <n v="1"/>
    <n v="0"/>
    <n v="2"/>
    <n v="15"/>
    <x v="0"/>
    <n v="5"/>
    <n v="1"/>
    <n v="0.32"/>
    <n v="0.31819999999999998"/>
    <n v="0.21"/>
    <n v="0.16420000000000001"/>
    <n v="62"/>
    <n v="74"/>
    <s v="Friday"/>
    <x v="0"/>
    <n v="12"/>
  </r>
  <r>
    <d v="2011-02-11T00:00:00"/>
    <n v="1"/>
    <n v="0"/>
    <n v="2"/>
    <n v="16"/>
    <x v="0"/>
    <n v="5"/>
    <n v="1"/>
    <n v="0.3"/>
    <n v="0.28789999999999999"/>
    <n v="0.28000000000000003"/>
    <n v="0.19400000000000001"/>
    <n v="111"/>
    <n v="125"/>
    <s v="Friday"/>
    <x v="0"/>
    <n v="14"/>
  </r>
  <r>
    <d v="2011-02-11T00:00:00"/>
    <n v="1"/>
    <n v="0"/>
    <n v="2"/>
    <n v="17"/>
    <x v="0"/>
    <n v="5"/>
    <n v="1"/>
    <n v="0.3"/>
    <n v="0.33329999999999999"/>
    <n v="0.24"/>
    <n v="0"/>
    <n v="193"/>
    <n v="211"/>
    <s v="Friday"/>
    <x v="0"/>
    <n v="18"/>
  </r>
  <r>
    <d v="2011-02-11T00:00:00"/>
    <n v="1"/>
    <n v="0"/>
    <n v="2"/>
    <n v="18"/>
    <x v="0"/>
    <n v="5"/>
    <n v="1"/>
    <n v="0.28000000000000003"/>
    <n v="0.31819999999999998"/>
    <n v="0.28000000000000003"/>
    <n v="0"/>
    <n v="165"/>
    <n v="174"/>
    <s v="Friday"/>
    <x v="0"/>
    <n v="9"/>
  </r>
  <r>
    <d v="2011-02-11T00:00:00"/>
    <n v="1"/>
    <n v="0"/>
    <n v="2"/>
    <n v="19"/>
    <x v="0"/>
    <n v="5"/>
    <n v="1"/>
    <n v="0.26"/>
    <n v="0.30299999999999999"/>
    <n v="0.33"/>
    <n v="0"/>
    <n v="94"/>
    <n v="101"/>
    <s v="Friday"/>
    <x v="0"/>
    <n v="7"/>
  </r>
  <r>
    <d v="2011-02-11T00:00:00"/>
    <n v="1"/>
    <n v="0"/>
    <n v="2"/>
    <n v="20"/>
    <x v="0"/>
    <n v="5"/>
    <n v="1"/>
    <n v="0.22"/>
    <n v="0.2273"/>
    <n v="0.55000000000000004"/>
    <n v="0.1343"/>
    <n v="61"/>
    <n v="63"/>
    <s v="Friday"/>
    <x v="1"/>
    <n v="2"/>
  </r>
  <r>
    <d v="2011-02-11T00:00:00"/>
    <n v="1"/>
    <n v="0"/>
    <n v="2"/>
    <n v="21"/>
    <x v="0"/>
    <n v="5"/>
    <n v="1"/>
    <n v="0.2"/>
    <n v="0.21210000000000001"/>
    <n v="0.59"/>
    <n v="0.1343"/>
    <n v="46"/>
    <n v="47"/>
    <s v="Friday"/>
    <x v="1"/>
    <n v="1"/>
  </r>
  <r>
    <d v="2011-02-11T00:00:00"/>
    <n v="1"/>
    <n v="0"/>
    <n v="2"/>
    <n v="22"/>
    <x v="0"/>
    <n v="5"/>
    <n v="1"/>
    <n v="0.2"/>
    <n v="0.2273"/>
    <n v="0.64"/>
    <n v="8.9599999999999999E-2"/>
    <n v="41"/>
    <n v="43"/>
    <s v="Friday"/>
    <x v="1"/>
    <n v="2"/>
  </r>
  <r>
    <d v="2011-02-11T00:00:00"/>
    <n v="1"/>
    <n v="0"/>
    <n v="2"/>
    <n v="23"/>
    <x v="0"/>
    <n v="5"/>
    <n v="1"/>
    <n v="0.18"/>
    <n v="0.2424"/>
    <n v="0.69"/>
    <n v="0"/>
    <n v="48"/>
    <n v="53"/>
    <s v="Friday"/>
    <x v="1"/>
    <n v="5"/>
  </r>
  <r>
    <d v="2011-02-12T00:00:00"/>
    <n v="1"/>
    <n v="0"/>
    <n v="2"/>
    <n v="0"/>
    <x v="0"/>
    <n v="6"/>
    <n v="1"/>
    <n v="0.16"/>
    <n v="0.19700000000000001"/>
    <n v="0.69"/>
    <n v="8.9599999999999999E-2"/>
    <n v="27"/>
    <n v="30"/>
    <s v="Saturday"/>
    <x v="1"/>
    <n v="3"/>
  </r>
  <r>
    <d v="2011-02-12T00:00:00"/>
    <n v="1"/>
    <n v="0"/>
    <n v="2"/>
    <n v="1"/>
    <x v="0"/>
    <n v="6"/>
    <n v="1"/>
    <n v="0.14000000000000001"/>
    <n v="0.21210000000000001"/>
    <n v="0.86"/>
    <n v="0"/>
    <n v="22"/>
    <n v="24"/>
    <s v="Saturday"/>
    <x v="1"/>
    <n v="2"/>
  </r>
  <r>
    <d v="2011-02-12T00:00:00"/>
    <n v="1"/>
    <n v="0"/>
    <n v="2"/>
    <n v="2"/>
    <x v="0"/>
    <n v="6"/>
    <n v="1"/>
    <n v="0.14000000000000001"/>
    <n v="0.21210000000000001"/>
    <n v="0.8"/>
    <n v="0"/>
    <n v="13"/>
    <n v="15"/>
    <s v="Saturday"/>
    <x v="1"/>
    <n v="2"/>
  </r>
  <r>
    <d v="2011-02-12T00:00:00"/>
    <n v="1"/>
    <n v="0"/>
    <n v="2"/>
    <n v="3"/>
    <x v="0"/>
    <n v="6"/>
    <n v="1"/>
    <n v="0.12"/>
    <n v="0.19700000000000001"/>
    <n v="0.8"/>
    <n v="0"/>
    <n v="7"/>
    <n v="10"/>
    <s v="Saturday"/>
    <x v="1"/>
    <n v="3"/>
  </r>
  <r>
    <d v="2011-02-12T00:00:00"/>
    <n v="1"/>
    <n v="0"/>
    <n v="2"/>
    <n v="4"/>
    <x v="0"/>
    <n v="6"/>
    <n v="1"/>
    <n v="0.12"/>
    <n v="0.16669999999999999"/>
    <n v="0.74"/>
    <n v="8.9599999999999999E-2"/>
    <n v="4"/>
    <n v="4"/>
    <s v="Saturday"/>
    <x v="1"/>
    <n v="0"/>
  </r>
  <r>
    <d v="2011-02-12T00:00:00"/>
    <n v="1"/>
    <n v="0"/>
    <n v="2"/>
    <n v="5"/>
    <x v="0"/>
    <n v="6"/>
    <n v="1"/>
    <n v="0.12"/>
    <n v="0.16669999999999999"/>
    <n v="0.74"/>
    <n v="8.9599999999999999E-2"/>
    <n v="1"/>
    <n v="1"/>
    <s v="Saturday"/>
    <x v="1"/>
    <n v="0"/>
  </r>
  <r>
    <d v="2011-02-12T00:00:00"/>
    <n v="1"/>
    <n v="0"/>
    <n v="2"/>
    <n v="6"/>
    <x v="0"/>
    <n v="6"/>
    <n v="1"/>
    <n v="0.12"/>
    <n v="0.13639999999999999"/>
    <n v="0.93"/>
    <n v="0.19400000000000001"/>
    <n v="1"/>
    <n v="2"/>
    <s v="Saturday"/>
    <x v="1"/>
    <n v="1"/>
  </r>
  <r>
    <d v="2011-02-12T00:00:00"/>
    <n v="1"/>
    <n v="0"/>
    <n v="2"/>
    <n v="7"/>
    <x v="0"/>
    <n v="6"/>
    <n v="1"/>
    <n v="0.12"/>
    <n v="0.1515"/>
    <n v="0.8"/>
    <n v="0.1045"/>
    <n v="9"/>
    <n v="11"/>
    <s v="Saturday"/>
    <x v="1"/>
    <n v="2"/>
  </r>
  <r>
    <d v="2011-02-12T00:00:00"/>
    <n v="1"/>
    <n v="0"/>
    <n v="2"/>
    <n v="8"/>
    <x v="0"/>
    <n v="6"/>
    <n v="1"/>
    <n v="0.14000000000000001"/>
    <n v="0.1515"/>
    <n v="0.86"/>
    <n v="0.1343"/>
    <n v="28"/>
    <n v="30"/>
    <s v="Saturday"/>
    <x v="1"/>
    <n v="2"/>
  </r>
  <r>
    <d v="2011-02-12T00:00:00"/>
    <n v="1"/>
    <n v="0"/>
    <n v="2"/>
    <n v="9"/>
    <x v="0"/>
    <n v="6"/>
    <n v="1"/>
    <n v="0.16"/>
    <n v="0.18179999999999999"/>
    <n v="0.64"/>
    <n v="0.1343"/>
    <n v="38"/>
    <n v="43"/>
    <s v="Saturday"/>
    <x v="1"/>
    <n v="5"/>
  </r>
  <r>
    <d v="2011-02-12T00:00:00"/>
    <n v="1"/>
    <n v="0"/>
    <n v="2"/>
    <n v="10"/>
    <x v="0"/>
    <n v="6"/>
    <n v="1"/>
    <n v="0.22"/>
    <n v="0.21210000000000001"/>
    <n v="0.41"/>
    <n v="0.25369999999999998"/>
    <n v="71"/>
    <n v="84"/>
    <s v="Saturday"/>
    <x v="1"/>
    <n v="13"/>
  </r>
  <r>
    <d v="2011-02-12T00:00:00"/>
    <n v="1"/>
    <n v="0"/>
    <n v="2"/>
    <n v="11"/>
    <x v="0"/>
    <n v="6"/>
    <n v="1"/>
    <n v="0.3"/>
    <n v="0.2727"/>
    <n v="0.28000000000000003"/>
    <n v="0.32840000000000003"/>
    <n v="84"/>
    <n v="114"/>
    <s v="Saturday"/>
    <x v="0"/>
    <n v="30"/>
  </r>
  <r>
    <d v="2011-02-12T00:00:00"/>
    <n v="1"/>
    <n v="0"/>
    <n v="2"/>
    <n v="12"/>
    <x v="0"/>
    <n v="6"/>
    <n v="1"/>
    <n v="0.3"/>
    <n v="0.2727"/>
    <n v="0.39"/>
    <n v="0.4627"/>
    <n v="93"/>
    <n v="120"/>
    <s v="Saturday"/>
    <x v="0"/>
    <n v="27"/>
  </r>
  <r>
    <d v="2011-02-12T00:00:00"/>
    <n v="1"/>
    <n v="0"/>
    <n v="2"/>
    <n v="13"/>
    <x v="0"/>
    <n v="6"/>
    <n v="1"/>
    <n v="0.3"/>
    <n v="0.2727"/>
    <n v="0.39"/>
    <n v="0.41789999999999999"/>
    <n v="103"/>
    <n v="135"/>
    <s v="Saturday"/>
    <x v="0"/>
    <n v="32"/>
  </r>
  <r>
    <d v="2011-02-12T00:00:00"/>
    <n v="1"/>
    <n v="0"/>
    <n v="2"/>
    <n v="14"/>
    <x v="0"/>
    <n v="6"/>
    <n v="1"/>
    <n v="0.34"/>
    <n v="0.31819999999999998"/>
    <n v="0.31"/>
    <n v="0.28360000000000002"/>
    <n v="90"/>
    <n v="120"/>
    <s v="Saturday"/>
    <x v="0"/>
    <n v="30"/>
  </r>
  <r>
    <d v="2011-02-12T00:00:00"/>
    <n v="1"/>
    <n v="0"/>
    <n v="2"/>
    <n v="15"/>
    <x v="0"/>
    <n v="6"/>
    <n v="1"/>
    <n v="0.34"/>
    <n v="0.30299999999999999"/>
    <n v="0.28999999999999998"/>
    <n v="0.41789999999999999"/>
    <n v="127"/>
    <n v="174"/>
    <s v="Saturday"/>
    <x v="0"/>
    <n v="47"/>
  </r>
  <r>
    <d v="2011-02-12T00:00:00"/>
    <n v="1"/>
    <n v="0"/>
    <n v="2"/>
    <n v="16"/>
    <x v="0"/>
    <n v="6"/>
    <n v="1"/>
    <n v="0.34"/>
    <n v="0.30299999999999999"/>
    <n v="0.28999999999999998"/>
    <n v="0.41789999999999999"/>
    <n v="103"/>
    <n v="145"/>
    <s v="Saturday"/>
    <x v="0"/>
    <n v="42"/>
  </r>
  <r>
    <d v="2011-02-12T00:00:00"/>
    <n v="1"/>
    <n v="0"/>
    <n v="2"/>
    <n v="17"/>
    <x v="0"/>
    <n v="6"/>
    <n v="1"/>
    <n v="0.32"/>
    <n v="0.28789999999999999"/>
    <n v="0.31"/>
    <n v="0.52239999999999998"/>
    <n v="113"/>
    <n v="137"/>
    <s v="Saturday"/>
    <x v="0"/>
    <n v="24"/>
  </r>
  <r>
    <d v="2011-02-12T00:00:00"/>
    <n v="1"/>
    <n v="0"/>
    <n v="2"/>
    <n v="18"/>
    <x v="0"/>
    <n v="6"/>
    <n v="1"/>
    <n v="0.28000000000000003"/>
    <n v="0.2576"/>
    <n v="0.38"/>
    <n v="0.32840000000000003"/>
    <n v="60"/>
    <n v="64"/>
    <s v="Saturday"/>
    <x v="0"/>
    <n v="4"/>
  </r>
  <r>
    <d v="2011-02-12T00:00:00"/>
    <n v="1"/>
    <n v="0"/>
    <n v="2"/>
    <n v="19"/>
    <x v="0"/>
    <n v="6"/>
    <n v="1"/>
    <n v="0.28000000000000003"/>
    <n v="0.2727"/>
    <n v="0.38"/>
    <n v="0.16420000000000001"/>
    <n v="39"/>
    <n v="41"/>
    <s v="Saturday"/>
    <x v="0"/>
    <n v="2"/>
  </r>
  <r>
    <d v="2011-02-12T00:00:00"/>
    <n v="1"/>
    <n v="0"/>
    <n v="2"/>
    <n v="20"/>
    <x v="0"/>
    <n v="6"/>
    <n v="1"/>
    <n v="0.26"/>
    <n v="0.2576"/>
    <n v="0.41"/>
    <n v="0.22389999999999999"/>
    <n v="39"/>
    <n v="40"/>
    <s v="Saturday"/>
    <x v="0"/>
    <n v="1"/>
  </r>
  <r>
    <d v="2011-02-12T00:00:00"/>
    <n v="1"/>
    <n v="0"/>
    <n v="2"/>
    <n v="21"/>
    <x v="0"/>
    <n v="6"/>
    <n v="1"/>
    <n v="0.26"/>
    <n v="0.30299999999999999"/>
    <n v="0.41"/>
    <n v="0"/>
    <n v="42"/>
    <n v="51"/>
    <s v="Saturday"/>
    <x v="0"/>
    <n v="9"/>
  </r>
  <r>
    <d v="2011-02-12T00:00:00"/>
    <n v="1"/>
    <n v="0"/>
    <n v="2"/>
    <n v="22"/>
    <x v="0"/>
    <n v="6"/>
    <n v="1"/>
    <n v="0.24"/>
    <n v="0.2576"/>
    <n v="0.44"/>
    <n v="8.9599999999999999E-2"/>
    <n v="39"/>
    <n v="45"/>
    <s v="Saturday"/>
    <x v="0"/>
    <n v="6"/>
  </r>
  <r>
    <d v="2011-02-12T00:00:00"/>
    <n v="1"/>
    <n v="0"/>
    <n v="2"/>
    <n v="23"/>
    <x v="0"/>
    <n v="6"/>
    <n v="1"/>
    <n v="0.22"/>
    <n v="0.2273"/>
    <n v="0.51"/>
    <n v="0.1343"/>
    <n v="31"/>
    <n v="32"/>
    <s v="Saturday"/>
    <x v="1"/>
    <n v="1"/>
  </r>
  <r>
    <d v="2011-02-13T00:00:00"/>
    <n v="1"/>
    <n v="0"/>
    <n v="2"/>
    <n v="0"/>
    <x v="0"/>
    <n v="0"/>
    <n v="1"/>
    <n v="0.2"/>
    <n v="0.2273"/>
    <n v="0.64"/>
    <n v="0.1045"/>
    <n v="34"/>
    <n v="39"/>
    <s v="Sunday"/>
    <x v="1"/>
    <n v="5"/>
  </r>
  <r>
    <d v="2011-02-13T00:00:00"/>
    <n v="1"/>
    <n v="0"/>
    <n v="2"/>
    <n v="1"/>
    <x v="0"/>
    <n v="0"/>
    <n v="1"/>
    <n v="0.2"/>
    <n v="0.2273"/>
    <n v="0.59"/>
    <n v="8.9599999999999999E-2"/>
    <n v="23"/>
    <n v="24"/>
    <s v="Sunday"/>
    <x v="1"/>
    <n v="1"/>
  </r>
  <r>
    <d v="2011-02-13T00:00:00"/>
    <n v="1"/>
    <n v="0"/>
    <n v="2"/>
    <n v="2"/>
    <x v="0"/>
    <n v="0"/>
    <n v="2"/>
    <n v="0.2"/>
    <n v="0.2273"/>
    <n v="0.75"/>
    <n v="8.9599999999999999E-2"/>
    <n v="19"/>
    <n v="20"/>
    <s v="Sunday"/>
    <x v="1"/>
    <n v="1"/>
  </r>
  <r>
    <d v="2011-02-13T00:00:00"/>
    <n v="1"/>
    <n v="0"/>
    <n v="2"/>
    <n v="3"/>
    <x v="0"/>
    <n v="0"/>
    <n v="2"/>
    <n v="0.2"/>
    <n v="0.2273"/>
    <n v="0.69"/>
    <n v="0.1045"/>
    <n v="8"/>
    <n v="12"/>
    <s v="Sunday"/>
    <x v="1"/>
    <n v="4"/>
  </r>
  <r>
    <d v="2011-02-13T00:00:00"/>
    <n v="1"/>
    <n v="0"/>
    <n v="2"/>
    <n v="4"/>
    <x v="0"/>
    <n v="0"/>
    <n v="2"/>
    <n v="0.2"/>
    <n v="0.21210000000000001"/>
    <n v="0.69"/>
    <n v="0.16420000000000001"/>
    <n v="2"/>
    <n v="2"/>
    <s v="Sunday"/>
    <x v="1"/>
    <n v="0"/>
  </r>
  <r>
    <d v="2011-02-13T00:00:00"/>
    <n v="1"/>
    <n v="0"/>
    <n v="2"/>
    <n v="6"/>
    <x v="0"/>
    <n v="0"/>
    <n v="2"/>
    <n v="0.2"/>
    <n v="0.21210000000000001"/>
    <n v="0.69"/>
    <n v="0.1343"/>
    <n v="3"/>
    <n v="5"/>
    <s v="Sunday"/>
    <x v="1"/>
    <n v="2"/>
  </r>
  <r>
    <d v="2011-02-13T00:00:00"/>
    <n v="1"/>
    <n v="0"/>
    <n v="2"/>
    <n v="7"/>
    <x v="0"/>
    <n v="0"/>
    <n v="2"/>
    <n v="0.22"/>
    <n v="0.2727"/>
    <n v="0.55000000000000004"/>
    <n v="0"/>
    <n v="3"/>
    <n v="3"/>
    <s v="Sunday"/>
    <x v="1"/>
    <n v="0"/>
  </r>
  <r>
    <d v="2011-02-13T00:00:00"/>
    <n v="1"/>
    <n v="0"/>
    <n v="2"/>
    <n v="8"/>
    <x v="0"/>
    <n v="0"/>
    <n v="2"/>
    <n v="0.22"/>
    <n v="0.2273"/>
    <n v="0.64"/>
    <n v="0.19400000000000001"/>
    <n v="11"/>
    <n v="12"/>
    <s v="Sunday"/>
    <x v="1"/>
    <n v="1"/>
  </r>
  <r>
    <d v="2011-02-13T00:00:00"/>
    <n v="1"/>
    <n v="0"/>
    <n v="2"/>
    <n v="9"/>
    <x v="0"/>
    <n v="0"/>
    <n v="2"/>
    <n v="0.24"/>
    <n v="0.2273"/>
    <n v="0.6"/>
    <n v="0.22389999999999999"/>
    <n v="35"/>
    <n v="47"/>
    <s v="Sunday"/>
    <x v="0"/>
    <n v="12"/>
  </r>
  <r>
    <d v="2011-02-13T00:00:00"/>
    <n v="1"/>
    <n v="0"/>
    <n v="2"/>
    <n v="10"/>
    <x v="0"/>
    <n v="0"/>
    <n v="1"/>
    <n v="0.3"/>
    <n v="0.2727"/>
    <n v="0.45"/>
    <n v="0.32840000000000003"/>
    <n v="86"/>
    <n v="105"/>
    <s v="Sunday"/>
    <x v="0"/>
    <n v="19"/>
  </r>
  <r>
    <d v="2011-02-13T00:00:00"/>
    <n v="1"/>
    <n v="0"/>
    <n v="2"/>
    <n v="11"/>
    <x v="0"/>
    <n v="0"/>
    <n v="1"/>
    <n v="0.32"/>
    <n v="0.28789999999999999"/>
    <n v="0.39"/>
    <n v="0.44779999999999998"/>
    <n v="86"/>
    <n v="112"/>
    <s v="Sunday"/>
    <x v="0"/>
    <n v="26"/>
  </r>
  <r>
    <d v="2011-02-13T00:00:00"/>
    <n v="1"/>
    <n v="0"/>
    <n v="2"/>
    <n v="12"/>
    <x v="0"/>
    <n v="0"/>
    <n v="1"/>
    <n v="0.36"/>
    <n v="0.31819999999999998"/>
    <n v="0.32"/>
    <n v="0.4627"/>
    <n v="94"/>
    <n v="152"/>
    <s v="Sunday"/>
    <x v="0"/>
    <n v="58"/>
  </r>
  <r>
    <d v="2011-02-13T00:00:00"/>
    <n v="1"/>
    <n v="0"/>
    <n v="2"/>
    <n v="13"/>
    <x v="0"/>
    <n v="0"/>
    <n v="1"/>
    <n v="0.38"/>
    <n v="0.39389999999999997"/>
    <n v="0.28999999999999998"/>
    <n v="0.35820000000000002"/>
    <n v="92"/>
    <n v="154"/>
    <s v="Sunday"/>
    <x v="0"/>
    <n v="62"/>
  </r>
  <r>
    <d v="2011-02-13T00:00:00"/>
    <n v="1"/>
    <n v="0"/>
    <n v="2"/>
    <n v="14"/>
    <x v="0"/>
    <n v="0"/>
    <n v="2"/>
    <n v="0.4"/>
    <n v="0.40910000000000002"/>
    <n v="0.3"/>
    <n v="0.41789999999999999"/>
    <n v="110"/>
    <n v="161"/>
    <s v="Sunday"/>
    <x v="0"/>
    <n v="51"/>
  </r>
  <r>
    <d v="2011-02-13T00:00:00"/>
    <n v="1"/>
    <n v="0"/>
    <n v="2"/>
    <n v="15"/>
    <x v="0"/>
    <n v="0"/>
    <n v="2"/>
    <n v="0.4"/>
    <n v="0.40910000000000002"/>
    <n v="0.3"/>
    <n v="0.29849999999999999"/>
    <n v="122"/>
    <n v="162"/>
    <s v="Sunday"/>
    <x v="0"/>
    <n v="40"/>
  </r>
  <r>
    <d v="2011-02-13T00:00:00"/>
    <n v="1"/>
    <n v="0"/>
    <n v="2"/>
    <n v="16"/>
    <x v="0"/>
    <n v="0"/>
    <n v="2"/>
    <n v="0.42"/>
    <n v="0.42420000000000002"/>
    <n v="0.28000000000000003"/>
    <n v="0.32840000000000003"/>
    <n v="106"/>
    <n v="134"/>
    <s v="Sunday"/>
    <x v="0"/>
    <n v="28"/>
  </r>
  <r>
    <d v="2011-02-13T00:00:00"/>
    <n v="1"/>
    <n v="0"/>
    <n v="2"/>
    <n v="17"/>
    <x v="0"/>
    <n v="0"/>
    <n v="1"/>
    <n v="0.42"/>
    <n v="0.42420000000000002"/>
    <n v="0.28000000000000003"/>
    <n v="0.32840000000000003"/>
    <n v="95"/>
    <n v="125"/>
    <s v="Sunday"/>
    <x v="0"/>
    <n v="30"/>
  </r>
  <r>
    <d v="2011-02-13T00:00:00"/>
    <n v="1"/>
    <n v="0"/>
    <n v="2"/>
    <n v="18"/>
    <x v="0"/>
    <n v="0"/>
    <n v="1"/>
    <n v="0.4"/>
    <n v="0.40910000000000002"/>
    <n v="0.32"/>
    <n v="0.29849999999999999"/>
    <n v="78"/>
    <n v="95"/>
    <s v="Sunday"/>
    <x v="0"/>
    <n v="17"/>
  </r>
  <r>
    <d v="2011-02-13T00:00:00"/>
    <n v="1"/>
    <n v="0"/>
    <n v="2"/>
    <n v="19"/>
    <x v="0"/>
    <n v="0"/>
    <n v="1"/>
    <n v="0.4"/>
    <n v="0.40910000000000002"/>
    <n v="0.35"/>
    <n v="0.28360000000000002"/>
    <n v="50"/>
    <n v="61"/>
    <s v="Sunday"/>
    <x v="0"/>
    <n v="11"/>
  </r>
  <r>
    <d v="2011-02-13T00:00:00"/>
    <n v="1"/>
    <n v="0"/>
    <n v="2"/>
    <n v="20"/>
    <x v="0"/>
    <n v="0"/>
    <n v="1"/>
    <n v="0.4"/>
    <n v="0.40910000000000002"/>
    <n v="0.35"/>
    <n v="0.32840000000000003"/>
    <n v="32"/>
    <n v="47"/>
    <s v="Sunday"/>
    <x v="0"/>
    <n v="15"/>
  </r>
  <r>
    <d v="2011-02-13T00:00:00"/>
    <n v="1"/>
    <n v="0"/>
    <n v="2"/>
    <n v="21"/>
    <x v="0"/>
    <n v="0"/>
    <n v="1"/>
    <n v="0.4"/>
    <n v="0.40910000000000002"/>
    <n v="0.35"/>
    <n v="0.35820000000000002"/>
    <n v="45"/>
    <n v="51"/>
    <s v="Sunday"/>
    <x v="0"/>
    <n v="6"/>
  </r>
  <r>
    <d v="2011-02-13T00:00:00"/>
    <n v="1"/>
    <n v="0"/>
    <n v="2"/>
    <n v="22"/>
    <x v="0"/>
    <n v="0"/>
    <n v="1"/>
    <n v="0.4"/>
    <n v="0.40910000000000002"/>
    <n v="0.35"/>
    <n v="0.29849999999999999"/>
    <n v="31"/>
    <n v="36"/>
    <s v="Sunday"/>
    <x v="0"/>
    <n v="5"/>
  </r>
  <r>
    <d v="2011-02-13T00:00:00"/>
    <n v="1"/>
    <n v="0"/>
    <n v="2"/>
    <n v="23"/>
    <x v="0"/>
    <n v="0"/>
    <n v="1"/>
    <n v="0.4"/>
    <n v="0.40910000000000002"/>
    <n v="0.35"/>
    <n v="0.35820000000000002"/>
    <n v="27"/>
    <n v="30"/>
    <s v="Sunday"/>
    <x v="0"/>
    <n v="3"/>
  </r>
  <r>
    <d v="2011-02-14T00:00:00"/>
    <n v="1"/>
    <n v="0"/>
    <n v="2"/>
    <n v="0"/>
    <x v="0"/>
    <n v="1"/>
    <n v="1"/>
    <n v="0.38"/>
    <n v="0.39389999999999997"/>
    <n v="0.37"/>
    <n v="0.35820000000000002"/>
    <n v="8"/>
    <n v="11"/>
    <s v="Monday"/>
    <x v="0"/>
    <n v="3"/>
  </r>
  <r>
    <d v="2011-02-14T00:00:00"/>
    <n v="1"/>
    <n v="0"/>
    <n v="2"/>
    <n v="1"/>
    <x v="0"/>
    <n v="1"/>
    <n v="1"/>
    <n v="0.38"/>
    <n v="0.39389999999999997"/>
    <n v="0.37"/>
    <n v="0.35820000000000002"/>
    <n v="6"/>
    <n v="7"/>
    <s v="Monday"/>
    <x v="0"/>
    <n v="1"/>
  </r>
  <r>
    <d v="2011-02-14T00:00:00"/>
    <n v="1"/>
    <n v="0"/>
    <n v="2"/>
    <n v="2"/>
    <x v="0"/>
    <n v="1"/>
    <n v="1"/>
    <n v="0.36"/>
    <n v="0.33329999999999999"/>
    <n v="0.4"/>
    <n v="0.29849999999999999"/>
    <n v="2"/>
    <n v="2"/>
    <s v="Monday"/>
    <x v="0"/>
    <n v="0"/>
  </r>
  <r>
    <d v="2011-02-14T00:00:00"/>
    <n v="1"/>
    <n v="0"/>
    <n v="2"/>
    <n v="3"/>
    <x v="0"/>
    <n v="1"/>
    <n v="1"/>
    <n v="0.34"/>
    <n v="0.31819999999999998"/>
    <n v="0.46"/>
    <n v="0.22389999999999999"/>
    <n v="1"/>
    <n v="2"/>
    <s v="Monday"/>
    <x v="0"/>
    <n v="1"/>
  </r>
  <r>
    <d v="2011-02-14T00:00:00"/>
    <n v="1"/>
    <n v="0"/>
    <n v="2"/>
    <n v="4"/>
    <x v="0"/>
    <n v="1"/>
    <n v="1"/>
    <n v="0.32"/>
    <n v="0.30299999999999999"/>
    <n v="0.53"/>
    <n v="0.28360000000000002"/>
    <n v="2"/>
    <n v="2"/>
    <s v="Monday"/>
    <x v="0"/>
    <n v="0"/>
  </r>
  <r>
    <d v="2011-02-14T00:00:00"/>
    <n v="1"/>
    <n v="0"/>
    <n v="2"/>
    <n v="5"/>
    <x v="0"/>
    <n v="1"/>
    <n v="1"/>
    <n v="0.32"/>
    <n v="0.30299999999999999"/>
    <n v="0.53"/>
    <n v="0.28360000000000002"/>
    <n v="3"/>
    <n v="3"/>
    <s v="Monday"/>
    <x v="0"/>
    <n v="0"/>
  </r>
  <r>
    <d v="2011-02-14T00:00:00"/>
    <n v="1"/>
    <n v="0"/>
    <n v="2"/>
    <n v="6"/>
    <x v="0"/>
    <n v="1"/>
    <n v="1"/>
    <n v="0.34"/>
    <n v="0.30299999999999999"/>
    <n v="0.46"/>
    <n v="0.29849999999999999"/>
    <n v="25"/>
    <n v="26"/>
    <s v="Monday"/>
    <x v="0"/>
    <n v="1"/>
  </r>
  <r>
    <d v="2011-02-14T00:00:00"/>
    <n v="1"/>
    <n v="0"/>
    <n v="2"/>
    <n v="7"/>
    <x v="0"/>
    <n v="1"/>
    <n v="1"/>
    <n v="0.34"/>
    <n v="0.30299999999999999"/>
    <n v="0.46"/>
    <n v="0.29849999999999999"/>
    <n v="96"/>
    <n v="98"/>
    <s v="Monday"/>
    <x v="0"/>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1-01-01T00:00:00"/>
    <n v="1"/>
    <n v="0"/>
    <n v="1"/>
    <n v="0"/>
    <b v="0"/>
    <n v="6"/>
    <n v="1"/>
    <n v="0.24"/>
    <n v="0.28789999999999999"/>
    <n v="0.81"/>
    <n v="0"/>
    <n v="13"/>
    <n v="16"/>
    <s v="Saturday"/>
    <s v="cold"/>
    <n v="3"/>
    <x v="0"/>
  </r>
  <r>
    <d v="2011-01-02T00:00:00"/>
    <n v="1"/>
    <n v="0"/>
    <n v="1"/>
    <n v="1"/>
    <b v="0"/>
    <n v="6"/>
    <n v="1"/>
    <n v="0.22"/>
    <n v="0.2727"/>
    <n v="0.8"/>
    <n v="0"/>
    <n v="32"/>
    <n v="40"/>
    <s v="Sunday"/>
    <s v="colder"/>
    <n v="8"/>
    <x v="0"/>
  </r>
  <r>
    <d v="2011-01-03T00:00:00"/>
    <n v="1"/>
    <n v="0"/>
    <n v="1"/>
    <n v="2"/>
    <b v="0"/>
    <n v="6"/>
    <n v="1"/>
    <n v="0.22"/>
    <n v="0.2727"/>
    <n v="0.8"/>
    <n v="0"/>
    <n v="27"/>
    <n v="32"/>
    <s v="Monday"/>
    <s v="colder"/>
    <n v="5"/>
    <x v="0"/>
  </r>
  <r>
    <d v="2011-01-04T00:00:00"/>
    <n v="1"/>
    <n v="0"/>
    <n v="1"/>
    <n v="3"/>
    <b v="0"/>
    <n v="6"/>
    <n v="1"/>
    <n v="0.24"/>
    <n v="0.28789999999999999"/>
    <n v="0.75"/>
    <n v="0"/>
    <n v="10"/>
    <n v="13"/>
    <s v="Tuesday"/>
    <s v="cold"/>
    <n v="3"/>
    <x v="0"/>
  </r>
  <r>
    <d v="2011-01-05T00:00:00"/>
    <n v="1"/>
    <n v="0"/>
    <n v="1"/>
    <n v="4"/>
    <b v="0"/>
    <n v="6"/>
    <n v="1"/>
    <n v="0.24"/>
    <n v="0.28789999999999999"/>
    <n v="0.75"/>
    <n v="0"/>
    <n v="1"/>
    <n v="1"/>
    <s v="Wednesday"/>
    <s v="cold"/>
    <n v="0"/>
    <x v="0"/>
  </r>
  <r>
    <d v="2011-01-06T00:00:00"/>
    <n v="1"/>
    <n v="0"/>
    <n v="1"/>
    <n v="5"/>
    <b v="0"/>
    <n v="6"/>
    <n v="2"/>
    <n v="0.24"/>
    <n v="0.2576"/>
    <n v="0.75"/>
    <n v="8.9599999999999999E-2"/>
    <n v="1"/>
    <n v="1"/>
    <s v="Thursday"/>
    <s v="cold"/>
    <n v="0"/>
    <x v="1"/>
  </r>
  <r>
    <d v="2011-01-07T00:00:00"/>
    <n v="1"/>
    <n v="0"/>
    <n v="1"/>
    <n v="6"/>
    <b v="0"/>
    <n v="6"/>
    <n v="1"/>
    <n v="0.22"/>
    <n v="0.2727"/>
    <n v="0.8"/>
    <n v="0"/>
    <n v="0"/>
    <n v="2"/>
    <s v="Friday"/>
    <s v="colder"/>
    <n v="2"/>
    <x v="0"/>
  </r>
  <r>
    <d v="2011-01-08T00:00:00"/>
    <n v="1"/>
    <n v="0"/>
    <n v="1"/>
    <n v="7"/>
    <b v="0"/>
    <n v="6"/>
    <n v="1"/>
    <n v="0.2"/>
    <n v="0.2576"/>
    <n v="0.86"/>
    <n v="0"/>
    <n v="2"/>
    <n v="3"/>
    <s v="Saturday"/>
    <s v="colder"/>
    <n v="1"/>
    <x v="0"/>
  </r>
  <r>
    <d v="2011-01-09T00:00:00"/>
    <n v="1"/>
    <n v="0"/>
    <n v="1"/>
    <n v="8"/>
    <b v="0"/>
    <n v="6"/>
    <n v="1"/>
    <n v="0.24"/>
    <n v="0.21179999999999999"/>
    <n v="0.75"/>
    <n v="0"/>
    <n v="7"/>
    <n v="8"/>
    <s v="Sunday"/>
    <s v="cold"/>
    <n v="1"/>
    <x v="0"/>
  </r>
  <r>
    <d v="2011-01-10T00:00:00"/>
    <n v="1"/>
    <n v="0"/>
    <n v="1"/>
    <n v="9"/>
    <b v="0"/>
    <n v="6"/>
    <n v="1"/>
    <n v="0.32"/>
    <n v="0.34849999999999998"/>
    <n v="0.76"/>
    <n v="0"/>
    <n v="6"/>
    <n v="14"/>
    <s v="Monday"/>
    <s v="cold"/>
    <n v="8"/>
    <x v="0"/>
  </r>
  <r>
    <d v="2011-01-11T00:00:00"/>
    <n v="1"/>
    <n v="0"/>
    <n v="1"/>
    <n v="10"/>
    <b v="0"/>
    <n v="6"/>
    <n v="1"/>
    <n v="0.38"/>
    <n v="0.39389999999999997"/>
    <n v="0.76"/>
    <n v="0.25369999999999998"/>
    <n v="24"/>
    <n v="36"/>
    <s v="Tuesday"/>
    <s v="cold"/>
    <n v="12"/>
    <x v="0"/>
  </r>
  <r>
    <d v="2011-01-12T00:00:00"/>
    <n v="1"/>
    <n v="0"/>
    <n v="1"/>
    <n v="11"/>
    <b v="0"/>
    <n v="6"/>
    <n v="1"/>
    <n v="0.36"/>
    <n v="0.33329999999999999"/>
    <n v="0.81"/>
    <n v="0.28360000000000002"/>
    <n v="30"/>
    <n v="56"/>
    <s v="Wednesday"/>
    <s v="cold"/>
    <n v="26"/>
    <x v="0"/>
  </r>
  <r>
    <d v="2011-01-13T00:00:00"/>
    <n v="1"/>
    <n v="0"/>
    <n v="1"/>
    <n v="12"/>
    <b v="0"/>
    <n v="6"/>
    <n v="1"/>
    <n v="0.42"/>
    <n v="0.42420000000000002"/>
    <n v="0.77"/>
    <n v="0.28360000000000002"/>
    <n v="55"/>
    <n v="84"/>
    <s v="Thursday"/>
    <s v="cold"/>
    <n v="29"/>
    <x v="0"/>
  </r>
  <r>
    <d v="2011-01-14T00:00:00"/>
    <n v="1"/>
    <n v="0"/>
    <n v="1"/>
    <n v="13"/>
    <b v="0"/>
    <n v="6"/>
    <n v="2"/>
    <n v="0.46"/>
    <n v="0.45450000000000002"/>
    <n v="0.72"/>
    <n v="0.29849999999999999"/>
    <n v="47"/>
    <n v="94"/>
    <s v="Friday"/>
    <s v="cold"/>
    <n v="47"/>
    <x v="1"/>
  </r>
  <r>
    <d v="2011-01-15T00:00:00"/>
    <n v="1"/>
    <n v="0"/>
    <n v="1"/>
    <n v="14"/>
    <b v="0"/>
    <n v="6"/>
    <n v="2"/>
    <n v="0.46"/>
    <n v="0.45450000000000002"/>
    <n v="0.72"/>
    <n v="0.28360000000000002"/>
    <n v="71"/>
    <n v="106"/>
    <s v="Saturday"/>
    <s v="cold"/>
    <n v="35"/>
    <x v="1"/>
  </r>
  <r>
    <d v="2011-01-16T00:00:00"/>
    <n v="1"/>
    <n v="0"/>
    <n v="1"/>
    <n v="15"/>
    <b v="0"/>
    <n v="6"/>
    <n v="2"/>
    <n v="0.44"/>
    <n v="0.43940000000000001"/>
    <n v="0.77"/>
    <n v="0.29849999999999999"/>
    <n v="70"/>
    <n v="110"/>
    <s v="Sunday"/>
    <s v="cold"/>
    <n v="40"/>
    <x v="1"/>
  </r>
  <r>
    <d v="2011-01-17T00:00:00"/>
    <n v="1"/>
    <n v="0"/>
    <n v="1"/>
    <n v="16"/>
    <b v="0"/>
    <n v="6"/>
    <n v="2"/>
    <n v="0.42"/>
    <n v="0.42420000000000002"/>
    <n v="0.82"/>
    <n v="0.29849999999999999"/>
    <m/>
    <n v="93"/>
    <s v="Monday"/>
    <s v="cold"/>
    <n v="41"/>
    <x v="1"/>
  </r>
  <r>
    <d v="2011-01-18T00:00:00"/>
    <n v="1"/>
    <n v="0"/>
    <n v="1"/>
    <n v="17"/>
    <b v="0"/>
    <n v="6"/>
    <n v="2"/>
    <n v="0.44"/>
    <n v="0.21179999999999999"/>
    <n v="0.82"/>
    <n v="0.28360000000000002"/>
    <n v="52"/>
    <n v="67"/>
    <s v="Tuesday"/>
    <s v="cold"/>
    <n v="15"/>
    <x v="1"/>
  </r>
  <r>
    <d v="2011-01-19T00:00:00"/>
    <n v="1"/>
    <n v="0"/>
    <n v="1"/>
    <n v="18"/>
    <b v="0"/>
    <n v="6"/>
    <n v="3"/>
    <n v="0.42"/>
    <n v="0.42420000000000002"/>
    <n v="0.88"/>
    <n v="0.25369999999999998"/>
    <n v="26"/>
    <n v="35"/>
    <s v="Wednesday"/>
    <s v="cold"/>
    <n v="9"/>
    <x v="2"/>
  </r>
  <r>
    <d v="2011-01-20T00:00:00"/>
    <n v="1"/>
    <n v="0"/>
    <n v="1"/>
    <n v="19"/>
    <b v="0"/>
    <n v="6"/>
    <n v="3"/>
    <n v="0.42"/>
    <n v="0.42420000000000002"/>
    <n v="0.88"/>
    <n v="0.25369999999999998"/>
    <n v="31"/>
    <n v="37"/>
    <s v="Thursday"/>
    <s v="cold"/>
    <n v="6"/>
    <x v="2"/>
  </r>
  <r>
    <d v="2011-01-21T00:00:00"/>
    <n v="1"/>
    <n v="0"/>
    <n v="1"/>
    <n v="20"/>
    <b v="0"/>
    <n v="6"/>
    <n v="2"/>
    <n v="0.4"/>
    <n v="0.40910000000000002"/>
    <n v="0.87"/>
    <n v="0.25369999999999998"/>
    <n v="25"/>
    <n v="36"/>
    <s v="Friday"/>
    <s v="cold"/>
    <n v="11"/>
    <x v="1"/>
  </r>
  <r>
    <d v="2011-01-22T00:00:00"/>
    <n v="1"/>
    <n v="0"/>
    <n v="1"/>
    <n v="21"/>
    <b v="0"/>
    <n v="6"/>
    <n v="2"/>
    <n v="0.4"/>
    <n v="0.40910000000000002"/>
    <n v="0.87"/>
    <n v="0.19400000000000001"/>
    <n v="31"/>
    <n v="34"/>
    <s v="Saturday"/>
    <s v="cold"/>
    <n v="3"/>
    <x v="1"/>
  </r>
  <r>
    <d v="2011-01-23T00:00:00"/>
    <n v="1"/>
    <n v="0"/>
    <n v="1"/>
    <n v="22"/>
    <b v="0"/>
    <n v="6"/>
    <n v="2"/>
    <n v="0.4"/>
    <n v="0.40910000000000002"/>
    <n v="0.94"/>
    <n v="0.22389999999999999"/>
    <n v="17"/>
    <n v="28"/>
    <s v="Sunday"/>
    <s v="cold"/>
    <n v="11"/>
    <x v="1"/>
  </r>
  <r>
    <d v="2011-01-24T00:00:00"/>
    <n v="1"/>
    <n v="0"/>
    <n v="1"/>
    <n v="23"/>
    <b v="0"/>
    <n v="6"/>
    <n v="2"/>
    <n v="0.46"/>
    <n v="0.21179999999999999"/>
    <n v="0.88"/>
    <n v="0.29849999999999999"/>
    <n v="24"/>
    <n v="39"/>
    <s v="Monday"/>
    <s v="cold"/>
    <n v="15"/>
    <x v="1"/>
  </r>
  <r>
    <d v="2011-01-25T00:00:00"/>
    <n v="1"/>
    <n v="0"/>
    <n v="1"/>
    <n v="0"/>
    <b v="0"/>
    <n v="0"/>
    <n v="2"/>
    <n v="0.46"/>
    <n v="0.45450000000000002"/>
    <n v="0.88"/>
    <n v="0.29849999999999999"/>
    <n v="13"/>
    <n v="17"/>
    <s v="Tuesday"/>
    <s v="cold"/>
    <n v="4"/>
    <x v="1"/>
  </r>
  <r>
    <d v="2011-01-26T00:00:00"/>
    <n v="1"/>
    <n v="0"/>
    <n v="1"/>
    <n v="1"/>
    <b v="0"/>
    <n v="0"/>
    <n v="2"/>
    <n v="0.44"/>
    <n v="0.43940000000000001"/>
    <n v="0.94"/>
    <n v="0.25369999999999998"/>
    <n v="16"/>
    <n v="17"/>
    <s v="Wednesday"/>
    <s v="cold"/>
    <n v="1"/>
    <x v="1"/>
  </r>
  <r>
    <d v="2011-01-27T00:00:00"/>
    <n v="1"/>
    <n v="0"/>
    <n v="1"/>
    <n v="2"/>
    <b v="0"/>
    <n v="0"/>
    <n v="2"/>
    <n v="0.42"/>
    <n v="0.42420000000000002"/>
    <n v="1"/>
    <n v="0.28360000000000002"/>
    <n v="8"/>
    <n v="9"/>
    <s v="Thursday"/>
    <s v="cold"/>
    <n v="1"/>
    <x v="1"/>
  </r>
  <r>
    <d v="2011-01-28T00:00:00"/>
    <n v="1"/>
    <n v="0"/>
    <n v="1"/>
    <n v="3"/>
    <b v="0"/>
    <n v="0"/>
    <n v="2"/>
    <n v="0.46"/>
    <n v="0.45450000000000002"/>
    <n v="0.94"/>
    <n v="0.19400000000000001"/>
    <n v="4"/>
    <n v="6"/>
    <s v="Friday"/>
    <s v="cold"/>
    <n v="2"/>
    <x v="1"/>
  </r>
  <r>
    <d v="2011-01-29T00:00:00"/>
    <n v="1"/>
    <n v="0"/>
    <n v="1"/>
    <n v="4"/>
    <b v="0"/>
    <n v="0"/>
    <n v="2"/>
    <n v="0.46"/>
    <n v="0.21179999999999999"/>
    <n v="0.94"/>
    <n v="0.19400000000000001"/>
    <n v="1"/>
    <n v="3"/>
    <s v="Saturday"/>
    <s v="cold"/>
    <n v="2"/>
    <x v="1"/>
  </r>
  <r>
    <d v="2011-01-30T00:00:00"/>
    <n v="1"/>
    <n v="0"/>
    <n v="1"/>
    <n v="6"/>
    <b v="0"/>
    <n v="0"/>
    <n v="3"/>
    <n v="0.42"/>
    <n v="0.42420000000000002"/>
    <n v="0.77"/>
    <n v="0.29849999999999999"/>
    <n v="2"/>
    <n v="2"/>
    <s v="Sunday"/>
    <s v="cold"/>
    <n v="0"/>
    <x v="2"/>
  </r>
  <r>
    <d v="2011-01-31T00:00:00"/>
    <n v="1"/>
    <n v="0"/>
    <n v="1"/>
    <n v="7"/>
    <b v="0"/>
    <n v="0"/>
    <n v="2"/>
    <n v="0.4"/>
    <n v="0.40910000000000002"/>
    <n v="0.76"/>
    <n v="0.19400000000000001"/>
    <n v="1"/>
    <n v="1"/>
    <s v="Monday"/>
    <s v="cold"/>
    <n v="0"/>
    <x v="1"/>
  </r>
  <r>
    <d v="2011-02-01T00:00:00"/>
    <n v="1"/>
    <n v="0"/>
    <n v="1"/>
    <n v="8"/>
    <b v="0"/>
    <n v="0"/>
    <n v="3"/>
    <n v="0.4"/>
    <n v="0.40910000000000002"/>
    <n v="0.71"/>
    <n v="0.22389999999999999"/>
    <n v="8"/>
    <n v="8"/>
    <s v="Tuesday"/>
    <s v="cold"/>
    <n v="0"/>
    <x v="2"/>
  </r>
  <r>
    <d v="2011-02-02T00:00:00"/>
    <n v="1"/>
    <n v="0"/>
    <n v="1"/>
    <n v="9"/>
    <b v="0"/>
    <n v="0"/>
    <n v="2"/>
    <n v="0.38"/>
    <n v="0.21179999999999999"/>
    <n v="0.76"/>
    <n v="0.22389999999999999"/>
    <n v="19"/>
    <n v="20"/>
    <s v="Wednesday"/>
    <s v="cold"/>
    <n v="1"/>
    <x v="1"/>
  </r>
  <r>
    <d v="2011-02-03T00:00:00"/>
    <n v="1"/>
    <n v="0"/>
    <n v="1"/>
    <n v="10"/>
    <b v="0"/>
    <n v="0"/>
    <n v="2"/>
    <n v="0.36"/>
    <n v="0.34849999999999998"/>
    <n v="0.81"/>
    <n v="0.22389999999999999"/>
    <n v="46"/>
    <n v="53"/>
    <s v="Thursday"/>
    <s v="cold"/>
    <n v="7"/>
    <x v="1"/>
  </r>
  <r>
    <d v="2011-02-04T00:00:00"/>
    <n v="1"/>
    <n v="0"/>
    <n v="1"/>
    <n v="11"/>
    <b v="0"/>
    <n v="0"/>
    <n v="2"/>
    <n v="0.36"/>
    <n v="0.33329999999999999"/>
    <n v="0.71"/>
    <n v="0.25369999999999998"/>
    <n v="54"/>
    <n v="70"/>
    <s v="Friday"/>
    <s v="cold"/>
    <n v="16"/>
    <x v="1"/>
  </r>
  <r>
    <d v="2011-02-05T00:00:00"/>
    <n v="1"/>
    <n v="0"/>
    <n v="1"/>
    <n v="12"/>
    <b v="0"/>
    <n v="0"/>
    <n v="2"/>
    <n v="0.36"/>
    <n v="0.33329999999999999"/>
    <n v="0.66"/>
    <n v="0.29849999999999999"/>
    <n v="73"/>
    <n v="93"/>
    <s v="Saturday"/>
    <s v="cold"/>
    <n v="20"/>
    <x v="1"/>
  </r>
  <r>
    <d v="2011-02-06T00:00:00"/>
    <n v="1"/>
    <n v="0"/>
    <n v="1"/>
    <n v="13"/>
    <b v="0"/>
    <n v="0"/>
    <n v="2"/>
    <n v="0.36"/>
    <n v="0.34849999999999998"/>
    <n v="0.66"/>
    <n v="0.1343"/>
    <n v="64"/>
    <n v="75"/>
    <s v="Sunday"/>
    <s v="cold"/>
    <n v="11"/>
    <x v="1"/>
  </r>
  <r>
    <d v="2011-02-07T00:00:00"/>
    <n v="1"/>
    <n v="0"/>
    <n v="1"/>
    <n v="14"/>
    <b v="0"/>
    <n v="0"/>
    <n v="3"/>
    <n v="0.36"/>
    <n v="0.21179999999999999"/>
    <n v="0.76"/>
    <n v="0.19400000000000001"/>
    <n v="55"/>
    <n v="59"/>
    <s v="Monday"/>
    <s v="cold"/>
    <n v="4"/>
    <x v="2"/>
  </r>
  <r>
    <d v="2011-02-08T00:00:00"/>
    <n v="1"/>
    <n v="0"/>
    <n v="1"/>
    <n v="15"/>
    <b v="0"/>
    <n v="0"/>
    <n v="3"/>
    <n v="0.34"/>
    <n v="0.33329999999999999"/>
    <n v="0.81"/>
    <n v="0.16420000000000001"/>
    <n v="55"/>
    <n v="74"/>
    <s v="Tuesday"/>
    <s v="cold"/>
    <n v="19"/>
    <x v="2"/>
  </r>
  <r>
    <d v="2011-02-09T00:00:00"/>
    <n v="1"/>
    <n v="0"/>
    <n v="1"/>
    <n v="16"/>
    <b v="0"/>
    <n v="0"/>
    <n v="3"/>
    <n v="0.34"/>
    <n v="0.33329999999999999"/>
    <n v="0.71"/>
    <n v="0.16420000000000001"/>
    <n v="67"/>
    <n v="76"/>
    <s v="Wednesday"/>
    <s v="cold"/>
    <n v="9"/>
    <x v="2"/>
  </r>
  <r>
    <d v="2011-02-10T00:00:00"/>
    <n v="1"/>
    <n v="0"/>
    <n v="1"/>
    <n v="17"/>
    <b v="0"/>
    <n v="0"/>
    <n v="1"/>
    <n v="0.34"/>
    <n v="0.33329999999999999"/>
    <n v="0.56999999999999995"/>
    <n v="0.19400000000000001"/>
    <n v="58"/>
    <n v="65"/>
    <s v="Thursday"/>
    <s v="cold"/>
    <n v="7"/>
    <x v="0"/>
  </r>
  <r>
    <d v="2011-02-11T00:00:00"/>
    <n v="1"/>
    <n v="0"/>
    <n v="1"/>
    <n v="18"/>
    <b v="0"/>
    <n v="0"/>
    <n v="2"/>
    <n v="0.36"/>
    <n v="0.33329999999999999"/>
    <n v="0.46"/>
    <n v="0.32840000000000003"/>
    <n v="43"/>
    <n v="53"/>
    <s v="Friday"/>
    <s v="cold"/>
    <n v="10"/>
    <x v="1"/>
  </r>
  <r>
    <d v="2011-02-12T00:00:00"/>
    <n v="1"/>
    <n v="0"/>
    <n v="1"/>
    <n v="19"/>
    <b v="0"/>
    <n v="0"/>
    <n v="1"/>
    <n v="0.32"/>
    <n v="0.28789999999999999"/>
    <n v="0.42"/>
    <n v="0.44779999999999998"/>
    <n v="29"/>
    <n v="30"/>
    <s v="Saturday"/>
    <s v="cold"/>
    <n v="1"/>
    <x v="0"/>
  </r>
  <r>
    <d v="2011-02-13T00:00:00"/>
    <n v="1"/>
    <n v="0"/>
    <n v="1"/>
    <n v="20"/>
    <b v="0"/>
    <n v="0"/>
    <n v="1"/>
    <n v="0.3"/>
    <n v="0.21179999999999999"/>
    <n v="0.39"/>
    <n v="0.35820000000000002"/>
    <n v="17"/>
    <n v="22"/>
    <s v="Sunday"/>
    <s v="cold"/>
    <n v="5"/>
    <x v="0"/>
  </r>
  <r>
    <d v="2011-02-14T00:00:00"/>
    <n v="1"/>
    <n v="0"/>
    <n v="1"/>
    <n v="21"/>
    <b v="0"/>
    <n v="0"/>
    <n v="1"/>
    <n v="0.26"/>
    <n v="0.2273"/>
    <n v="0.44"/>
    <n v="0.32840000000000003"/>
    <n v="20"/>
    <n v="31"/>
    <s v="Monday"/>
    <s v="cold"/>
    <n v="11"/>
    <x v="0"/>
  </r>
  <r>
    <d v="2011-02-15T00:00:00"/>
    <n v="1"/>
    <n v="0"/>
    <n v="1"/>
    <n v="22"/>
    <b v="0"/>
    <n v="0"/>
    <n v="1"/>
    <n v="0.24"/>
    <n v="0.21210000000000001"/>
    <n v="0.44"/>
    <n v="0.29849999999999999"/>
    <n v="9"/>
    <n v="9"/>
    <s v="Tuesday"/>
    <s v="cold"/>
    <n v="0"/>
    <x v="0"/>
  </r>
  <r>
    <d v="2011-02-16T00:00:00"/>
    <n v="1"/>
    <n v="0"/>
    <n v="1"/>
    <n v="23"/>
    <b v="0"/>
    <n v="0"/>
    <n v="1"/>
    <n v="0.22"/>
    <n v="0.2273"/>
    <n v="0.47"/>
    <n v="0.16420000000000001"/>
    <n v="8"/>
    <n v="8"/>
    <s v="Wednesday"/>
    <s v="colder"/>
    <n v="0"/>
    <x v="0"/>
  </r>
  <r>
    <d v="2011-02-17T00:00:00"/>
    <n v="1"/>
    <n v="0"/>
    <n v="1"/>
    <n v="0"/>
    <b v="0"/>
    <n v="1"/>
    <n v="1"/>
    <n v="0.22"/>
    <n v="0.19700000000000001"/>
    <n v="0.44"/>
    <n v="0.35820000000000002"/>
    <n v="5"/>
    <n v="5"/>
    <s v="Thursday"/>
    <s v="colder"/>
    <n v="0"/>
    <x v="0"/>
  </r>
  <r>
    <d v="2011-02-18T00:00:00"/>
    <n v="1"/>
    <n v="0"/>
    <n v="1"/>
    <n v="1"/>
    <b v="0"/>
    <n v="1"/>
    <n v="1"/>
    <n v="0.2"/>
    <n v="0.21179999999999999"/>
    <n v="0.44"/>
    <n v="0.41789999999999999"/>
    <n v="2"/>
    <n v="2"/>
    <s v="Friday"/>
    <s v="colder"/>
    <n v="0"/>
    <x v="0"/>
  </r>
  <r>
    <d v="2011-02-19T00:00:00"/>
    <n v="1"/>
    <n v="0"/>
    <n v="1"/>
    <n v="4"/>
    <b v="0"/>
    <n v="1"/>
    <n v="1"/>
    <n v="0.16"/>
    <n v="0.13639999999999999"/>
    <n v="0.47"/>
    <n v="0.3881"/>
    <n v="1"/>
    <n v="1"/>
    <s v="Saturday"/>
    <s v="colder"/>
    <n v="0"/>
    <x v="0"/>
  </r>
  <r>
    <d v="2011-02-20T00:00:00"/>
    <n v="1"/>
    <n v="0"/>
    <n v="1"/>
    <n v="5"/>
    <b v="0"/>
    <n v="1"/>
    <n v="1"/>
    <n v="0.16"/>
    <n v="0.13639999999999999"/>
    <n v="0.47"/>
    <n v="0.28360000000000002"/>
    <n v="3"/>
    <n v="3"/>
    <s v="Sunday"/>
    <s v="colder"/>
    <n v="0"/>
    <x v="0"/>
  </r>
  <r>
    <d v="2011-02-21T00:00:00"/>
    <n v="1"/>
    <n v="0"/>
    <n v="1"/>
    <n v="6"/>
    <b v="0"/>
    <n v="1"/>
    <n v="1"/>
    <n v="0.14000000000000001"/>
    <n v="0.1061"/>
    <n v="0.5"/>
    <n v="0.3881"/>
    <n v="30"/>
    <n v="30"/>
    <s v="Monday"/>
    <s v="colder"/>
    <n v="0"/>
    <x v="0"/>
  </r>
  <r>
    <d v="2011-02-22T00:00:00"/>
    <n v="1"/>
    <n v="0"/>
    <n v="1"/>
    <n v="7"/>
    <b v="0"/>
    <n v="1"/>
    <n v="1"/>
    <n v="0.14000000000000001"/>
    <n v="0.13639999999999999"/>
    <n v="0.5"/>
    <n v="0.19400000000000001"/>
    <n v="63"/>
    <n v="64"/>
    <s v="Tuesday"/>
    <s v="colder"/>
    <n v="1"/>
    <x v="0"/>
  </r>
  <r>
    <d v="2011-02-23T00:00:00"/>
    <n v="1"/>
    <n v="0"/>
    <n v="1"/>
    <n v="8"/>
    <b v="0"/>
    <n v="1"/>
    <n v="1"/>
    <n v="0.14000000000000001"/>
    <n v="0.1212"/>
    <n v="0.5"/>
    <n v="0.28360000000000002"/>
    <n v="153"/>
    <n v="154"/>
    <s v="Wednesday"/>
    <s v="colder"/>
    <n v="1"/>
    <x v="0"/>
  </r>
  <r>
    <d v="2011-02-24T00:00:00"/>
    <n v="1"/>
    <n v="0"/>
    <n v="1"/>
    <n v="9"/>
    <b v="0"/>
    <n v="1"/>
    <n v="1"/>
    <n v="0.16"/>
    <n v="0.13639999999999999"/>
    <n v="0.43"/>
    <n v="0.3881"/>
    <n v="81"/>
    <n v="88"/>
    <s v="Thursday"/>
    <s v="colder"/>
    <n v="7"/>
    <x v="0"/>
  </r>
  <r>
    <d v="2011-02-25T00:00:00"/>
    <n v="1"/>
    <n v="0"/>
    <n v="1"/>
    <n v="10"/>
    <b v="0"/>
    <n v="1"/>
    <n v="1"/>
    <n v="0.18"/>
    <n v="0.16669999999999999"/>
    <n v="0.43"/>
    <n v="0.25369999999999998"/>
    <n v="33"/>
    <n v="44"/>
    <s v="Friday"/>
    <s v="colder"/>
    <n v="11"/>
    <x v="0"/>
  </r>
  <r>
    <d v="2011-02-26T00:00:00"/>
    <n v="1"/>
    <n v="0"/>
    <n v="1"/>
    <n v="11"/>
    <b v="0"/>
    <n v="1"/>
    <n v="1"/>
    <n v="0.2"/>
    <n v="0.18179999999999999"/>
    <n v="0.4"/>
    <n v="0.32840000000000003"/>
    <n v="41"/>
    <n v="51"/>
    <s v="Saturday"/>
    <s v="colder"/>
    <n v="10"/>
    <x v="0"/>
  </r>
  <r>
    <d v="2011-02-27T00:00:00"/>
    <n v="1"/>
    <n v="0"/>
    <n v="1"/>
    <n v="12"/>
    <b v="0"/>
    <n v="1"/>
    <n v="1"/>
    <n v="0.22"/>
    <n v="0.21210000000000001"/>
    <n v="0.35"/>
    <n v="0.29849999999999999"/>
    <n v="48"/>
    <n v="61"/>
    <s v="Sunday"/>
    <s v="colder"/>
    <n v="13"/>
    <x v="0"/>
  </r>
  <r>
    <d v="2011-02-28T00:00:00"/>
    <n v="1"/>
    <n v="0"/>
    <n v="1"/>
    <n v="13"/>
    <b v="0"/>
    <n v="1"/>
    <n v="1"/>
    <n v="0.24"/>
    <n v="0.21179999999999999"/>
    <n v="0.35"/>
    <n v="0.28360000000000002"/>
    <n v="53"/>
    <n v="61"/>
    <s v="Monday"/>
    <s v="cold"/>
    <n v="8"/>
    <x v="0"/>
  </r>
  <r>
    <d v="2011-03-01T00:00:00"/>
    <n v="1"/>
    <n v="0"/>
    <n v="1"/>
    <n v="14"/>
    <b v="0"/>
    <n v="1"/>
    <n v="1"/>
    <n v="0.26"/>
    <n v="0.2424"/>
    <n v="0.3"/>
    <n v="0.28360000000000002"/>
    <n v="66"/>
    <n v="77"/>
    <s v="Tuesday"/>
    <s v="cold"/>
    <n v="11"/>
    <x v="0"/>
  </r>
  <r>
    <d v="2011-03-02T00:00:00"/>
    <n v="1"/>
    <n v="0"/>
    <n v="1"/>
    <n v="15"/>
    <b v="0"/>
    <n v="1"/>
    <n v="1"/>
    <n v="0.26"/>
    <n v="0.2424"/>
    <n v="0.3"/>
    <n v="0.25369999999999998"/>
    <n v="58"/>
    <n v="72"/>
    <s v="Wednesday"/>
    <s v="cold"/>
    <n v="14"/>
    <x v="0"/>
  </r>
  <r>
    <d v="2011-03-03T00:00:00"/>
    <n v="1"/>
    <n v="0"/>
    <n v="1"/>
    <n v="16"/>
    <b v="0"/>
    <n v="1"/>
    <n v="1"/>
    <n v="0.26"/>
    <n v="0.2424"/>
    <n v="0.3"/>
    <n v="0.25369999999999998"/>
    <n v="67"/>
    <n v="76"/>
    <s v="Thursday"/>
    <s v="cold"/>
    <n v="9"/>
    <x v="0"/>
  </r>
  <r>
    <d v="2011-03-04T00:00:00"/>
    <n v="1"/>
    <n v="0"/>
    <n v="1"/>
    <n v="17"/>
    <b v="0"/>
    <n v="1"/>
    <n v="1"/>
    <n v="0.24"/>
    <n v="0.2273"/>
    <n v="0.3"/>
    <n v="0.22389999999999999"/>
    <n v="146"/>
    <n v="157"/>
    <s v="Friday"/>
    <s v="cold"/>
    <n v="11"/>
    <x v="0"/>
  </r>
  <r>
    <d v="2011-03-05T00:00:00"/>
    <n v="1"/>
    <n v="0"/>
    <n v="1"/>
    <n v="18"/>
    <b v="0"/>
    <n v="1"/>
    <n v="1"/>
    <n v="0.24"/>
    <n v="0.2576"/>
    <n v="0.32"/>
    <n v="0.1045"/>
    <n v="148"/>
    <n v="157"/>
    <s v="Saturday"/>
    <s v="cold"/>
    <n v="9"/>
    <x v="0"/>
  </r>
  <r>
    <d v="2011-03-06T00:00:00"/>
    <n v="1"/>
    <n v="0"/>
    <n v="1"/>
    <n v="19"/>
    <b v="0"/>
    <n v="1"/>
    <n v="1"/>
    <n v="0.2"/>
    <n v="0.2576"/>
    <n v="0.47"/>
    <n v="0"/>
    <n v="102"/>
    <n v="110"/>
    <s v="Sunday"/>
    <s v="colder"/>
    <n v="8"/>
    <x v="0"/>
  </r>
  <r>
    <d v="2011-03-07T00:00:00"/>
    <n v="1"/>
    <n v="0"/>
    <n v="1"/>
    <n v="20"/>
    <b v="0"/>
    <n v="1"/>
    <n v="1"/>
    <n v="0.2"/>
    <n v="0.21179999999999999"/>
    <n v="0.47"/>
    <n v="0.1045"/>
    <n v="49"/>
    <n v="52"/>
    <s v="Monday"/>
    <s v="colder"/>
    <n v="3"/>
    <x v="0"/>
  </r>
  <r>
    <d v="2011-03-08T00:00:00"/>
    <n v="1"/>
    <n v="0"/>
    <n v="1"/>
    <n v="21"/>
    <b v="0"/>
    <n v="1"/>
    <n v="1"/>
    <n v="0.18"/>
    <n v="0.19700000000000001"/>
    <n v="0.64"/>
    <n v="0.1343"/>
    <n v="49"/>
    <n v="52"/>
    <s v="Tuesday"/>
    <s v="colder"/>
    <n v="3"/>
    <x v="0"/>
  </r>
  <r>
    <d v="2011-03-09T00:00:00"/>
    <n v="1"/>
    <n v="0"/>
    <n v="1"/>
    <n v="22"/>
    <b v="0"/>
    <n v="1"/>
    <n v="1"/>
    <n v="0.14000000000000001"/>
    <n v="0.1515"/>
    <n v="0.69"/>
    <n v="0.1343"/>
    <n v="20"/>
    <n v="20"/>
    <s v="Wednesday"/>
    <s v="colder"/>
    <n v="0"/>
    <x v="0"/>
  </r>
  <r>
    <d v="2011-03-10T00:00:00"/>
    <n v="1"/>
    <n v="0"/>
    <n v="1"/>
    <n v="23"/>
    <b v="0"/>
    <n v="1"/>
    <n v="1"/>
    <n v="0.18"/>
    <n v="0.21210000000000001"/>
    <n v="0.55000000000000004"/>
    <n v="0.1045"/>
    <n v="11"/>
    <n v="12"/>
    <s v="Thursday"/>
    <s v="colder"/>
    <n v="1"/>
    <x v="0"/>
  </r>
  <r>
    <d v="2011-03-11T00:00:00"/>
    <n v="1"/>
    <n v="0"/>
    <n v="1"/>
    <n v="0"/>
    <b v="0"/>
    <n v="2"/>
    <n v="1"/>
    <n v="0.16"/>
    <n v="0.21179999999999999"/>
    <n v="0.55000000000000004"/>
    <n v="0.1045"/>
    <n v="5"/>
    <n v="5"/>
    <s v="Friday"/>
    <s v="colder"/>
    <n v="0"/>
    <x v="0"/>
  </r>
  <r>
    <d v="2011-03-12T00:00:00"/>
    <n v="1"/>
    <n v="0"/>
    <n v="1"/>
    <n v="1"/>
    <b v="0"/>
    <n v="2"/>
    <n v="1"/>
    <n v="0.16"/>
    <n v="0.18179999999999999"/>
    <n v="0.59"/>
    <n v="0.1045"/>
    <n v="2"/>
    <n v="2"/>
    <s v="Saturday"/>
    <s v="colder"/>
    <n v="0"/>
    <x v="0"/>
  </r>
  <r>
    <d v="2011-03-13T00:00:00"/>
    <n v="1"/>
    <n v="0"/>
    <n v="1"/>
    <n v="2"/>
    <b v="0"/>
    <n v="2"/>
    <n v="1"/>
    <n v="0.14000000000000001"/>
    <n v="0.1515"/>
    <n v="0.63"/>
    <n v="0.1343"/>
    <n v="1"/>
    <n v="1"/>
    <s v="Sunday"/>
    <s v="colder"/>
    <n v="0"/>
    <x v="0"/>
  </r>
  <r>
    <d v="2011-03-14T00:00:00"/>
    <n v="1"/>
    <n v="0"/>
    <n v="1"/>
    <n v="4"/>
    <b v="0"/>
    <n v="2"/>
    <n v="1"/>
    <n v="0.14000000000000001"/>
    <n v="0.18179999999999999"/>
    <n v="0.63"/>
    <n v="8.9599999999999999E-2"/>
    <n v="2"/>
    <n v="2"/>
    <s v="Monday"/>
    <s v="colder"/>
    <n v="0"/>
    <x v="0"/>
  </r>
  <r>
    <d v="2011-03-15T00:00:00"/>
    <n v="1"/>
    <n v="0"/>
    <n v="1"/>
    <n v="5"/>
    <b v="0"/>
    <n v="2"/>
    <n v="1"/>
    <n v="0.12"/>
    <n v="0.1515"/>
    <n v="0.68"/>
    <n v="0.1045"/>
    <n v="4"/>
    <n v="4"/>
    <s v="Tuesday"/>
    <s v="colder"/>
    <n v="0"/>
    <x v="0"/>
  </r>
  <r>
    <d v="2011-03-16T00:00:00"/>
    <n v="1"/>
    <n v="0"/>
    <n v="1"/>
    <n v="6"/>
    <b v="0"/>
    <n v="2"/>
    <n v="1"/>
    <n v="0.12"/>
    <n v="0.1515"/>
    <n v="0.74"/>
    <n v="0.1045"/>
    <n v="36"/>
    <n v="36"/>
    <s v="Wednesday"/>
    <s v="colder"/>
    <n v="0"/>
    <x v="0"/>
  </r>
  <r>
    <d v="2011-03-17T00:00:00"/>
    <n v="1"/>
    <n v="0"/>
    <n v="1"/>
    <n v="7"/>
    <b v="0"/>
    <n v="2"/>
    <n v="1"/>
    <n v="0.12"/>
    <n v="0.1515"/>
    <n v="0.74"/>
    <n v="0.1343"/>
    <n v="92"/>
    <n v="94"/>
    <s v="Thursday"/>
    <s v="colder"/>
    <n v="2"/>
    <x v="0"/>
  </r>
  <r>
    <d v="2011-03-18T00:00:00"/>
    <n v="1"/>
    <n v="0"/>
    <n v="1"/>
    <n v="8"/>
    <b v="0"/>
    <n v="2"/>
    <n v="1"/>
    <n v="0.14000000000000001"/>
    <n v="0.1515"/>
    <n v="0.69"/>
    <n v="0.16420000000000001"/>
    <n v="177"/>
    <n v="179"/>
    <s v="Friday"/>
    <s v="colder"/>
    <n v="2"/>
    <x v="0"/>
  </r>
  <r>
    <d v="2011-03-19T00:00:00"/>
    <n v="1"/>
    <n v="0"/>
    <n v="1"/>
    <n v="9"/>
    <b v="0"/>
    <n v="2"/>
    <n v="1"/>
    <n v="0.16"/>
    <n v="0.1515"/>
    <n v="0.64"/>
    <n v="0.22389999999999999"/>
    <n v="98"/>
    <n v="100"/>
    <s v="Saturday"/>
    <s v="colder"/>
    <n v="2"/>
    <x v="0"/>
  </r>
  <r>
    <d v="2011-03-20T00:00:00"/>
    <n v="1"/>
    <n v="0"/>
    <n v="1"/>
    <n v="10"/>
    <b v="0"/>
    <n v="2"/>
    <n v="2"/>
    <n v="0.16"/>
    <n v="0.13639999999999999"/>
    <n v="0.69"/>
    <n v="0.32840000000000003"/>
    <n v="37"/>
    <n v="42"/>
    <s v="Sunday"/>
    <s v="colder"/>
    <n v="5"/>
    <x v="1"/>
  </r>
  <r>
    <d v="2011-03-21T00:00:00"/>
    <n v="1"/>
    <n v="0"/>
    <n v="1"/>
    <n v="11"/>
    <b v="0"/>
    <n v="2"/>
    <n v="1"/>
    <n v="0.22"/>
    <n v="0.21210000000000001"/>
    <n v="0.51"/>
    <n v="0.29849999999999999"/>
    <n v="50"/>
    <n v="57"/>
    <s v="Monday"/>
    <s v="colder"/>
    <n v="7"/>
    <x v="0"/>
  </r>
  <r>
    <d v="2011-03-22T00:00:00"/>
    <n v="1"/>
    <n v="0"/>
    <n v="1"/>
    <n v="12"/>
    <b v="0"/>
    <n v="2"/>
    <n v="1"/>
    <n v="0.22"/>
    <n v="0.2273"/>
    <n v="0.51"/>
    <n v="0.16420000000000001"/>
    <n v="66"/>
    <n v="78"/>
    <s v="Tuesday"/>
    <s v="colder"/>
    <n v="12"/>
    <x v="0"/>
  </r>
  <r>
    <d v="2011-03-23T00:00:00"/>
    <n v="1"/>
    <n v="0"/>
    <n v="1"/>
    <n v="13"/>
    <b v="0"/>
    <n v="2"/>
    <n v="1"/>
    <n v="0.24"/>
    <n v="0.2273"/>
    <n v="0.56000000000000005"/>
    <n v="0.19400000000000001"/>
    <n v="79"/>
    <n v="97"/>
    <s v="Wednesday"/>
    <s v="cold"/>
    <n v="18"/>
    <x v="0"/>
  </r>
  <r>
    <d v="2011-03-24T00:00:00"/>
    <n v="1"/>
    <n v="0"/>
    <n v="1"/>
    <n v="14"/>
    <b v="0"/>
    <n v="2"/>
    <n v="1"/>
    <n v="0.26"/>
    <n v="0.2576"/>
    <n v="0.52"/>
    <n v="0.22389999999999999"/>
    <n v="54"/>
    <n v="63"/>
    <s v="Thursday"/>
    <s v="cold"/>
    <n v="9"/>
    <x v="0"/>
  </r>
  <r>
    <d v="2011-03-25T00:00:00"/>
    <n v="1"/>
    <n v="0"/>
    <n v="1"/>
    <n v="15"/>
    <b v="0"/>
    <n v="2"/>
    <n v="1"/>
    <n v="0.28000000000000003"/>
    <n v="0.2727"/>
    <n v="0.52"/>
    <n v="0.25369999999999998"/>
    <n v="48"/>
    <n v="65"/>
    <s v="Friday"/>
    <s v="cold"/>
    <n v="17"/>
    <x v="0"/>
  </r>
  <r>
    <d v="2011-03-26T00:00:00"/>
    <n v="1"/>
    <n v="0"/>
    <n v="1"/>
    <n v="16"/>
    <b v="0"/>
    <n v="2"/>
    <n v="1"/>
    <n v="0.3"/>
    <n v="0.28789999999999999"/>
    <n v="0.49"/>
    <n v="0.25369999999999998"/>
    <n v="68"/>
    <n v="83"/>
    <s v="Saturday"/>
    <s v="cold"/>
    <n v="15"/>
    <x v="0"/>
  </r>
  <r>
    <d v="2011-03-27T00:00:00"/>
    <n v="1"/>
    <n v="0"/>
    <n v="1"/>
    <n v="17"/>
    <b v="0"/>
    <n v="2"/>
    <n v="1"/>
    <n v="0.28000000000000003"/>
    <n v="0.2727"/>
    <n v="0.48"/>
    <n v="0.22389999999999999"/>
    <n v="202"/>
    <n v="212"/>
    <s v="Sunday"/>
    <s v="cold"/>
    <n v="10"/>
    <x v="0"/>
  </r>
  <r>
    <d v="2011-03-28T00:00:00"/>
    <n v="1"/>
    <n v="0"/>
    <n v="1"/>
    <n v="18"/>
    <b v="0"/>
    <n v="2"/>
    <n v="1"/>
    <n v="0.26"/>
    <n v="0.2576"/>
    <n v="0.48"/>
    <n v="0.19400000000000001"/>
    <n v="179"/>
    <n v="182"/>
    <s v="Monday"/>
    <s v="cold"/>
    <n v="3"/>
    <x v="0"/>
  </r>
  <r>
    <d v="2011-03-29T00:00:00"/>
    <n v="1"/>
    <n v="0"/>
    <n v="1"/>
    <n v="19"/>
    <b v="0"/>
    <n v="2"/>
    <n v="1"/>
    <n v="0.24"/>
    <n v="0.2576"/>
    <n v="0.48"/>
    <n v="0.1045"/>
    <n v="110"/>
    <n v="112"/>
    <s v="Tuesday"/>
    <s v="cold"/>
    <n v="2"/>
    <x v="0"/>
  </r>
  <r>
    <d v="2011-03-30T00:00:00"/>
    <n v="1"/>
    <n v="0"/>
    <n v="1"/>
    <n v="20"/>
    <b v="0"/>
    <n v="2"/>
    <n v="1"/>
    <n v="0.24"/>
    <n v="0.2576"/>
    <n v="0.48"/>
    <n v="0.1045"/>
    <n v="53"/>
    <n v="54"/>
    <s v="Wednesday"/>
    <s v="cold"/>
    <n v="1"/>
    <x v="0"/>
  </r>
  <r>
    <d v="2011-03-31T00:00:00"/>
    <n v="1"/>
    <n v="0"/>
    <n v="1"/>
    <n v="21"/>
    <b v="0"/>
    <n v="2"/>
    <n v="1"/>
    <n v="0.22"/>
    <n v="0.2727"/>
    <n v="0.64"/>
    <n v="0"/>
    <n v="48"/>
    <n v="48"/>
    <s v="Thursday"/>
    <s v="colder"/>
    <n v="0"/>
    <x v="0"/>
  </r>
  <r>
    <d v="2011-04-01T00:00:00"/>
    <n v="1"/>
    <n v="0"/>
    <n v="1"/>
    <n v="22"/>
    <b v="0"/>
    <n v="2"/>
    <n v="1"/>
    <n v="0.22"/>
    <n v="0.2576"/>
    <n v="0.64"/>
    <n v="8.9599999999999999E-2"/>
    <n v="34"/>
    <n v="35"/>
    <s v="Friday"/>
    <s v="colder"/>
    <n v="1"/>
    <x v="0"/>
  </r>
  <r>
    <d v="2011-04-02T00:00:00"/>
    <n v="1"/>
    <n v="0"/>
    <n v="1"/>
    <n v="23"/>
    <b v="0"/>
    <n v="2"/>
    <n v="1"/>
    <n v="0.2"/>
    <n v="0.2273"/>
    <n v="0.69"/>
    <n v="8.9599999999999999E-2"/>
    <n v="9"/>
    <n v="11"/>
    <s v="Saturday"/>
    <s v="colder"/>
    <n v="2"/>
    <x v="0"/>
  </r>
  <r>
    <d v="2011-04-03T00:00:00"/>
    <n v="1"/>
    <n v="0"/>
    <n v="1"/>
    <n v="0"/>
    <b v="0"/>
    <n v="3"/>
    <n v="1"/>
    <n v="0.2"/>
    <n v="0.2576"/>
    <n v="0.64"/>
    <n v="0"/>
    <n v="6"/>
    <n v="6"/>
    <s v="Sunday"/>
    <s v="colder"/>
    <n v="0"/>
    <x v="0"/>
  </r>
  <r>
    <d v="2011-04-04T00:00:00"/>
    <n v="1"/>
    <n v="0"/>
    <n v="1"/>
    <n v="1"/>
    <b v="0"/>
    <n v="3"/>
    <n v="1"/>
    <n v="0.16"/>
    <n v="0.19700000000000001"/>
    <n v="0.74"/>
    <n v="8.9599999999999999E-2"/>
    <n v="6"/>
    <n v="6"/>
    <s v="Monday"/>
    <s v="colder"/>
    <n v="0"/>
    <x v="0"/>
  </r>
  <r>
    <d v="2011-04-05T00:00:00"/>
    <n v="1"/>
    <n v="0"/>
    <n v="1"/>
    <n v="2"/>
    <b v="0"/>
    <n v="3"/>
    <n v="1"/>
    <n v="0.16"/>
    <n v="0.19700000000000001"/>
    <n v="0.74"/>
    <n v="8.9599999999999999E-2"/>
    <n v="2"/>
    <n v="2"/>
    <s v="Tuesday"/>
    <s v="colder"/>
    <n v="0"/>
    <x v="0"/>
  </r>
  <r>
    <d v="2011-04-06T00:00:00"/>
    <n v="1"/>
    <n v="0"/>
    <n v="1"/>
    <n v="4"/>
    <b v="0"/>
    <n v="3"/>
    <n v="1"/>
    <n v="0.24"/>
    <n v="0.2273"/>
    <n v="0.48"/>
    <n v="0.22389999999999999"/>
    <n v="2"/>
    <n v="2"/>
    <s v="Wednesday"/>
    <s v="cold"/>
    <n v="0"/>
    <x v="0"/>
  </r>
  <r>
    <d v="2011-04-07T00:00:00"/>
    <n v="1"/>
    <n v="0"/>
    <n v="1"/>
    <n v="5"/>
    <b v="0"/>
    <n v="3"/>
    <n v="1"/>
    <n v="0.22"/>
    <n v="0.2273"/>
    <n v="0.47"/>
    <n v="0.16420000000000001"/>
    <n v="3"/>
    <n v="3"/>
    <s v="Thursday"/>
    <s v="colder"/>
    <n v="0"/>
    <x v="0"/>
  </r>
  <r>
    <d v="2011-04-08T00:00:00"/>
    <n v="1"/>
    <n v="0"/>
    <n v="1"/>
    <n v="6"/>
    <b v="0"/>
    <n v="3"/>
    <n v="1"/>
    <n v="0.2"/>
    <n v="0.19700000000000001"/>
    <n v="0.47"/>
    <n v="0.22389999999999999"/>
    <n v="33"/>
    <n v="33"/>
    <s v="Friday"/>
    <s v="colder"/>
    <n v="0"/>
    <x v="0"/>
  </r>
  <r>
    <d v="2011-04-09T00:00:00"/>
    <n v="1"/>
    <n v="0"/>
    <n v="1"/>
    <n v="7"/>
    <b v="0"/>
    <n v="3"/>
    <n v="1"/>
    <n v="0.18"/>
    <n v="0.18179999999999999"/>
    <n v="0.43"/>
    <n v="0.19400000000000001"/>
    <n v="87"/>
    <n v="88"/>
    <s v="Saturday"/>
    <s v="colder"/>
    <n v="1"/>
    <x v="0"/>
  </r>
  <r>
    <d v="2011-04-10T00:00:00"/>
    <n v="1"/>
    <n v="0"/>
    <n v="1"/>
    <n v="8"/>
    <b v="0"/>
    <n v="3"/>
    <n v="1"/>
    <n v="0.2"/>
    <n v="0.18179999999999999"/>
    <n v="0.4"/>
    <n v="0.29849999999999999"/>
    <n v="192"/>
    <n v="195"/>
    <s v="Sunday"/>
    <s v="colder"/>
    <n v="3"/>
    <x v="0"/>
  </r>
  <r>
    <d v="2011-04-11T00:00:00"/>
    <n v="1"/>
    <n v="0"/>
    <n v="1"/>
    <n v="9"/>
    <b v="0"/>
    <n v="3"/>
    <n v="1"/>
    <n v="0.22"/>
    <n v="0.19700000000000001"/>
    <n v="0.37"/>
    <n v="0.32840000000000003"/>
    <n v="109"/>
    <n v="115"/>
    <s v="Monday"/>
    <s v="colder"/>
    <n v="6"/>
    <x v="0"/>
  </r>
  <r>
    <d v="2011-04-12T00:00:00"/>
    <n v="1"/>
    <n v="0"/>
    <n v="1"/>
    <n v="10"/>
    <b v="0"/>
    <n v="3"/>
    <n v="1"/>
    <n v="0.22"/>
    <n v="0.19700000000000001"/>
    <n v="0.37"/>
    <n v="0.32840000000000003"/>
    <n v="53"/>
    <n v="57"/>
    <s v="Tuesday"/>
    <s v="colder"/>
    <n v="4"/>
    <x v="0"/>
  </r>
  <r>
    <d v="2011-04-13T00:00:00"/>
    <n v="1"/>
    <n v="0"/>
    <n v="1"/>
    <n v="11"/>
    <b v="0"/>
    <n v="3"/>
    <n v="1"/>
    <n v="0.26"/>
    <n v="0.2273"/>
    <n v="0.33"/>
    <n v="0.32840000000000003"/>
    <n v="34"/>
    <n v="46"/>
    <s v="Wednesday"/>
    <s v="cold"/>
    <n v="12"/>
    <x v="0"/>
  </r>
  <r>
    <d v="2011-04-14T00:00:00"/>
    <n v="1"/>
    <n v="0"/>
    <n v="1"/>
    <n v="12"/>
    <b v="0"/>
    <n v="3"/>
    <n v="1"/>
    <n v="0.26"/>
    <n v="0.2273"/>
    <n v="0.33"/>
    <n v="0.32840000000000003"/>
    <n v="74"/>
    <n v="79"/>
    <s v="Thursday"/>
    <s v="cold"/>
    <n v="5"/>
    <x v="0"/>
  </r>
  <r>
    <d v="2011-04-15T00:00:00"/>
    <n v="1"/>
    <n v="0"/>
    <n v="1"/>
    <n v="13"/>
    <b v="0"/>
    <n v="3"/>
    <n v="1"/>
    <n v="0.28000000000000003"/>
    <n v="0.2576"/>
    <n v="0.3"/>
    <n v="0.29849999999999999"/>
    <n v="65"/>
    <n v="71"/>
    <s v="Friday"/>
    <s v="cold"/>
    <n v="6"/>
    <x v="0"/>
  </r>
  <r>
    <d v="2011-04-16T00:00:00"/>
    <n v="1"/>
    <n v="0"/>
    <n v="1"/>
    <n v="14"/>
    <b v="0"/>
    <n v="3"/>
    <n v="1"/>
    <n v="0.3"/>
    <n v="0.28789999999999999"/>
    <n v="0.28000000000000003"/>
    <n v="0.19400000000000001"/>
    <n v="52"/>
    <n v="62"/>
    <s v="Saturday"/>
    <s v="cold"/>
    <n v="10"/>
    <x v="0"/>
  </r>
  <r>
    <d v="2011-04-17T00:00:00"/>
    <n v="1"/>
    <n v="0"/>
    <n v="1"/>
    <n v="15"/>
    <b v="0"/>
    <n v="3"/>
    <n v="1"/>
    <n v="0.3"/>
    <n v="0.28789999999999999"/>
    <n v="0.28000000000000003"/>
    <n v="0.19400000000000001"/>
    <n v="55"/>
    <n v="62"/>
    <s v="Sunday"/>
    <s v="cold"/>
    <n v="7"/>
    <x v="0"/>
  </r>
  <r>
    <d v="2011-04-18T00:00:00"/>
    <n v="1"/>
    <n v="0"/>
    <n v="1"/>
    <n v="16"/>
    <b v="0"/>
    <n v="3"/>
    <n v="1"/>
    <n v="0.3"/>
    <n v="0.31819999999999998"/>
    <n v="0.28000000000000003"/>
    <n v="8.9599999999999999E-2"/>
    <n v="85"/>
    <n v="89"/>
    <s v="Monday"/>
    <s v="cold"/>
    <n v="4"/>
    <x v="0"/>
  </r>
  <r>
    <d v="2011-04-19T00:00:00"/>
    <n v="1"/>
    <n v="0"/>
    <n v="1"/>
    <n v="17"/>
    <b v="0"/>
    <n v="3"/>
    <n v="1"/>
    <n v="0.24"/>
    <n v="0.2273"/>
    <n v="0.38"/>
    <n v="0.19400000000000001"/>
    <n v="186"/>
    <n v="190"/>
    <s v="Tuesday"/>
    <s v="cold"/>
    <n v="4"/>
    <x v="0"/>
  </r>
  <r>
    <d v="2011-04-20T00:00:00"/>
    <n v="1"/>
    <n v="0"/>
    <n v="1"/>
    <n v="18"/>
    <b v="0"/>
    <n v="3"/>
    <n v="1"/>
    <n v="0.24"/>
    <n v="0.2424"/>
    <n v="0.38"/>
    <n v="0.1343"/>
    <n v="166"/>
    <n v="169"/>
    <s v="Wednesday"/>
    <s v="cold"/>
    <n v="3"/>
    <x v="0"/>
  </r>
  <r>
    <d v="2011-04-21T00:00:00"/>
    <n v="1"/>
    <n v="0"/>
    <n v="1"/>
    <n v="19"/>
    <b v="0"/>
    <n v="3"/>
    <n v="1"/>
    <n v="0.24"/>
    <n v="0.2576"/>
    <n v="0.38"/>
    <n v="0.1045"/>
    <n v="127"/>
    <n v="132"/>
    <s v="Thursday"/>
    <s v="cold"/>
    <n v="5"/>
    <x v="0"/>
  </r>
  <r>
    <d v="2011-04-22T00:00:00"/>
    <n v="1"/>
    <n v="0"/>
    <n v="1"/>
    <n v="20"/>
    <b v="0"/>
    <n v="3"/>
    <n v="1"/>
    <n v="0.22"/>
    <n v="0.2273"/>
    <n v="0.47"/>
    <n v="0.16420000000000001"/>
    <n v="82"/>
    <n v="89"/>
    <s v="Friday"/>
    <s v="colder"/>
    <n v="7"/>
    <x v="0"/>
  </r>
  <r>
    <d v="2011-04-23T00:00:00"/>
    <n v="1"/>
    <n v="0"/>
    <n v="1"/>
    <n v="21"/>
    <b v="0"/>
    <n v="3"/>
    <n v="1"/>
    <n v="0.2"/>
    <n v="0.19700000000000001"/>
    <n v="0.51"/>
    <n v="0.19400000000000001"/>
    <n v="40"/>
    <n v="43"/>
    <s v="Saturday"/>
    <s v="colder"/>
    <n v="3"/>
    <x v="0"/>
  </r>
  <r>
    <d v="2011-04-24T00:00:00"/>
    <n v="1"/>
    <n v="0"/>
    <n v="1"/>
    <n v="22"/>
    <b v="0"/>
    <n v="3"/>
    <n v="1"/>
    <n v="0.18"/>
    <n v="0.19700000000000001"/>
    <n v="0.55000000000000004"/>
    <n v="0.1343"/>
    <n v="41"/>
    <n v="42"/>
    <s v="Sunday"/>
    <s v="colder"/>
    <n v="1"/>
    <x v="0"/>
  </r>
  <r>
    <d v="2011-04-25T00:00:00"/>
    <n v="1"/>
    <n v="0"/>
    <n v="1"/>
    <n v="23"/>
    <b v="0"/>
    <n v="3"/>
    <n v="1"/>
    <n v="0.2"/>
    <n v="0.2576"/>
    <n v="0.47"/>
    <n v="0"/>
    <n v="18"/>
    <n v="19"/>
    <s v="Monday"/>
    <s v="colder"/>
    <n v="1"/>
    <x v="0"/>
  </r>
  <r>
    <d v="2011-04-26T00:00:00"/>
    <n v="1"/>
    <n v="0"/>
    <n v="1"/>
    <n v="0"/>
    <b v="0"/>
    <n v="4"/>
    <n v="1"/>
    <n v="0.18"/>
    <n v="0.2424"/>
    <n v="0.55000000000000004"/>
    <n v="0"/>
    <n v="11"/>
    <n v="11"/>
    <s v="Tuesday"/>
    <s v="colder"/>
    <n v="0"/>
    <x v="0"/>
  </r>
  <r>
    <d v="2011-04-27T00:00:00"/>
    <n v="1"/>
    <n v="0"/>
    <n v="1"/>
    <n v="1"/>
    <b v="0"/>
    <n v="4"/>
    <n v="1"/>
    <n v="0.16"/>
    <n v="0.2273"/>
    <n v="0.64"/>
    <n v="0"/>
    <n v="4"/>
    <n v="4"/>
    <s v="Wednesday"/>
    <s v="colder"/>
    <n v="0"/>
    <x v="0"/>
  </r>
  <r>
    <d v="2011-04-28T00:00:00"/>
    <n v="1"/>
    <n v="0"/>
    <n v="1"/>
    <n v="2"/>
    <b v="0"/>
    <n v="4"/>
    <n v="1"/>
    <n v="0.16"/>
    <n v="0.2273"/>
    <n v="0.64"/>
    <n v="0"/>
    <n v="2"/>
    <n v="2"/>
    <s v="Thursday"/>
    <s v="colder"/>
    <n v="0"/>
    <x v="0"/>
  </r>
  <r>
    <d v="2011-04-29T00:00:00"/>
    <n v="1"/>
    <n v="0"/>
    <n v="1"/>
    <n v="4"/>
    <b v="0"/>
    <n v="4"/>
    <n v="2"/>
    <n v="0.16"/>
    <n v="0.19700000000000001"/>
    <n v="0.64"/>
    <n v="8.9599999999999999E-2"/>
    <n v="1"/>
    <n v="1"/>
    <s v="Friday"/>
    <s v="colder"/>
    <n v="0"/>
    <x v="1"/>
  </r>
  <r>
    <d v="2011-04-30T00:00:00"/>
    <n v="1"/>
    <n v="0"/>
    <n v="1"/>
    <n v="5"/>
    <b v="0"/>
    <n v="4"/>
    <n v="2"/>
    <n v="0.14000000000000001"/>
    <n v="0.18179999999999999"/>
    <n v="0.69"/>
    <n v="8.9599999999999999E-2"/>
    <n v="4"/>
    <n v="4"/>
    <s v="Saturday"/>
    <s v="colder"/>
    <n v="0"/>
    <x v="1"/>
  </r>
  <r>
    <d v="2011-05-01T00:00:00"/>
    <n v="1"/>
    <n v="0"/>
    <n v="1"/>
    <n v="6"/>
    <b v="0"/>
    <n v="4"/>
    <n v="2"/>
    <n v="0.14000000000000001"/>
    <n v="0.16669999999999999"/>
    <n v="0.63"/>
    <n v="0.1045"/>
    <n v="36"/>
    <n v="36"/>
    <s v="Sunday"/>
    <s v="colder"/>
    <n v="0"/>
    <x v="1"/>
  </r>
  <r>
    <d v="2011-05-02T00:00:00"/>
    <n v="1"/>
    <n v="0"/>
    <n v="1"/>
    <n v="7"/>
    <b v="0"/>
    <n v="4"/>
    <n v="2"/>
    <n v="0.16"/>
    <n v="0.2273"/>
    <n v="0.59"/>
    <n v="0"/>
    <n v="95"/>
    <n v="95"/>
    <s v="Monday"/>
    <s v="colder"/>
    <n v="0"/>
    <x v="1"/>
  </r>
  <r>
    <d v="2011-05-03T00:00:00"/>
    <n v="1"/>
    <n v="0"/>
    <n v="1"/>
    <n v="8"/>
    <b v="0"/>
    <n v="4"/>
    <n v="1"/>
    <n v="0.16"/>
    <n v="0.2273"/>
    <n v="0.59"/>
    <n v="0"/>
    <n v="216"/>
    <n v="219"/>
    <s v="Tuesday"/>
    <s v="colder"/>
    <n v="3"/>
    <x v="0"/>
  </r>
  <r>
    <d v="2011-05-04T00:00:00"/>
    <n v="1"/>
    <n v="0"/>
    <n v="1"/>
    <n v="9"/>
    <b v="0"/>
    <n v="4"/>
    <n v="2"/>
    <n v="0.18"/>
    <n v="0.2424"/>
    <n v="0.51"/>
    <n v="0"/>
    <n v="116"/>
    <n v="122"/>
    <s v="Wednesday"/>
    <s v="colder"/>
    <n v="6"/>
    <x v="1"/>
  </r>
  <r>
    <d v="2011-05-05T00:00:00"/>
    <n v="1"/>
    <n v="0"/>
    <n v="1"/>
    <n v="10"/>
    <b v="0"/>
    <n v="4"/>
    <n v="1"/>
    <n v="0.2"/>
    <n v="0.2576"/>
    <n v="0.47"/>
    <n v="0"/>
    <n v="42"/>
    <n v="45"/>
    <s v="Thursday"/>
    <s v="colder"/>
    <n v="3"/>
    <x v="0"/>
  </r>
  <r>
    <d v="2011-05-06T00:00:00"/>
    <n v="1"/>
    <n v="0"/>
    <n v="1"/>
    <n v="11"/>
    <b v="0"/>
    <n v="4"/>
    <n v="1"/>
    <n v="0.22"/>
    <n v="0.2576"/>
    <n v="0.44"/>
    <n v="8.9599999999999999E-2"/>
    <n v="57"/>
    <n v="59"/>
    <s v="Friday"/>
    <s v="colder"/>
    <n v="2"/>
    <x v="0"/>
  </r>
  <r>
    <d v="2011-05-07T00:00:00"/>
    <n v="1"/>
    <n v="0"/>
    <n v="1"/>
    <n v="12"/>
    <b v="0"/>
    <n v="4"/>
    <n v="1"/>
    <n v="0.26"/>
    <n v="0.28789999999999999"/>
    <n v="0.35"/>
    <n v="0"/>
    <n v="78"/>
    <n v="84"/>
    <s v="Saturday"/>
    <s v="cold"/>
    <n v="6"/>
    <x v="0"/>
  </r>
  <r>
    <d v="2011-05-08T00:00:00"/>
    <n v="1"/>
    <n v="0"/>
    <n v="1"/>
    <n v="13"/>
    <b v="0"/>
    <n v="4"/>
    <n v="1"/>
    <n v="0.26"/>
    <n v="0.2727"/>
    <n v="0.35"/>
    <n v="0.1045"/>
    <n v="55"/>
    <n v="67"/>
    <s v="Sunday"/>
    <s v="cold"/>
    <n v="12"/>
    <x v="0"/>
  </r>
  <r>
    <d v="2011-05-09T00:00:00"/>
    <n v="1"/>
    <n v="0"/>
    <n v="1"/>
    <n v="14"/>
    <b v="0"/>
    <n v="4"/>
    <n v="1"/>
    <n v="0.28000000000000003"/>
    <n v="0.2727"/>
    <n v="0.36"/>
    <n v="0.16420000000000001"/>
    <n v="59"/>
    <n v="70"/>
    <s v="Monday"/>
    <s v="cold"/>
    <n v="11"/>
    <x v="0"/>
  </r>
  <r>
    <d v="2011-05-10T00:00:00"/>
    <n v="1"/>
    <n v="0"/>
    <n v="1"/>
    <n v="15"/>
    <b v="0"/>
    <n v="4"/>
    <n v="1"/>
    <n v="0.28000000000000003"/>
    <n v="0.2727"/>
    <n v="0.36"/>
    <n v="0"/>
    <n v="54"/>
    <n v="62"/>
    <s v="Tuesday"/>
    <s v="cold"/>
    <n v="8"/>
    <x v="0"/>
  </r>
  <r>
    <d v="2011-05-11T00:00:00"/>
    <n v="1"/>
    <n v="0"/>
    <n v="1"/>
    <n v="16"/>
    <b v="0"/>
    <n v="4"/>
    <n v="1"/>
    <n v="0.26"/>
    <n v="0.2576"/>
    <n v="0.38"/>
    <n v="0.16420000000000001"/>
    <n v="74"/>
    <n v="86"/>
    <s v="Wednesday"/>
    <s v="cold"/>
    <n v="12"/>
    <x v="0"/>
  </r>
  <r>
    <d v="2011-05-12T00:00:00"/>
    <n v="1"/>
    <n v="0"/>
    <n v="1"/>
    <n v="17"/>
    <b v="0"/>
    <n v="4"/>
    <n v="1"/>
    <n v="0.22"/>
    <n v="0.2273"/>
    <n v="0.51"/>
    <n v="0.16420000000000001"/>
    <n v="163"/>
    <n v="172"/>
    <s v="Thursday"/>
    <s v="colder"/>
    <n v="9"/>
    <x v="0"/>
  </r>
  <r>
    <d v="2011-05-13T00:00:00"/>
    <n v="1"/>
    <n v="0"/>
    <n v="1"/>
    <n v="18"/>
    <b v="0"/>
    <n v="4"/>
    <n v="1"/>
    <n v="0.22"/>
    <n v="0.2273"/>
    <n v="0.51"/>
    <n v="0.1343"/>
    <n v="158"/>
    <n v="163"/>
    <s v="Friday"/>
    <s v="colder"/>
    <n v="5"/>
    <x v="0"/>
  </r>
  <r>
    <d v="2011-05-14T00:00:00"/>
    <n v="1"/>
    <n v="0"/>
    <n v="1"/>
    <n v="19"/>
    <b v="0"/>
    <n v="4"/>
    <n v="1"/>
    <n v="0.22"/>
    <n v="0.2576"/>
    <n v="0.55000000000000004"/>
    <n v="8.9599999999999999E-2"/>
    <n v="109"/>
    <n v="112"/>
    <s v="Saturday"/>
    <s v="colder"/>
    <n v="3"/>
    <x v="0"/>
  </r>
  <r>
    <d v="2011-05-15T00:00:00"/>
    <n v="1"/>
    <n v="0"/>
    <n v="1"/>
    <n v="20"/>
    <b v="0"/>
    <n v="4"/>
    <n v="1"/>
    <n v="0.2"/>
    <n v="0.21210000000000001"/>
    <n v="0.51"/>
    <n v="0.16420000000000001"/>
    <n v="66"/>
    <n v="69"/>
    <s v="Sunday"/>
    <s v="colder"/>
    <n v="3"/>
    <x v="0"/>
  </r>
  <r>
    <d v="2011-05-16T00:00:00"/>
    <n v="1"/>
    <n v="0"/>
    <n v="1"/>
    <n v="21"/>
    <b v="0"/>
    <n v="4"/>
    <n v="2"/>
    <n v="0.22"/>
    <n v="0.21210000000000001"/>
    <n v="0.55000000000000004"/>
    <n v="0.22389999999999999"/>
    <n v="48"/>
    <n v="48"/>
    <s v="Monday"/>
    <s v="colder"/>
    <n v="0"/>
    <x v="1"/>
  </r>
  <r>
    <d v="2011-05-17T00:00:00"/>
    <n v="1"/>
    <n v="0"/>
    <n v="1"/>
    <n v="22"/>
    <b v="0"/>
    <n v="4"/>
    <n v="2"/>
    <n v="0.22"/>
    <n v="0.21210000000000001"/>
    <n v="0.51"/>
    <n v="0.28360000000000002"/>
    <n v="51"/>
    <n v="52"/>
    <s v="Tuesday"/>
    <s v="colder"/>
    <n v="1"/>
    <x v="1"/>
  </r>
  <r>
    <d v="2011-05-18T00:00:00"/>
    <n v="1"/>
    <n v="0"/>
    <n v="1"/>
    <n v="23"/>
    <b v="0"/>
    <n v="4"/>
    <n v="2"/>
    <n v="0.2"/>
    <n v="0.19700000000000001"/>
    <n v="0.59"/>
    <n v="0.19400000000000001"/>
    <n v="19"/>
    <n v="23"/>
    <s v="Wednesday"/>
    <s v="colder"/>
    <n v="4"/>
    <x v="1"/>
  </r>
  <r>
    <d v="2011-05-19T00:00:00"/>
    <n v="1"/>
    <n v="0"/>
    <n v="1"/>
    <n v="0"/>
    <b v="0"/>
    <n v="5"/>
    <n v="2"/>
    <n v="0.2"/>
    <n v="0.19700000000000001"/>
    <n v="0.64"/>
    <n v="0.19400000000000001"/>
    <n v="13"/>
    <n v="17"/>
    <s v="Thursday"/>
    <s v="colder"/>
    <n v="4"/>
    <x v="1"/>
  </r>
  <r>
    <d v="2011-05-20T00:00:00"/>
    <n v="1"/>
    <n v="0"/>
    <n v="1"/>
    <n v="1"/>
    <b v="0"/>
    <n v="5"/>
    <n v="2"/>
    <n v="0.2"/>
    <n v="0.19700000000000001"/>
    <n v="0.69"/>
    <n v="0.22389999999999999"/>
    <n v="5"/>
    <n v="7"/>
    <s v="Friday"/>
    <s v="colder"/>
    <n v="2"/>
    <x v="1"/>
  </r>
  <r>
    <d v="2011-05-21T00:00:00"/>
    <n v="1"/>
    <n v="0"/>
    <n v="1"/>
    <n v="2"/>
    <b v="0"/>
    <n v="5"/>
    <n v="2"/>
    <n v="0.2"/>
    <n v="0.19700000000000001"/>
    <n v="0.69"/>
    <n v="0.22389999999999999"/>
    <n v="1"/>
    <n v="1"/>
    <s v="Saturday"/>
    <s v="colder"/>
    <n v="0"/>
    <x v="1"/>
  </r>
  <r>
    <d v="2011-05-22T00:00:00"/>
    <n v="1"/>
    <n v="0"/>
    <n v="1"/>
    <n v="4"/>
    <b v="0"/>
    <n v="5"/>
    <n v="2"/>
    <n v="0.2"/>
    <n v="0.21210000000000001"/>
    <n v="0.69"/>
    <n v="0.1343"/>
    <n v="1"/>
    <n v="1"/>
    <s v="Sunday"/>
    <s v="colder"/>
    <n v="0"/>
    <x v="1"/>
  </r>
  <r>
    <d v="2011-05-23T00:00:00"/>
    <n v="1"/>
    <n v="0"/>
    <n v="1"/>
    <n v="5"/>
    <b v="0"/>
    <n v="5"/>
    <n v="3"/>
    <n v="0.22"/>
    <n v="0.2727"/>
    <n v="0.55000000000000004"/>
    <n v="0"/>
    <n v="5"/>
    <n v="5"/>
    <s v="Monday"/>
    <s v="colder"/>
    <n v="0"/>
    <x v="2"/>
  </r>
  <r>
    <d v="2011-05-24T00:00:00"/>
    <n v="1"/>
    <n v="0"/>
    <n v="1"/>
    <n v="6"/>
    <b v="0"/>
    <n v="5"/>
    <n v="2"/>
    <n v="0.2"/>
    <n v="0.2576"/>
    <n v="0.69"/>
    <n v="0"/>
    <n v="26"/>
    <n v="34"/>
    <s v="Tuesday"/>
    <s v="colder"/>
    <n v="8"/>
    <x v="1"/>
  </r>
  <r>
    <d v="2011-05-25T00:00:00"/>
    <n v="1"/>
    <n v="0"/>
    <n v="1"/>
    <n v="7"/>
    <b v="0"/>
    <n v="5"/>
    <n v="1"/>
    <n v="0.2"/>
    <n v="0.21210000000000001"/>
    <n v="0.69"/>
    <n v="0.1343"/>
    <n v="76"/>
    <n v="84"/>
    <s v="Wednesday"/>
    <s v="colder"/>
    <n v="8"/>
    <x v="0"/>
  </r>
  <r>
    <d v="2011-05-26T00:00:00"/>
    <n v="1"/>
    <n v="0"/>
    <n v="1"/>
    <n v="8"/>
    <b v="0"/>
    <n v="5"/>
    <n v="1"/>
    <n v="0.2"/>
    <n v="0.19700000000000001"/>
    <n v="0.51"/>
    <n v="0.25369999999999998"/>
    <n v="190"/>
    <n v="210"/>
    <s v="Thursday"/>
    <s v="colder"/>
    <n v="20"/>
    <x v="0"/>
  </r>
  <r>
    <d v="2011-05-27T00:00:00"/>
    <n v="1"/>
    <n v="0"/>
    <n v="1"/>
    <n v="9"/>
    <b v="0"/>
    <n v="5"/>
    <n v="1"/>
    <n v="0.2"/>
    <n v="0.18179999999999999"/>
    <n v="0.47"/>
    <n v="0.29849999999999999"/>
    <n v="125"/>
    <n v="134"/>
    <s v="Friday"/>
    <s v="colder"/>
    <n v="9"/>
    <x v="0"/>
  </r>
  <r>
    <d v="2011-05-28T00:00:00"/>
    <n v="1"/>
    <n v="0"/>
    <n v="1"/>
    <n v="10"/>
    <b v="0"/>
    <n v="5"/>
    <n v="1"/>
    <n v="0.22"/>
    <n v="0.19700000000000001"/>
    <n v="0.37"/>
    <n v="0.32840000000000003"/>
    <n v="47"/>
    <n v="63"/>
    <s v="Saturday"/>
    <s v="colder"/>
    <n v="16"/>
    <x v="0"/>
  </r>
  <r>
    <d v="2011-05-29T00:00:00"/>
    <n v="1"/>
    <n v="0"/>
    <n v="1"/>
    <n v="11"/>
    <b v="0"/>
    <n v="5"/>
    <n v="2"/>
    <n v="0.2"/>
    <n v="0.19700000000000001"/>
    <n v="0.4"/>
    <n v="0.22389999999999999"/>
    <n v="48"/>
    <n v="67"/>
    <s v="Sunday"/>
    <s v="colder"/>
    <n v="19"/>
    <x v="1"/>
  </r>
  <r>
    <d v="2011-05-30T00:00:00"/>
    <n v="1"/>
    <n v="0"/>
    <n v="1"/>
    <n v="12"/>
    <b v="0"/>
    <n v="5"/>
    <n v="2"/>
    <n v="0.2"/>
    <n v="0.19700000000000001"/>
    <n v="0.37"/>
    <n v="0.25369999999999998"/>
    <n v="50"/>
    <n v="59"/>
    <s v="Monday"/>
    <s v="colder"/>
    <n v="9"/>
    <x v="1"/>
  </r>
  <r>
    <d v="2011-05-31T00:00:00"/>
    <n v="1"/>
    <n v="0"/>
    <n v="1"/>
    <n v="13"/>
    <b v="0"/>
    <n v="5"/>
    <n v="2"/>
    <n v="0.2"/>
    <n v="0.18179999999999999"/>
    <n v="0.37"/>
    <n v="0.28360000000000002"/>
    <n v="64"/>
    <n v="73"/>
    <s v="Tuesday"/>
    <s v="colder"/>
    <n v="9"/>
    <x v="1"/>
  </r>
  <r>
    <d v="2011-06-01T00:00:00"/>
    <n v="1"/>
    <n v="0"/>
    <n v="1"/>
    <n v="14"/>
    <b v="0"/>
    <n v="5"/>
    <n v="2"/>
    <n v="0.2"/>
    <n v="0.19700000000000001"/>
    <n v="0.4"/>
    <n v="0.25369999999999998"/>
    <n v="43"/>
    <n v="50"/>
    <s v="Wednesday"/>
    <s v="colder"/>
    <n v="7"/>
    <x v="1"/>
  </r>
  <r>
    <d v="2011-06-02T00:00:00"/>
    <n v="1"/>
    <n v="0"/>
    <n v="1"/>
    <n v="15"/>
    <b v="0"/>
    <n v="5"/>
    <n v="2"/>
    <n v="0.2"/>
    <n v="0.21210000000000001"/>
    <n v="0.37"/>
    <n v="0.16420000000000001"/>
    <n v="63"/>
    <n v="72"/>
    <s v="Thursday"/>
    <s v="colder"/>
    <n v="9"/>
    <x v="1"/>
  </r>
  <r>
    <d v="2011-06-03T00:00:00"/>
    <n v="1"/>
    <n v="0"/>
    <n v="1"/>
    <n v="16"/>
    <b v="0"/>
    <n v="5"/>
    <n v="2"/>
    <n v="0.2"/>
    <n v="0.21210000000000001"/>
    <n v="0.37"/>
    <n v="0.16420000000000001"/>
    <n v="82"/>
    <n v="87"/>
    <s v="Friday"/>
    <s v="colder"/>
    <n v="5"/>
    <x v="1"/>
  </r>
  <r>
    <d v="2011-06-04T00:00:00"/>
    <n v="1"/>
    <n v="0"/>
    <n v="1"/>
    <n v="17"/>
    <b v="0"/>
    <n v="5"/>
    <n v="2"/>
    <n v="0.2"/>
    <n v="0.2576"/>
    <n v="0.37"/>
    <n v="0"/>
    <n v="178"/>
    <n v="187"/>
    <s v="Saturday"/>
    <s v="colder"/>
    <n v="9"/>
    <x v="1"/>
  </r>
  <r>
    <d v="2011-06-05T00:00:00"/>
    <n v="1"/>
    <n v="0"/>
    <n v="1"/>
    <n v="18"/>
    <b v="0"/>
    <n v="5"/>
    <n v="1"/>
    <n v="0.2"/>
    <n v="0.2273"/>
    <n v="0.4"/>
    <n v="8.9599999999999999E-2"/>
    <n v="116"/>
    <n v="123"/>
    <s v="Sunday"/>
    <s v="colder"/>
    <n v="7"/>
    <x v="0"/>
  </r>
  <r>
    <d v="2011-06-06T00:00:00"/>
    <n v="1"/>
    <n v="0"/>
    <n v="1"/>
    <n v="19"/>
    <b v="0"/>
    <n v="5"/>
    <n v="1"/>
    <n v="0.16"/>
    <n v="0.19700000000000001"/>
    <n v="0.55000000000000004"/>
    <n v="8.9599999999999999E-2"/>
    <n v="92"/>
    <n v="95"/>
    <s v="Monday"/>
    <s v="colder"/>
    <n v="3"/>
    <x v="0"/>
  </r>
  <r>
    <d v="2011-06-07T00:00:00"/>
    <n v="1"/>
    <n v="0"/>
    <n v="1"/>
    <n v="20"/>
    <b v="0"/>
    <n v="5"/>
    <n v="1"/>
    <n v="0.18"/>
    <n v="0.21210000000000001"/>
    <n v="0.47"/>
    <n v="0.1045"/>
    <n v="50"/>
    <n v="51"/>
    <s v="Tuesday"/>
    <s v="colder"/>
    <n v="1"/>
    <x v="0"/>
  </r>
  <r>
    <d v="2011-06-08T00:00:00"/>
    <n v="1"/>
    <n v="0"/>
    <n v="1"/>
    <n v="21"/>
    <b v="0"/>
    <n v="5"/>
    <n v="1"/>
    <n v="0.18"/>
    <n v="0.19700000000000001"/>
    <n v="0.47"/>
    <n v="0.1343"/>
    <n v="39"/>
    <n v="39"/>
    <s v="Wednesday"/>
    <s v="colder"/>
    <n v="0"/>
    <x v="0"/>
  </r>
  <r>
    <d v="2011-06-09T00:00:00"/>
    <n v="1"/>
    <n v="0"/>
    <n v="1"/>
    <n v="22"/>
    <b v="0"/>
    <n v="5"/>
    <n v="2"/>
    <n v="0.18"/>
    <n v="0.19700000000000001"/>
    <n v="0.43"/>
    <n v="0.16420000000000001"/>
    <n v="34"/>
    <n v="36"/>
    <s v="Thursday"/>
    <s v="colder"/>
    <n v="2"/>
    <x v="1"/>
  </r>
  <r>
    <d v="2011-06-10T00:00:00"/>
    <n v="1"/>
    <n v="0"/>
    <n v="1"/>
    <n v="23"/>
    <b v="0"/>
    <n v="5"/>
    <n v="2"/>
    <n v="0.18"/>
    <n v="0.19700000000000001"/>
    <n v="0.51"/>
    <n v="0.16420000000000001"/>
    <n v="14"/>
    <n v="15"/>
    <s v="Friday"/>
    <s v="colder"/>
    <n v="1"/>
    <x v="1"/>
  </r>
  <r>
    <d v="2011-06-11T00:00:00"/>
    <n v="1"/>
    <n v="0"/>
    <n v="1"/>
    <n v="0"/>
    <b v="0"/>
    <n v="6"/>
    <n v="2"/>
    <n v="0.18"/>
    <n v="0.19700000000000001"/>
    <n v="0.51"/>
    <n v="0.16420000000000001"/>
    <n v="24"/>
    <n v="25"/>
    <s v="Saturday"/>
    <s v="colder"/>
    <n v="1"/>
    <x v="1"/>
  </r>
  <r>
    <d v="2011-06-12T00:00:00"/>
    <n v="1"/>
    <n v="0"/>
    <n v="1"/>
    <n v="1"/>
    <b v="0"/>
    <n v="6"/>
    <n v="2"/>
    <n v="0.18"/>
    <n v="0.21210000000000001"/>
    <n v="0.55000000000000004"/>
    <n v="8.9599999999999999E-2"/>
    <n v="15"/>
    <n v="16"/>
    <s v="Sunday"/>
    <s v="colder"/>
    <n v="1"/>
    <x v="1"/>
  </r>
  <r>
    <d v="2011-06-13T00:00:00"/>
    <n v="1"/>
    <n v="0"/>
    <n v="1"/>
    <n v="2"/>
    <b v="0"/>
    <n v="6"/>
    <n v="2"/>
    <n v="0.18"/>
    <n v="0.2424"/>
    <n v="0.55000000000000004"/>
    <n v="0"/>
    <n v="13"/>
    <n v="16"/>
    <s v="Monday"/>
    <s v="colder"/>
    <n v="3"/>
    <x v="1"/>
  </r>
  <r>
    <d v="2011-06-14T00:00:00"/>
    <n v="1"/>
    <n v="0"/>
    <n v="1"/>
    <n v="3"/>
    <b v="0"/>
    <n v="6"/>
    <n v="3"/>
    <n v="0.18"/>
    <n v="0.19700000000000001"/>
    <n v="0.55000000000000004"/>
    <n v="0.16420000000000001"/>
    <n v="7"/>
    <n v="7"/>
    <s v="Tuesday"/>
    <s v="colder"/>
    <n v="0"/>
    <x v="2"/>
  </r>
  <r>
    <d v="2011-06-15T00:00:00"/>
    <n v="1"/>
    <n v="0"/>
    <n v="1"/>
    <n v="4"/>
    <b v="0"/>
    <n v="6"/>
    <n v="3"/>
    <n v="0.18"/>
    <n v="0.19700000000000001"/>
    <n v="0.55000000000000004"/>
    <n v="0.16420000000000001"/>
    <n v="1"/>
    <n v="1"/>
    <s v="Wednesday"/>
    <s v="colder"/>
    <n v="0"/>
    <x v="2"/>
  </r>
  <r>
    <d v="2011-06-16T00:00:00"/>
    <n v="1"/>
    <n v="0"/>
    <n v="1"/>
    <n v="5"/>
    <b v="0"/>
    <n v="6"/>
    <n v="2"/>
    <n v="0.16"/>
    <n v="0.16669999999999999"/>
    <n v="0.74"/>
    <n v="0.16420000000000001"/>
    <n v="5"/>
    <n v="5"/>
    <s v="Thursday"/>
    <s v="colder"/>
    <n v="0"/>
    <x v="1"/>
  </r>
  <r>
    <d v="2011-06-17T00:00:00"/>
    <n v="1"/>
    <n v="0"/>
    <n v="1"/>
    <n v="6"/>
    <b v="0"/>
    <n v="6"/>
    <n v="2"/>
    <n v="0.16"/>
    <n v="0.16669999999999999"/>
    <n v="0.74"/>
    <n v="0.16420000000000001"/>
    <n v="2"/>
    <n v="2"/>
    <s v="Friday"/>
    <s v="colder"/>
    <n v="0"/>
    <x v="1"/>
  </r>
  <r>
    <d v="2011-06-18T00:00:00"/>
    <n v="1"/>
    <n v="0"/>
    <n v="1"/>
    <n v="7"/>
    <b v="0"/>
    <n v="6"/>
    <n v="2"/>
    <n v="0.16"/>
    <n v="0.18179999999999999"/>
    <n v="0.74"/>
    <n v="0.1045"/>
    <n v="8"/>
    <n v="9"/>
    <s v="Saturday"/>
    <s v="colder"/>
    <n v="1"/>
    <x v="1"/>
  </r>
  <r>
    <d v="2011-06-19T00:00:00"/>
    <n v="1"/>
    <n v="0"/>
    <n v="1"/>
    <n v="8"/>
    <b v="0"/>
    <n v="6"/>
    <n v="3"/>
    <n v="0.16"/>
    <n v="0.18179999999999999"/>
    <n v="0.93"/>
    <n v="0.1045"/>
    <n v="15"/>
    <n v="15"/>
    <s v="Sunday"/>
    <s v="colder"/>
    <n v="0"/>
    <x v="2"/>
  </r>
  <r>
    <d v="2011-06-20T00:00:00"/>
    <n v="1"/>
    <n v="0"/>
    <n v="1"/>
    <n v="9"/>
    <b v="0"/>
    <n v="6"/>
    <n v="3"/>
    <n v="0.16"/>
    <n v="0.18179999999999999"/>
    <n v="0.93"/>
    <n v="0.1045"/>
    <n v="20"/>
    <n v="20"/>
    <s v="Monday"/>
    <s v="colder"/>
    <n v="0"/>
    <x v="2"/>
  </r>
  <r>
    <d v="2011-06-21T00:00:00"/>
    <n v="1"/>
    <n v="0"/>
    <n v="1"/>
    <n v="10"/>
    <b v="0"/>
    <n v="6"/>
    <n v="2"/>
    <n v="0.18"/>
    <n v="0.19700000000000001"/>
    <n v="0.8"/>
    <n v="0.16420000000000001"/>
    <n v="56"/>
    <n v="61"/>
    <s v="Tuesday"/>
    <s v="colder"/>
    <n v="5"/>
    <x v="1"/>
  </r>
  <r>
    <d v="2011-06-22T00:00:00"/>
    <n v="1"/>
    <n v="0"/>
    <n v="1"/>
    <n v="11"/>
    <b v="0"/>
    <n v="6"/>
    <n v="2"/>
    <n v="0.2"/>
    <n v="0.18179999999999999"/>
    <n v="0.69"/>
    <n v="0.3881"/>
    <n v="60"/>
    <n v="62"/>
    <s v="Wednesday"/>
    <s v="colder"/>
    <n v="2"/>
    <x v="1"/>
  </r>
  <r>
    <d v="2011-06-23T00:00:00"/>
    <n v="1"/>
    <n v="0"/>
    <n v="1"/>
    <n v="12"/>
    <b v="0"/>
    <n v="6"/>
    <n v="2"/>
    <n v="0.2"/>
    <n v="0.18179999999999999"/>
    <n v="0.59"/>
    <n v="0.35820000000000002"/>
    <n v="90"/>
    <n v="98"/>
    <s v="Thursday"/>
    <s v="colder"/>
    <n v="8"/>
    <x v="1"/>
  </r>
  <r>
    <d v="2011-06-24T00:00:00"/>
    <n v="1"/>
    <n v="0"/>
    <n v="1"/>
    <n v="13"/>
    <b v="0"/>
    <n v="6"/>
    <n v="1"/>
    <n v="0.2"/>
    <n v="0.18179999999999999"/>
    <n v="0.44"/>
    <n v="0.32840000000000003"/>
    <n v="95"/>
    <n v="102"/>
    <s v="Friday"/>
    <s v="colder"/>
    <n v="7"/>
    <x v="0"/>
  </r>
  <r>
    <d v="2011-06-25T00:00:00"/>
    <n v="1"/>
    <n v="0"/>
    <n v="1"/>
    <n v="14"/>
    <b v="0"/>
    <n v="6"/>
    <n v="1"/>
    <n v="0.2"/>
    <n v="0.16669999999999999"/>
    <n v="0.32"/>
    <n v="0.49249999999999999"/>
    <n v="83"/>
    <n v="95"/>
    <s v="Saturday"/>
    <s v="colder"/>
    <n v="12"/>
    <x v="0"/>
  </r>
  <r>
    <d v="2011-06-26T00:00:00"/>
    <n v="1"/>
    <n v="0"/>
    <n v="1"/>
    <n v="15"/>
    <b v="0"/>
    <n v="6"/>
    <n v="1"/>
    <n v="0.2"/>
    <n v="0.16669999999999999"/>
    <n v="0.32"/>
    <n v="0.44779999999999998"/>
    <n v="69"/>
    <n v="74"/>
    <s v="Sunday"/>
    <s v="colder"/>
    <n v="5"/>
    <x v="0"/>
  </r>
  <r>
    <d v="2011-06-27T00:00:00"/>
    <n v="1"/>
    <n v="0"/>
    <n v="1"/>
    <n v="16"/>
    <b v="0"/>
    <n v="6"/>
    <n v="1"/>
    <n v="0.18"/>
    <n v="0.13639999999999999"/>
    <n v="0.28999999999999998"/>
    <n v="0.44779999999999998"/>
    <n v="68"/>
    <n v="76"/>
    <s v="Monday"/>
    <s v="colder"/>
    <n v="8"/>
    <x v="0"/>
  </r>
  <r>
    <d v="2011-06-28T00:00:00"/>
    <n v="1"/>
    <n v="0"/>
    <n v="1"/>
    <n v="17"/>
    <b v="0"/>
    <n v="6"/>
    <n v="1"/>
    <n v="0.16"/>
    <n v="0.1212"/>
    <n v="0.37"/>
    <n v="0.55220000000000002"/>
    <n v="64"/>
    <n v="69"/>
    <s v="Tuesday"/>
    <s v="colder"/>
    <n v="5"/>
    <x v="0"/>
  </r>
  <r>
    <d v="2011-06-29T00:00:00"/>
    <n v="1"/>
    <n v="0"/>
    <n v="1"/>
    <n v="18"/>
    <b v="0"/>
    <n v="6"/>
    <n v="1"/>
    <n v="0.14000000000000001"/>
    <n v="0.1212"/>
    <n v="0.39"/>
    <n v="0.29849999999999999"/>
    <n v="52"/>
    <n v="55"/>
    <s v="Wednesday"/>
    <s v="colder"/>
    <n v="3"/>
    <x v="0"/>
  </r>
  <r>
    <d v="2011-06-30T00:00:00"/>
    <n v="1"/>
    <n v="0"/>
    <n v="1"/>
    <n v="19"/>
    <b v="0"/>
    <n v="6"/>
    <n v="1"/>
    <n v="0.14000000000000001"/>
    <n v="0.1212"/>
    <n v="0.36"/>
    <n v="0.25369999999999998"/>
    <n v="26"/>
    <n v="30"/>
    <s v="Thursday"/>
    <s v="colder"/>
    <n v="4"/>
    <x v="0"/>
  </r>
  <r>
    <d v="2011-07-01T00:00:00"/>
    <n v="1"/>
    <n v="0"/>
    <n v="1"/>
    <n v="20"/>
    <b v="0"/>
    <n v="6"/>
    <n v="1"/>
    <n v="0.12"/>
    <n v="0.1212"/>
    <n v="0.36"/>
    <n v="0.25369999999999998"/>
    <n v="28"/>
    <n v="28"/>
    <s v="Friday"/>
    <s v="colder"/>
    <n v="0"/>
    <x v="0"/>
  </r>
  <r>
    <d v="2011-07-02T00:00:00"/>
    <n v="1"/>
    <n v="0"/>
    <n v="1"/>
    <n v="21"/>
    <b v="0"/>
    <n v="6"/>
    <n v="1"/>
    <n v="0.12"/>
    <n v="0.1061"/>
    <n v="0.39"/>
    <n v="0.35820000000000002"/>
    <n v="35"/>
    <n v="37"/>
    <s v="Saturday"/>
    <s v="colder"/>
    <n v="2"/>
    <x v="0"/>
  </r>
  <r>
    <d v="2011-07-03T00:00:00"/>
    <n v="1"/>
    <n v="0"/>
    <n v="1"/>
    <n v="22"/>
    <b v="0"/>
    <n v="6"/>
    <n v="1"/>
    <n v="0.12"/>
    <n v="0.1061"/>
    <n v="0.36"/>
    <n v="0.3881"/>
    <n v="33"/>
    <n v="34"/>
    <s v="Sunday"/>
    <s v="colder"/>
    <n v="1"/>
    <x v="0"/>
  </r>
  <r>
    <d v="2011-07-04T00:00:00"/>
    <n v="1"/>
    <n v="0"/>
    <n v="1"/>
    <n v="23"/>
    <b v="0"/>
    <n v="6"/>
    <n v="1"/>
    <n v="0.1"/>
    <n v="6.0600000000000001E-2"/>
    <n v="0.39"/>
    <n v="0.44779999999999998"/>
    <n v="22"/>
    <n v="22"/>
    <s v="Monday"/>
    <s v="colder"/>
    <n v="0"/>
    <x v="0"/>
  </r>
  <r>
    <d v="2011-07-05T00:00:00"/>
    <n v="1"/>
    <n v="0"/>
    <n v="1"/>
    <n v="0"/>
    <b v="0"/>
    <n v="0"/>
    <n v="1"/>
    <n v="0.1"/>
    <n v="7.5800000000000006E-2"/>
    <n v="0.42"/>
    <n v="0.3881"/>
    <n v="24"/>
    <n v="25"/>
    <s v="Tuesday"/>
    <s v="colder"/>
    <n v="1"/>
    <x v="0"/>
  </r>
  <r>
    <d v="2011-07-06T00:00:00"/>
    <n v="1"/>
    <n v="0"/>
    <n v="1"/>
    <n v="1"/>
    <b v="0"/>
    <n v="0"/>
    <n v="1"/>
    <n v="0.1"/>
    <n v="6.0600000000000001E-2"/>
    <n v="0.42"/>
    <n v="0.4627"/>
    <n v="12"/>
    <n v="12"/>
    <s v="Wednesday"/>
    <s v="colder"/>
    <n v="0"/>
    <x v="0"/>
  </r>
  <r>
    <d v="2011-07-07T00:00:00"/>
    <n v="1"/>
    <n v="0"/>
    <n v="1"/>
    <n v="2"/>
    <b v="0"/>
    <n v="0"/>
    <n v="1"/>
    <n v="0.1"/>
    <n v="6.0600000000000001E-2"/>
    <n v="0.46"/>
    <n v="0.4627"/>
    <n v="11"/>
    <n v="11"/>
    <s v="Thursday"/>
    <s v="colder"/>
    <n v="0"/>
    <x v="0"/>
  </r>
  <r>
    <d v="2011-07-08T00:00:00"/>
    <n v="1"/>
    <n v="0"/>
    <n v="1"/>
    <n v="3"/>
    <b v="0"/>
    <n v="0"/>
    <n v="1"/>
    <n v="0.1"/>
    <n v="7.5800000000000006E-2"/>
    <n v="0.46"/>
    <n v="0.41789999999999999"/>
    <n v="4"/>
    <n v="4"/>
    <s v="Friday"/>
    <s v="colder"/>
    <n v="0"/>
    <x v="0"/>
  </r>
  <r>
    <d v="2011-07-09T00:00:00"/>
    <n v="1"/>
    <n v="0"/>
    <n v="1"/>
    <n v="4"/>
    <b v="0"/>
    <n v="0"/>
    <n v="1"/>
    <n v="0.08"/>
    <n v="9.0899999999999995E-2"/>
    <n v="0.53"/>
    <n v="0.19400000000000001"/>
    <n v="1"/>
    <n v="1"/>
    <s v="Saturday"/>
    <s v="colder"/>
    <n v="0"/>
    <x v="0"/>
  </r>
  <r>
    <d v="2011-07-10T00:00:00"/>
    <n v="1"/>
    <n v="0"/>
    <n v="1"/>
    <n v="5"/>
    <b v="0"/>
    <n v="0"/>
    <n v="1"/>
    <n v="0.08"/>
    <n v="9.0899999999999995E-2"/>
    <n v="0.53"/>
    <n v="0.19400000000000001"/>
    <n v="1"/>
    <n v="1"/>
    <s v="Sunday"/>
    <s v="colder"/>
    <n v="0"/>
    <x v="0"/>
  </r>
  <r>
    <d v="2011-07-11T00:00:00"/>
    <n v="1"/>
    <n v="0"/>
    <n v="1"/>
    <n v="6"/>
    <b v="0"/>
    <n v="0"/>
    <n v="1"/>
    <n v="0.1"/>
    <n v="9.0899999999999995E-2"/>
    <n v="0.49"/>
    <n v="0.28360000000000002"/>
    <n v="1"/>
    <n v="1"/>
    <s v="Monday"/>
    <s v="colder"/>
    <n v="0"/>
    <x v="0"/>
  </r>
  <r>
    <d v="2011-07-12T00:00:00"/>
    <n v="1"/>
    <n v="0"/>
    <n v="1"/>
    <n v="7"/>
    <b v="0"/>
    <n v="0"/>
    <n v="1"/>
    <n v="0.08"/>
    <n v="9.0899999999999995E-2"/>
    <n v="0.53"/>
    <n v="0.19400000000000001"/>
    <n v="5"/>
    <n v="6"/>
    <s v="Tuesday"/>
    <s v="colder"/>
    <n v="1"/>
    <x v="0"/>
  </r>
  <r>
    <d v="2011-07-13T00:00:00"/>
    <n v="1"/>
    <n v="0"/>
    <n v="1"/>
    <n v="8"/>
    <b v="0"/>
    <n v="0"/>
    <n v="1"/>
    <n v="0.1"/>
    <n v="9.0899999999999995E-2"/>
    <n v="0.49"/>
    <n v="0.28360000000000002"/>
    <n v="10"/>
    <n v="10"/>
    <s v="Wednesday"/>
    <s v="colder"/>
    <n v="0"/>
    <x v="0"/>
  </r>
  <r>
    <d v="2011-07-14T00:00:00"/>
    <n v="1"/>
    <n v="0"/>
    <n v="1"/>
    <n v="9"/>
    <b v="0"/>
    <n v="0"/>
    <n v="1"/>
    <n v="0.12"/>
    <n v="7.5800000000000006E-2"/>
    <n v="0.46"/>
    <n v="0.52239999999999998"/>
    <n v="19"/>
    <n v="19"/>
    <s v="Thursday"/>
    <s v="colder"/>
    <n v="0"/>
    <x v="0"/>
  </r>
  <r>
    <d v="2011-07-15T00:00:00"/>
    <n v="1"/>
    <n v="0"/>
    <n v="1"/>
    <n v="10"/>
    <b v="0"/>
    <n v="0"/>
    <n v="1"/>
    <n v="0.14000000000000001"/>
    <n v="0.1061"/>
    <n v="0.43"/>
    <n v="0.3881"/>
    <n v="49"/>
    <n v="49"/>
    <s v="Friday"/>
    <s v="colder"/>
    <n v="0"/>
    <x v="0"/>
  </r>
  <r>
    <d v="2011-07-16T00:00:00"/>
    <n v="1"/>
    <n v="0"/>
    <n v="1"/>
    <n v="11"/>
    <b v="0"/>
    <n v="0"/>
    <n v="1"/>
    <n v="0.16"/>
    <n v="0.1212"/>
    <n v="0.4"/>
    <n v="0.52239999999999998"/>
    <n v="47"/>
    <n v="49"/>
    <s v="Saturday"/>
    <s v="colder"/>
    <n v="2"/>
    <x v="0"/>
  </r>
  <r>
    <d v="2011-07-17T00:00:00"/>
    <n v="1"/>
    <n v="0"/>
    <n v="1"/>
    <n v="12"/>
    <b v="0"/>
    <n v="0"/>
    <n v="1"/>
    <n v="0.18"/>
    <n v="0.13639999999999999"/>
    <n v="0.37"/>
    <n v="0.44779999999999998"/>
    <n v="79"/>
    <n v="83"/>
    <s v="Sunday"/>
    <s v="colder"/>
    <n v="4"/>
    <x v="0"/>
  </r>
  <r>
    <d v="2011-07-18T00:00:00"/>
    <n v="1"/>
    <n v="0"/>
    <n v="1"/>
    <n v="13"/>
    <b v="0"/>
    <n v="0"/>
    <n v="1"/>
    <n v="0.2"/>
    <n v="0.16669999999999999"/>
    <n v="0.34"/>
    <n v="0.44779999999999998"/>
    <n v="69"/>
    <n v="75"/>
    <s v="Monday"/>
    <s v="colder"/>
    <n v="6"/>
    <x v="0"/>
  </r>
  <r>
    <d v="2011-07-19T00:00:00"/>
    <n v="1"/>
    <n v="0"/>
    <n v="1"/>
    <n v="14"/>
    <b v="0"/>
    <n v="0"/>
    <n v="1"/>
    <n v="0.22"/>
    <n v="0.18179999999999999"/>
    <n v="0.32"/>
    <n v="0.4627"/>
    <n v="64"/>
    <n v="72"/>
    <s v="Tuesday"/>
    <s v="colder"/>
    <n v="8"/>
    <x v="0"/>
  </r>
  <r>
    <d v="2011-07-20T00:00:00"/>
    <n v="1"/>
    <n v="0"/>
    <n v="1"/>
    <n v="15"/>
    <b v="0"/>
    <n v="0"/>
    <n v="1"/>
    <n v="0.22"/>
    <n v="0.19700000000000001"/>
    <n v="0.35"/>
    <n v="0.35820000000000002"/>
    <n v="77"/>
    <n v="82"/>
    <s v="Wednesday"/>
    <s v="colder"/>
    <n v="5"/>
    <x v="0"/>
  </r>
  <r>
    <d v="2011-07-21T00:00:00"/>
    <n v="1"/>
    <n v="0"/>
    <n v="1"/>
    <n v="16"/>
    <b v="0"/>
    <n v="0"/>
    <n v="1"/>
    <n v="0.2"/>
    <n v="0.16669999999999999"/>
    <n v="0.34"/>
    <n v="0.44779999999999998"/>
    <n v="79"/>
    <n v="92"/>
    <s v="Thursday"/>
    <s v="colder"/>
    <n v="13"/>
    <x v="0"/>
  </r>
  <r>
    <d v="2011-07-22T00:00:00"/>
    <n v="1"/>
    <n v="0"/>
    <n v="1"/>
    <n v="17"/>
    <b v="0"/>
    <n v="0"/>
    <n v="1"/>
    <n v="0.18"/>
    <n v="0.1515"/>
    <n v="0.37"/>
    <n v="0.3881"/>
    <n v="59"/>
    <n v="62"/>
    <s v="Friday"/>
    <s v="colder"/>
    <n v="3"/>
    <x v="0"/>
  </r>
  <r>
    <d v="2011-07-23T00:00:00"/>
    <n v="1"/>
    <n v="0"/>
    <n v="1"/>
    <n v="18"/>
    <b v="0"/>
    <n v="0"/>
    <n v="1"/>
    <n v="0.16"/>
    <n v="0.13639999999999999"/>
    <n v="0.4"/>
    <n v="0.32840000000000003"/>
    <n v="44"/>
    <n v="48"/>
    <s v="Saturday"/>
    <s v="colder"/>
    <n v="4"/>
    <x v="0"/>
  </r>
  <r>
    <d v="2011-07-24T00:00:00"/>
    <n v="1"/>
    <n v="0"/>
    <n v="1"/>
    <n v="19"/>
    <b v="0"/>
    <n v="0"/>
    <n v="1"/>
    <n v="0.16"/>
    <n v="0.13639999999999999"/>
    <n v="0.43"/>
    <n v="0.32840000000000003"/>
    <n v="40"/>
    <n v="41"/>
    <s v="Sunday"/>
    <s v="colder"/>
    <n v="1"/>
    <x v="0"/>
  </r>
  <r>
    <d v="2011-07-25T00:00:00"/>
    <n v="1"/>
    <n v="0"/>
    <n v="1"/>
    <n v="20"/>
    <b v="0"/>
    <n v="0"/>
    <n v="1"/>
    <n v="0.14000000000000001"/>
    <n v="0.1212"/>
    <n v="0.46"/>
    <n v="0.25369999999999998"/>
    <n v="38"/>
    <n v="38"/>
    <s v="Monday"/>
    <s v="colder"/>
    <n v="0"/>
    <x v="0"/>
  </r>
  <r>
    <d v="2011-07-26T00:00:00"/>
    <n v="1"/>
    <n v="0"/>
    <n v="1"/>
    <n v="21"/>
    <b v="0"/>
    <n v="0"/>
    <n v="1"/>
    <n v="0.14000000000000001"/>
    <n v="0.1061"/>
    <n v="0.46"/>
    <n v="0.41789999999999999"/>
    <n v="19"/>
    <n v="20"/>
    <s v="Tuesday"/>
    <s v="colder"/>
    <n v="1"/>
    <x v="0"/>
  </r>
  <r>
    <d v="2011-07-27T00:00:00"/>
    <n v="1"/>
    <n v="0"/>
    <n v="1"/>
    <n v="22"/>
    <b v="0"/>
    <n v="0"/>
    <n v="1"/>
    <n v="0.14000000000000001"/>
    <n v="0.1212"/>
    <n v="0.46"/>
    <n v="0.29849999999999999"/>
    <n v="10"/>
    <n v="15"/>
    <s v="Wednesday"/>
    <s v="colder"/>
    <n v="5"/>
    <x v="0"/>
  </r>
  <r>
    <d v="2011-07-28T00:00:00"/>
    <n v="1"/>
    <n v="0"/>
    <n v="1"/>
    <n v="23"/>
    <b v="0"/>
    <n v="0"/>
    <n v="1"/>
    <n v="0.12"/>
    <n v="0.13639999999999999"/>
    <n v="0.5"/>
    <n v="0.19400000000000001"/>
    <n v="6"/>
    <n v="6"/>
    <s v="Thursday"/>
    <s v="colder"/>
    <n v="0"/>
    <x v="0"/>
  </r>
  <r>
    <d v="2011-07-29T00:00:00"/>
    <n v="1"/>
    <n v="0"/>
    <n v="1"/>
    <n v="0"/>
    <b v="0"/>
    <n v="1"/>
    <n v="1"/>
    <n v="0.12"/>
    <n v="0.1212"/>
    <n v="0.5"/>
    <n v="0.28360000000000002"/>
    <n v="3"/>
    <n v="5"/>
    <s v="Friday"/>
    <s v="colder"/>
    <n v="2"/>
    <x v="0"/>
  </r>
  <r>
    <d v="2011-07-30T00:00:00"/>
    <n v="1"/>
    <n v="0"/>
    <n v="1"/>
    <n v="1"/>
    <b v="0"/>
    <n v="1"/>
    <n v="1"/>
    <n v="0.12"/>
    <n v="0.1212"/>
    <n v="0.5"/>
    <n v="0.28360000000000002"/>
    <n v="0"/>
    <n v="1"/>
    <s v="Saturday"/>
    <s v="colder"/>
    <n v="1"/>
    <x v="0"/>
  </r>
  <r>
    <d v="2011-07-31T00:00:00"/>
    <n v="1"/>
    <n v="0"/>
    <n v="1"/>
    <n v="2"/>
    <b v="0"/>
    <n v="1"/>
    <n v="1"/>
    <n v="0.12"/>
    <n v="0.1212"/>
    <n v="0.5"/>
    <n v="0.22389999999999999"/>
    <n v="3"/>
    <n v="3"/>
    <s v="Sunday"/>
    <s v="colder"/>
    <n v="0"/>
    <x v="0"/>
  </r>
  <r>
    <d v="2011-08-01T00:00:00"/>
    <n v="1"/>
    <n v="0"/>
    <n v="1"/>
    <n v="3"/>
    <b v="0"/>
    <n v="1"/>
    <n v="1"/>
    <n v="0.12"/>
    <n v="0.1212"/>
    <n v="0.5"/>
    <n v="0.22389999999999999"/>
    <n v="1"/>
    <n v="1"/>
    <s v="Monday"/>
    <s v="colder"/>
    <n v="0"/>
    <x v="0"/>
  </r>
  <r>
    <d v="2011-08-02T00:00:00"/>
    <n v="1"/>
    <n v="0"/>
    <n v="1"/>
    <n v="4"/>
    <b v="0"/>
    <n v="1"/>
    <n v="1"/>
    <n v="0.1"/>
    <n v="0.1212"/>
    <n v="0.54"/>
    <n v="0.1343"/>
    <n v="2"/>
    <n v="3"/>
    <s v="Tuesday"/>
    <s v="colder"/>
    <n v="1"/>
    <x v="0"/>
  </r>
  <r>
    <d v="2011-08-03T00:00:00"/>
    <n v="1"/>
    <n v="0"/>
    <n v="1"/>
    <n v="5"/>
    <b v="0"/>
    <n v="1"/>
    <n v="1"/>
    <n v="0.1"/>
    <n v="0.1061"/>
    <n v="0.54"/>
    <n v="0.25369999999999998"/>
    <n v="3"/>
    <n v="3"/>
    <s v="Wednesday"/>
    <s v="colder"/>
    <n v="0"/>
    <x v="0"/>
  </r>
  <r>
    <d v="2011-08-04T00:00:00"/>
    <n v="1"/>
    <n v="0"/>
    <n v="1"/>
    <n v="6"/>
    <b v="0"/>
    <n v="1"/>
    <n v="1"/>
    <n v="0.12"/>
    <n v="0.1212"/>
    <n v="0.5"/>
    <n v="0.28360000000000002"/>
    <n v="31"/>
    <n v="31"/>
    <s v="Thursday"/>
    <s v="colder"/>
    <n v="0"/>
    <x v="0"/>
  </r>
  <r>
    <d v="2011-08-05T00:00:00"/>
    <n v="1"/>
    <n v="0"/>
    <n v="1"/>
    <n v="7"/>
    <b v="0"/>
    <n v="1"/>
    <n v="1"/>
    <n v="0.12"/>
    <n v="0.1212"/>
    <n v="0.5"/>
    <n v="0.22389999999999999"/>
    <n v="75"/>
    <n v="77"/>
    <s v="Friday"/>
    <s v="colder"/>
    <n v="2"/>
    <x v="0"/>
  </r>
  <r>
    <d v="2011-08-06T00:00:00"/>
    <n v="1"/>
    <n v="0"/>
    <n v="1"/>
    <n v="8"/>
    <b v="0"/>
    <n v="1"/>
    <n v="2"/>
    <n v="0.12"/>
    <n v="0.1212"/>
    <n v="0.5"/>
    <n v="0.28360000000000002"/>
    <n v="184"/>
    <n v="188"/>
    <s v="Saturday"/>
    <s v="colder"/>
    <n v="4"/>
    <x v="1"/>
  </r>
  <r>
    <d v="2011-08-07T00:00:00"/>
    <n v="1"/>
    <n v="0"/>
    <n v="1"/>
    <n v="9"/>
    <b v="0"/>
    <n v="1"/>
    <n v="2"/>
    <n v="0.14000000000000001"/>
    <n v="0.1212"/>
    <n v="0.5"/>
    <n v="0.25369999999999998"/>
    <n v="92"/>
    <n v="94"/>
    <s v="Sunday"/>
    <s v="colder"/>
    <n v="2"/>
    <x v="1"/>
  </r>
  <r>
    <d v="2011-08-08T00:00:00"/>
    <n v="1"/>
    <n v="0"/>
    <n v="1"/>
    <n v="10"/>
    <b v="0"/>
    <n v="1"/>
    <n v="2"/>
    <n v="0.14000000000000001"/>
    <n v="0.1212"/>
    <n v="0.5"/>
    <n v="0.29849999999999999"/>
    <n v="31"/>
    <n v="31"/>
    <s v="Monday"/>
    <s v="colder"/>
    <n v="0"/>
    <x v="1"/>
  </r>
  <r>
    <d v="2011-08-09T00:00:00"/>
    <n v="1"/>
    <n v="0"/>
    <n v="1"/>
    <n v="11"/>
    <b v="0"/>
    <n v="1"/>
    <n v="2"/>
    <n v="0.16"/>
    <n v="0.13639999999999999"/>
    <n v="0.47"/>
    <n v="0.28360000000000002"/>
    <n v="28"/>
    <n v="30"/>
    <s v="Tuesday"/>
    <s v="colder"/>
    <n v="2"/>
    <x v="1"/>
  </r>
  <r>
    <d v="2011-08-10T00:00:00"/>
    <n v="1"/>
    <n v="0"/>
    <n v="1"/>
    <n v="12"/>
    <b v="0"/>
    <n v="1"/>
    <n v="2"/>
    <n v="0.2"/>
    <n v="0.18179999999999999"/>
    <n v="0.4"/>
    <n v="0.28360000000000002"/>
    <n v="47"/>
    <n v="52"/>
    <s v="Wednesday"/>
    <s v="colder"/>
    <n v="5"/>
    <x v="1"/>
  </r>
  <r>
    <d v="2011-08-11T00:00:00"/>
    <n v="1"/>
    <n v="0"/>
    <n v="1"/>
    <n v="13"/>
    <b v="0"/>
    <n v="1"/>
    <n v="2"/>
    <n v="0.2"/>
    <n v="0.18179999999999999"/>
    <n v="0.4"/>
    <n v="0.28360000000000002"/>
    <n v="50"/>
    <n v="54"/>
    <s v="Thursday"/>
    <s v="colder"/>
    <n v="4"/>
    <x v="1"/>
  </r>
  <r>
    <d v="2011-08-12T00:00:00"/>
    <n v="1"/>
    <n v="0"/>
    <n v="1"/>
    <n v="14"/>
    <b v="0"/>
    <n v="1"/>
    <n v="2"/>
    <n v="0.2"/>
    <n v="0.19700000000000001"/>
    <n v="0.4"/>
    <n v="0.22389999999999999"/>
    <n v="47"/>
    <n v="47"/>
    <s v="Friday"/>
    <s v="colder"/>
    <n v="0"/>
    <x v="1"/>
  </r>
  <r>
    <d v="2011-08-13T00:00:00"/>
    <n v="1"/>
    <n v="0"/>
    <n v="1"/>
    <n v="15"/>
    <b v="0"/>
    <n v="1"/>
    <n v="2"/>
    <n v="0.2"/>
    <n v="0.19700000000000001"/>
    <n v="0.4"/>
    <n v="0.22389999999999999"/>
    <n v="43"/>
    <n v="45"/>
    <s v="Saturday"/>
    <s v="colder"/>
    <n v="2"/>
    <x v="1"/>
  </r>
  <r>
    <d v="2011-08-14T00:00:00"/>
    <n v="1"/>
    <n v="0"/>
    <n v="1"/>
    <n v="16"/>
    <b v="0"/>
    <n v="1"/>
    <n v="1"/>
    <n v="0.2"/>
    <n v="0.21210000000000001"/>
    <n v="0.4"/>
    <n v="0.1343"/>
    <n v="70"/>
    <n v="74"/>
    <s v="Sunday"/>
    <s v="colder"/>
    <n v="4"/>
    <x v="0"/>
  </r>
  <r>
    <d v="2011-08-15T00:00:00"/>
    <n v="1"/>
    <n v="0"/>
    <n v="1"/>
    <n v="17"/>
    <b v="0"/>
    <n v="1"/>
    <n v="1"/>
    <n v="0.2"/>
    <n v="0.2273"/>
    <n v="0.4"/>
    <n v="0.1045"/>
    <n v="174"/>
    <n v="178"/>
    <s v="Monday"/>
    <s v="colder"/>
    <n v="4"/>
    <x v="0"/>
  </r>
  <r>
    <d v="2011-08-16T00:00:00"/>
    <n v="1"/>
    <n v="0"/>
    <n v="1"/>
    <n v="18"/>
    <b v="0"/>
    <n v="1"/>
    <n v="1"/>
    <n v="0.2"/>
    <n v="0.19700000000000001"/>
    <n v="0.4"/>
    <n v="0.22389999999999999"/>
    <n v="154"/>
    <n v="155"/>
    <s v="Tuesday"/>
    <s v="colder"/>
    <n v="1"/>
    <x v="0"/>
  </r>
  <r>
    <d v="2011-08-17T00:00:00"/>
    <n v="1"/>
    <n v="0"/>
    <n v="1"/>
    <n v="19"/>
    <b v="0"/>
    <n v="1"/>
    <n v="1"/>
    <n v="0.16"/>
    <n v="0.16669999999999999"/>
    <n v="0.47"/>
    <n v="0.16420000000000001"/>
    <n v="92"/>
    <n v="95"/>
    <s v="Wednesday"/>
    <s v="colder"/>
    <n v="3"/>
    <x v="0"/>
  </r>
  <r>
    <d v="2011-08-18T00:00:00"/>
    <n v="1"/>
    <n v="0"/>
    <n v="1"/>
    <n v="20"/>
    <b v="0"/>
    <n v="1"/>
    <n v="1"/>
    <n v="0.16"/>
    <n v="0.16669999999999999"/>
    <n v="0.5"/>
    <n v="0.16420000000000001"/>
    <n v="73"/>
    <n v="74"/>
    <s v="Thursday"/>
    <s v="colder"/>
    <n v="1"/>
    <x v="0"/>
  </r>
  <r>
    <d v="2011-08-19T00:00:00"/>
    <n v="1"/>
    <n v="0"/>
    <n v="1"/>
    <n v="21"/>
    <b v="0"/>
    <n v="1"/>
    <n v="1"/>
    <n v="0.14000000000000001"/>
    <n v="0.13639999999999999"/>
    <n v="0.59"/>
    <n v="0.19400000000000001"/>
    <n v="37"/>
    <n v="38"/>
    <s v="Friday"/>
    <s v="colder"/>
    <n v="1"/>
    <x v="0"/>
  </r>
  <r>
    <d v="2011-08-20T00:00:00"/>
    <n v="1"/>
    <n v="0"/>
    <n v="1"/>
    <n v="22"/>
    <b v="0"/>
    <n v="1"/>
    <n v="1"/>
    <n v="0.14000000000000001"/>
    <n v="0.1515"/>
    <n v="0.59"/>
    <n v="0.16420000000000001"/>
    <n v="22"/>
    <n v="24"/>
    <s v="Saturday"/>
    <s v="colder"/>
    <n v="2"/>
    <x v="0"/>
  </r>
  <r>
    <d v="2011-08-21T00:00:00"/>
    <n v="1"/>
    <n v="0"/>
    <n v="1"/>
    <n v="23"/>
    <b v="0"/>
    <n v="1"/>
    <n v="1"/>
    <n v="0.14000000000000001"/>
    <n v="0.1515"/>
    <n v="0.59"/>
    <n v="0.16420000000000001"/>
    <n v="18"/>
    <n v="18"/>
    <s v="Sunday"/>
    <s v="colder"/>
    <n v="0"/>
    <x v="0"/>
  </r>
  <r>
    <d v="2011-08-22T00:00:00"/>
    <n v="1"/>
    <n v="0"/>
    <n v="1"/>
    <n v="0"/>
    <b v="0"/>
    <n v="2"/>
    <n v="1"/>
    <n v="0.14000000000000001"/>
    <n v="0.16669999999999999"/>
    <n v="0.59"/>
    <n v="0.1045"/>
    <n v="10"/>
    <n v="12"/>
    <s v="Monday"/>
    <s v="colder"/>
    <n v="2"/>
    <x v="0"/>
  </r>
  <r>
    <d v="2011-08-23T00:00:00"/>
    <n v="1"/>
    <n v="0"/>
    <n v="1"/>
    <n v="1"/>
    <b v="0"/>
    <n v="2"/>
    <n v="1"/>
    <n v="0.14000000000000001"/>
    <n v="0.1515"/>
    <n v="0.59"/>
    <n v="0.16420000000000001"/>
    <n v="3"/>
    <n v="3"/>
    <s v="Tuesday"/>
    <s v="colder"/>
    <n v="0"/>
    <x v="0"/>
  </r>
  <r>
    <d v="2011-08-24T00:00:00"/>
    <n v="1"/>
    <n v="0"/>
    <n v="1"/>
    <n v="2"/>
    <b v="0"/>
    <n v="2"/>
    <n v="2"/>
    <n v="0.16"/>
    <n v="0.1515"/>
    <n v="0.55000000000000004"/>
    <n v="0.19400000000000001"/>
    <n v="3"/>
    <n v="3"/>
    <s v="Wednesday"/>
    <s v="colder"/>
    <n v="0"/>
    <x v="1"/>
  </r>
  <r>
    <d v="2011-08-25T00:00:00"/>
    <n v="1"/>
    <n v="0"/>
    <n v="1"/>
    <n v="5"/>
    <b v="0"/>
    <n v="2"/>
    <n v="2"/>
    <n v="0.16"/>
    <n v="0.18179999999999999"/>
    <n v="0.55000000000000004"/>
    <n v="0.1343"/>
    <n v="6"/>
    <n v="6"/>
    <s v="Thursday"/>
    <s v="colder"/>
    <n v="0"/>
    <x v="1"/>
  </r>
  <r>
    <d v="2011-08-26T00:00:00"/>
    <n v="1"/>
    <n v="0"/>
    <n v="1"/>
    <n v="6"/>
    <b v="0"/>
    <n v="2"/>
    <n v="2"/>
    <n v="0.16"/>
    <n v="0.18179999999999999"/>
    <n v="0.55000000000000004"/>
    <n v="0.1343"/>
    <n v="27"/>
    <n v="27"/>
    <s v="Friday"/>
    <s v="colder"/>
    <n v="0"/>
    <x v="1"/>
  </r>
  <r>
    <d v="2011-08-27T00:00:00"/>
    <n v="1"/>
    <n v="0"/>
    <n v="1"/>
    <n v="7"/>
    <b v="0"/>
    <n v="2"/>
    <n v="2"/>
    <n v="0.16"/>
    <n v="0.2273"/>
    <n v="0.55000000000000004"/>
    <n v="0"/>
    <n v="97"/>
    <n v="99"/>
    <s v="Saturday"/>
    <s v="colder"/>
    <n v="2"/>
    <x v="1"/>
  </r>
  <r>
    <d v="2011-08-28T00:00:00"/>
    <n v="1"/>
    <n v="0"/>
    <n v="1"/>
    <n v="8"/>
    <b v="0"/>
    <n v="2"/>
    <n v="2"/>
    <n v="0.18"/>
    <n v="0.21210000000000001"/>
    <n v="0.51"/>
    <n v="8.9599999999999999E-2"/>
    <n v="214"/>
    <n v="217"/>
    <s v="Sunday"/>
    <s v="colder"/>
    <n v="3"/>
    <x v="1"/>
  </r>
  <r>
    <d v="2011-08-29T00:00:00"/>
    <n v="1"/>
    <n v="0"/>
    <n v="1"/>
    <n v="9"/>
    <b v="0"/>
    <n v="2"/>
    <n v="2"/>
    <n v="0.18"/>
    <n v="0.19700000000000001"/>
    <n v="0.51"/>
    <n v="0.16420000000000001"/>
    <n v="127"/>
    <n v="130"/>
    <s v="Monday"/>
    <s v="colder"/>
    <n v="3"/>
    <x v="1"/>
  </r>
  <r>
    <d v="2011-08-30T00:00:00"/>
    <n v="1"/>
    <n v="0"/>
    <n v="1"/>
    <n v="10"/>
    <b v="0"/>
    <n v="2"/>
    <n v="2"/>
    <n v="0.2"/>
    <n v="0.21210000000000001"/>
    <n v="0.51"/>
    <n v="0.16420000000000001"/>
    <n v="51"/>
    <n v="54"/>
    <s v="Tuesday"/>
    <s v="colder"/>
    <n v="3"/>
    <x v="1"/>
  </r>
  <r>
    <d v="2011-08-31T00:00:00"/>
    <n v="1"/>
    <n v="0"/>
    <n v="1"/>
    <n v="11"/>
    <b v="0"/>
    <n v="2"/>
    <n v="2"/>
    <n v="0.2"/>
    <n v="0.21210000000000001"/>
    <n v="0.47"/>
    <n v="0.1343"/>
    <n v="31"/>
    <n v="35"/>
    <s v="Wednesday"/>
    <s v="colder"/>
    <n v="4"/>
    <x v="1"/>
  </r>
  <r>
    <d v="2011-09-01T00:00:00"/>
    <n v="1"/>
    <n v="0"/>
    <n v="1"/>
    <n v="12"/>
    <b v="0"/>
    <n v="2"/>
    <n v="2"/>
    <n v="0.2"/>
    <n v="0.2273"/>
    <n v="0.51"/>
    <n v="0.1045"/>
    <n v="55"/>
    <n v="57"/>
    <s v="Thursday"/>
    <s v="colder"/>
    <n v="2"/>
    <x v="1"/>
  </r>
  <r>
    <d v="2011-09-02T00:00:00"/>
    <n v="1"/>
    <n v="0"/>
    <n v="1"/>
    <n v="13"/>
    <b v="0"/>
    <n v="2"/>
    <n v="2"/>
    <n v="0.2"/>
    <n v="0.2273"/>
    <n v="0.59"/>
    <n v="8.9599999999999999E-2"/>
    <n v="46"/>
    <n v="52"/>
    <s v="Friday"/>
    <s v="colder"/>
    <n v="6"/>
    <x v="1"/>
  </r>
  <r>
    <d v="2011-09-03T00:00:00"/>
    <n v="1"/>
    <n v="0"/>
    <n v="1"/>
    <n v="14"/>
    <b v="0"/>
    <n v="2"/>
    <n v="2"/>
    <n v="0.2"/>
    <n v="0.2273"/>
    <n v="0.59"/>
    <n v="8.9599999999999999E-2"/>
    <n v="60"/>
    <n v="63"/>
    <s v="Saturday"/>
    <s v="colder"/>
    <n v="3"/>
    <x v="1"/>
  </r>
  <r>
    <d v="2011-09-04T00:00:00"/>
    <n v="1"/>
    <n v="0"/>
    <n v="1"/>
    <n v="15"/>
    <b v="0"/>
    <n v="2"/>
    <n v="2"/>
    <n v="0.16"/>
    <n v="0.19700000000000001"/>
    <n v="0.8"/>
    <n v="8.9599999999999999E-2"/>
    <n v="45"/>
    <n v="47"/>
    <s v="Sunday"/>
    <s v="colder"/>
    <n v="2"/>
    <x v="1"/>
  </r>
  <r>
    <d v="2011-09-05T00:00:00"/>
    <n v="1"/>
    <n v="0"/>
    <n v="1"/>
    <n v="16"/>
    <b v="0"/>
    <n v="2"/>
    <n v="2"/>
    <n v="0.16"/>
    <n v="0.1515"/>
    <n v="0.86"/>
    <n v="0.22389999999999999"/>
    <n v="72"/>
    <n v="76"/>
    <s v="Monday"/>
    <s v="colder"/>
    <n v="4"/>
    <x v="1"/>
  </r>
  <r>
    <d v="2011-09-06T00:00:00"/>
    <n v="1"/>
    <n v="0"/>
    <n v="1"/>
    <n v="17"/>
    <b v="0"/>
    <n v="2"/>
    <n v="2"/>
    <n v="0.16"/>
    <n v="0.1515"/>
    <n v="0.86"/>
    <n v="0.22389999999999999"/>
    <n v="130"/>
    <n v="136"/>
    <s v="Tuesday"/>
    <s v="colder"/>
    <n v="6"/>
    <x v="1"/>
  </r>
  <r>
    <d v="2011-09-07T00:00:00"/>
    <n v="1"/>
    <n v="0"/>
    <n v="1"/>
    <n v="18"/>
    <b v="0"/>
    <n v="2"/>
    <n v="3"/>
    <n v="0.16"/>
    <n v="0.18179999999999999"/>
    <n v="0.93"/>
    <n v="0.1045"/>
    <n v="94"/>
    <n v="95"/>
    <s v="Wednesday"/>
    <s v="colder"/>
    <n v="1"/>
    <x v="2"/>
  </r>
  <r>
    <d v="2011-09-08T00:00:00"/>
    <n v="1"/>
    <n v="0"/>
    <n v="1"/>
    <n v="19"/>
    <b v="0"/>
    <n v="2"/>
    <n v="3"/>
    <n v="0.16"/>
    <n v="0.2273"/>
    <n v="0.93"/>
    <n v="0"/>
    <n v="51"/>
    <n v="51"/>
    <s v="Thursday"/>
    <s v="colder"/>
    <n v="0"/>
    <x v="2"/>
  </r>
  <r>
    <d v="2011-09-09T00:00:00"/>
    <n v="1"/>
    <n v="0"/>
    <n v="1"/>
    <n v="20"/>
    <b v="0"/>
    <n v="2"/>
    <n v="3"/>
    <n v="0.16"/>
    <n v="0.1515"/>
    <n v="0.93"/>
    <n v="0.19400000000000001"/>
    <n v="32"/>
    <n v="32"/>
    <s v="Friday"/>
    <s v="colder"/>
    <n v="0"/>
    <x v="2"/>
  </r>
  <r>
    <d v="2011-09-10T00:00:00"/>
    <n v="1"/>
    <n v="0"/>
    <n v="1"/>
    <n v="21"/>
    <b v="0"/>
    <n v="2"/>
    <n v="3"/>
    <n v="0.16"/>
    <n v="0.19700000000000001"/>
    <n v="0.86"/>
    <n v="8.9599999999999999E-2"/>
    <n v="20"/>
    <n v="20"/>
    <s v="Saturday"/>
    <s v="colder"/>
    <n v="0"/>
    <x v="2"/>
  </r>
  <r>
    <d v="2011-09-11T00:00:00"/>
    <n v="1"/>
    <n v="0"/>
    <n v="1"/>
    <n v="22"/>
    <b v="0"/>
    <n v="2"/>
    <n v="3"/>
    <n v="0.16"/>
    <n v="0.18179999999999999"/>
    <n v="0.93"/>
    <n v="0.1045"/>
    <n v="28"/>
    <n v="29"/>
    <s v="Sunday"/>
    <s v="colder"/>
    <n v="1"/>
    <x v="2"/>
  </r>
  <r>
    <d v="2011-09-12T00:00:00"/>
    <n v="1"/>
    <n v="0"/>
    <n v="1"/>
    <n v="23"/>
    <b v="0"/>
    <n v="2"/>
    <n v="3"/>
    <n v="0.16"/>
    <n v="0.19700000000000001"/>
    <n v="0.93"/>
    <n v="8.9599999999999999E-2"/>
    <n v="18"/>
    <n v="19"/>
    <s v="Monday"/>
    <s v="colder"/>
    <n v="1"/>
    <x v="2"/>
  </r>
  <r>
    <d v="2011-09-13T00:00:00"/>
    <n v="1"/>
    <n v="0"/>
    <n v="1"/>
    <n v="0"/>
    <b v="0"/>
    <n v="3"/>
    <n v="2"/>
    <n v="0.16"/>
    <n v="0.19700000000000001"/>
    <n v="0.86"/>
    <n v="8.9599999999999999E-2"/>
    <n v="7"/>
    <n v="7"/>
    <s v="Tuesday"/>
    <s v="colder"/>
    <n v="0"/>
    <x v="1"/>
  </r>
  <r>
    <d v="2011-09-14T00:00:00"/>
    <n v="1"/>
    <n v="0"/>
    <n v="1"/>
    <n v="1"/>
    <b v="0"/>
    <n v="3"/>
    <n v="2"/>
    <n v="0.16"/>
    <n v="0.18179999999999999"/>
    <n v="0.86"/>
    <n v="0.1045"/>
    <n v="6"/>
    <n v="6"/>
    <s v="Wednesday"/>
    <s v="colder"/>
    <n v="0"/>
    <x v="1"/>
  </r>
  <r>
    <d v="2011-09-15T00:00:00"/>
    <n v="1"/>
    <n v="0"/>
    <n v="1"/>
    <n v="2"/>
    <b v="0"/>
    <n v="3"/>
    <n v="1"/>
    <n v="0.14000000000000001"/>
    <n v="0.1515"/>
    <n v="0.86"/>
    <n v="0.1343"/>
    <n v="1"/>
    <n v="1"/>
    <s v="Thursday"/>
    <s v="colder"/>
    <n v="0"/>
    <x v="0"/>
  </r>
  <r>
    <d v="2011-09-16T00:00:00"/>
    <n v="1"/>
    <n v="0"/>
    <n v="1"/>
    <n v="5"/>
    <b v="0"/>
    <n v="3"/>
    <n v="1"/>
    <n v="0.14000000000000001"/>
    <n v="0.1515"/>
    <n v="0.86"/>
    <n v="0.16420000000000001"/>
    <n v="5"/>
    <n v="5"/>
    <s v="Friday"/>
    <s v="colder"/>
    <n v="0"/>
    <x v="0"/>
  </r>
  <r>
    <d v="2011-09-17T00:00:00"/>
    <n v="1"/>
    <n v="0"/>
    <n v="1"/>
    <n v="6"/>
    <b v="0"/>
    <n v="3"/>
    <n v="1"/>
    <n v="0.12"/>
    <n v="0.1515"/>
    <n v="0.93"/>
    <n v="0.1343"/>
    <n v="16"/>
    <n v="16"/>
    <s v="Saturday"/>
    <s v="colder"/>
    <n v="0"/>
    <x v="0"/>
  </r>
  <r>
    <d v="2011-09-18T00:00:00"/>
    <n v="1"/>
    <n v="0"/>
    <n v="1"/>
    <n v="7"/>
    <b v="0"/>
    <n v="3"/>
    <n v="1"/>
    <n v="0.14000000000000001"/>
    <n v="0.1515"/>
    <n v="0.69"/>
    <n v="0.1343"/>
    <n v="54"/>
    <n v="54"/>
    <s v="Sunday"/>
    <s v="colder"/>
    <n v="0"/>
    <x v="0"/>
  </r>
  <r>
    <d v="2011-09-19T00:00:00"/>
    <n v="1"/>
    <n v="0"/>
    <n v="1"/>
    <n v="8"/>
    <b v="0"/>
    <n v="3"/>
    <n v="1"/>
    <n v="0.16"/>
    <n v="0.16669999999999999"/>
    <n v="0.59"/>
    <n v="0.16420000000000001"/>
    <n v="125"/>
    <n v="128"/>
    <s v="Monday"/>
    <s v="colder"/>
    <n v="3"/>
    <x v="0"/>
  </r>
  <r>
    <d v="2011-09-20T00:00:00"/>
    <n v="1"/>
    <n v="0"/>
    <n v="1"/>
    <n v="9"/>
    <b v="0"/>
    <n v="3"/>
    <n v="1"/>
    <n v="0.16"/>
    <n v="0.13639999999999999"/>
    <n v="0.59"/>
    <n v="0.32840000000000003"/>
    <n v="78"/>
    <n v="81"/>
    <s v="Tuesday"/>
    <s v="colder"/>
    <n v="3"/>
    <x v="0"/>
  </r>
  <r>
    <d v="2011-09-21T00:00:00"/>
    <n v="1"/>
    <n v="0"/>
    <n v="1"/>
    <n v="10"/>
    <b v="0"/>
    <n v="3"/>
    <n v="1"/>
    <n v="0.18"/>
    <n v="0.18179999999999999"/>
    <n v="0.55000000000000004"/>
    <n v="0.22389999999999999"/>
    <n v="39"/>
    <n v="39"/>
    <s v="Wednesday"/>
    <s v="colder"/>
    <n v="0"/>
    <x v="0"/>
  </r>
  <r>
    <d v="2011-09-22T00:00:00"/>
    <n v="1"/>
    <n v="0"/>
    <n v="1"/>
    <n v="11"/>
    <b v="0"/>
    <n v="3"/>
    <n v="1"/>
    <n v="0.2"/>
    <n v="0.18179999999999999"/>
    <n v="0.51"/>
    <n v="0.3881"/>
    <n v="32"/>
    <n v="35"/>
    <s v="Thursday"/>
    <s v="colder"/>
    <n v="3"/>
    <x v="0"/>
  </r>
  <r>
    <d v="2011-09-23T00:00:00"/>
    <n v="1"/>
    <n v="0"/>
    <n v="1"/>
    <n v="12"/>
    <b v="0"/>
    <n v="3"/>
    <n v="1"/>
    <n v="0.2"/>
    <n v="0.1515"/>
    <n v="0.47"/>
    <n v="0.58209999999999995"/>
    <n v="52"/>
    <n v="55"/>
    <s v="Friday"/>
    <s v="colder"/>
    <n v="3"/>
    <x v="0"/>
  </r>
  <r>
    <d v="2011-09-24T00:00:00"/>
    <n v="1"/>
    <n v="0"/>
    <n v="1"/>
    <n v="13"/>
    <b v="0"/>
    <n v="3"/>
    <n v="1"/>
    <n v="0.22"/>
    <n v="0.19700000000000001"/>
    <n v="0.44"/>
    <n v="0.35820000000000002"/>
    <n v="49"/>
    <n v="49"/>
    <s v="Saturday"/>
    <s v="colder"/>
    <n v="0"/>
    <x v="0"/>
  </r>
  <r>
    <d v="2011-09-25T00:00:00"/>
    <n v="1"/>
    <n v="0"/>
    <n v="1"/>
    <n v="14"/>
    <b v="0"/>
    <n v="3"/>
    <n v="1"/>
    <n v="0.2"/>
    <n v="0.18179999999999999"/>
    <n v="0.47"/>
    <n v="0.32840000000000003"/>
    <n v="44"/>
    <n v="44"/>
    <s v="Sunday"/>
    <s v="colder"/>
    <n v="0"/>
    <x v="0"/>
  </r>
  <r>
    <d v="2011-09-26T00:00:00"/>
    <n v="1"/>
    <n v="0"/>
    <n v="1"/>
    <n v="15"/>
    <b v="0"/>
    <n v="3"/>
    <n v="1"/>
    <n v="0.2"/>
    <n v="0.16669999999999999"/>
    <n v="0.47"/>
    <n v="0.41789999999999999"/>
    <n v="48"/>
    <n v="49"/>
    <s v="Monday"/>
    <s v="colder"/>
    <n v="1"/>
    <x v="0"/>
  </r>
  <r>
    <d v="2011-09-27T00:00:00"/>
    <n v="1"/>
    <n v="0"/>
    <n v="1"/>
    <n v="16"/>
    <b v="0"/>
    <n v="3"/>
    <n v="1"/>
    <n v="0.22"/>
    <n v="0.19700000000000001"/>
    <n v="0.44"/>
    <n v="0.32840000000000003"/>
    <n v="63"/>
    <n v="68"/>
    <s v="Tuesday"/>
    <s v="colder"/>
    <n v="5"/>
    <x v="0"/>
  </r>
  <r>
    <d v="2011-09-28T00:00:00"/>
    <n v="1"/>
    <n v="0"/>
    <n v="1"/>
    <n v="17"/>
    <b v="0"/>
    <n v="3"/>
    <n v="1"/>
    <n v="0.2"/>
    <n v="0.18179999999999999"/>
    <n v="0.47"/>
    <n v="0.35820000000000002"/>
    <n v="139"/>
    <n v="139"/>
    <s v="Wednesday"/>
    <s v="colder"/>
    <n v="0"/>
    <x v="0"/>
  </r>
  <r>
    <d v="2011-09-29T00:00:00"/>
    <n v="1"/>
    <n v="0"/>
    <n v="1"/>
    <n v="18"/>
    <b v="0"/>
    <n v="3"/>
    <n v="1"/>
    <n v="0.2"/>
    <n v="0.1515"/>
    <n v="0.47"/>
    <n v="0.52239999999999998"/>
    <n v="135"/>
    <n v="137"/>
    <s v="Thursday"/>
    <s v="colder"/>
    <n v="2"/>
    <x v="0"/>
  </r>
  <r>
    <d v="2011-09-30T00:00:00"/>
    <n v="1"/>
    <n v="0"/>
    <n v="1"/>
    <n v="19"/>
    <b v="0"/>
    <n v="3"/>
    <n v="1"/>
    <n v="0.18"/>
    <n v="0.1515"/>
    <n v="0.47"/>
    <n v="0.41789999999999999"/>
    <n v="82"/>
    <n v="83"/>
    <s v="Friday"/>
    <s v="colder"/>
    <n v="1"/>
    <x v="0"/>
  </r>
  <r>
    <d v="2011-10-01T00:00:00"/>
    <n v="1"/>
    <n v="0"/>
    <n v="1"/>
    <n v="20"/>
    <b v="0"/>
    <n v="3"/>
    <n v="1"/>
    <n v="0.16"/>
    <n v="0.13639999999999999"/>
    <n v="0.5"/>
    <n v="0.32840000000000003"/>
    <n v="54"/>
    <n v="56"/>
    <s v="Saturday"/>
    <s v="colder"/>
    <n v="2"/>
    <x v="0"/>
  </r>
  <r>
    <d v="2011-10-02T00:00:00"/>
    <n v="1"/>
    <n v="0"/>
    <n v="1"/>
    <n v="21"/>
    <b v="0"/>
    <n v="3"/>
    <n v="1"/>
    <n v="0.16"/>
    <n v="0.13639999999999999"/>
    <n v="0.55000000000000004"/>
    <n v="0.32840000000000003"/>
    <n v="57"/>
    <n v="57"/>
    <s v="Sunday"/>
    <s v="colder"/>
    <n v="0"/>
    <x v="0"/>
  </r>
  <r>
    <d v="2011-10-03T00:00:00"/>
    <n v="1"/>
    <n v="0"/>
    <n v="1"/>
    <n v="22"/>
    <b v="0"/>
    <n v="3"/>
    <n v="1"/>
    <n v="0.16"/>
    <n v="0.1212"/>
    <n v="0.55000000000000004"/>
    <n v="0.44779999999999998"/>
    <n v="32"/>
    <n v="33"/>
    <s v="Monday"/>
    <s v="colder"/>
    <n v="1"/>
    <x v="0"/>
  </r>
  <r>
    <d v="2011-10-04T00:00:00"/>
    <n v="1"/>
    <n v="0"/>
    <n v="1"/>
    <n v="23"/>
    <b v="0"/>
    <n v="3"/>
    <n v="1"/>
    <n v="0.14000000000000001"/>
    <n v="0.1061"/>
    <n v="0.59"/>
    <n v="0.41789999999999999"/>
    <n v="19"/>
    <n v="20"/>
    <s v="Tuesday"/>
    <s v="colder"/>
    <n v="1"/>
    <x v="0"/>
  </r>
  <r>
    <d v="2011-10-05T00:00:00"/>
    <n v="1"/>
    <n v="0"/>
    <n v="1"/>
    <n v="0"/>
    <b v="0"/>
    <n v="4"/>
    <n v="1"/>
    <n v="0.14000000000000001"/>
    <n v="0.1212"/>
    <n v="0.59"/>
    <n v="0.28360000000000002"/>
    <n v="6"/>
    <n v="7"/>
    <s v="Wednesday"/>
    <s v="colder"/>
    <n v="1"/>
    <x v="0"/>
  </r>
  <r>
    <d v="2011-10-06T00:00:00"/>
    <n v="1"/>
    <n v="0"/>
    <n v="1"/>
    <n v="1"/>
    <b v="0"/>
    <n v="4"/>
    <n v="1"/>
    <n v="0.14000000000000001"/>
    <n v="0.1212"/>
    <n v="0.5"/>
    <n v="0.28360000000000002"/>
    <n v="2"/>
    <n v="2"/>
    <s v="Thursday"/>
    <s v="colder"/>
    <n v="0"/>
    <x v="0"/>
  </r>
  <r>
    <d v="2011-10-07T00:00:00"/>
    <n v="1"/>
    <n v="0"/>
    <n v="1"/>
    <n v="2"/>
    <b v="0"/>
    <n v="4"/>
    <n v="1"/>
    <n v="0.14000000000000001"/>
    <n v="0.1212"/>
    <n v="0.5"/>
    <n v="0.35820000000000002"/>
    <n v="2"/>
    <n v="2"/>
    <s v="Friday"/>
    <s v="colder"/>
    <n v="0"/>
    <x v="0"/>
  </r>
  <r>
    <d v="2011-10-08T00:00:00"/>
    <n v="1"/>
    <n v="0"/>
    <n v="1"/>
    <n v="3"/>
    <b v="0"/>
    <n v="4"/>
    <n v="1"/>
    <n v="0.14000000000000001"/>
    <n v="0.1212"/>
    <n v="0.5"/>
    <n v="0.32840000000000003"/>
    <n v="3"/>
    <n v="3"/>
    <s v="Saturday"/>
    <s v="colder"/>
    <n v="0"/>
    <x v="0"/>
  </r>
  <r>
    <d v="2011-10-09T00:00:00"/>
    <n v="1"/>
    <n v="0"/>
    <n v="1"/>
    <n v="4"/>
    <b v="0"/>
    <n v="4"/>
    <n v="1"/>
    <n v="0.14000000000000001"/>
    <n v="0.1212"/>
    <n v="0.5"/>
    <n v="0.25369999999999998"/>
    <n v="4"/>
    <n v="4"/>
    <s v="Sunday"/>
    <s v="colder"/>
    <n v="0"/>
    <x v="0"/>
  </r>
  <r>
    <d v="2011-10-10T00:00:00"/>
    <n v="1"/>
    <n v="0"/>
    <n v="1"/>
    <n v="5"/>
    <b v="0"/>
    <n v="4"/>
    <n v="1"/>
    <n v="0.14000000000000001"/>
    <n v="0.1212"/>
    <n v="0.5"/>
    <n v="0.29849999999999999"/>
    <n v="3"/>
    <n v="3"/>
    <s v="Monday"/>
    <s v="colder"/>
    <n v="0"/>
    <x v="0"/>
  </r>
  <r>
    <d v="2011-10-11T00:00:00"/>
    <n v="1"/>
    <n v="0"/>
    <n v="1"/>
    <n v="6"/>
    <b v="0"/>
    <n v="4"/>
    <n v="1"/>
    <n v="0.12"/>
    <n v="0.1515"/>
    <n v="0.54"/>
    <n v="0.1343"/>
    <n v="28"/>
    <n v="28"/>
    <s v="Tuesday"/>
    <s v="colder"/>
    <n v="0"/>
    <x v="0"/>
  </r>
  <r>
    <d v="2011-10-12T00:00:00"/>
    <n v="1"/>
    <n v="0"/>
    <n v="1"/>
    <n v="7"/>
    <b v="0"/>
    <n v="4"/>
    <n v="1"/>
    <n v="0.12"/>
    <n v="0.1515"/>
    <n v="0.54"/>
    <n v="0.1343"/>
    <n v="72"/>
    <n v="72"/>
    <s v="Wednesday"/>
    <s v="colder"/>
    <n v="0"/>
    <x v="0"/>
  </r>
  <r>
    <d v="2011-10-13T00:00:00"/>
    <n v="1"/>
    <n v="0"/>
    <n v="1"/>
    <n v="8"/>
    <b v="0"/>
    <n v="4"/>
    <n v="1"/>
    <n v="0.14000000000000001"/>
    <n v="0.13639999999999999"/>
    <n v="0.5"/>
    <n v="0.19400000000000001"/>
    <n v="197"/>
    <n v="202"/>
    <s v="Thursday"/>
    <s v="colder"/>
    <n v="5"/>
    <x v="0"/>
  </r>
  <r>
    <d v="2011-10-14T00:00:00"/>
    <n v="1"/>
    <n v="0"/>
    <n v="1"/>
    <n v="9"/>
    <b v="0"/>
    <n v="4"/>
    <n v="1"/>
    <n v="0.14000000000000001"/>
    <n v="0.1212"/>
    <n v="0.5"/>
    <n v="0.32840000000000003"/>
    <n v="137"/>
    <n v="139"/>
    <s v="Friday"/>
    <s v="colder"/>
    <n v="2"/>
    <x v="0"/>
  </r>
  <r>
    <d v="2011-10-15T00:00:00"/>
    <n v="1"/>
    <n v="0"/>
    <n v="1"/>
    <n v="10"/>
    <b v="0"/>
    <n v="4"/>
    <n v="2"/>
    <n v="0.16"/>
    <n v="0.13639999999999999"/>
    <n v="0.5"/>
    <n v="0.35820000000000002"/>
    <n v="36"/>
    <n v="38"/>
    <s v="Saturday"/>
    <s v="colder"/>
    <n v="2"/>
    <x v="1"/>
  </r>
  <r>
    <d v="2011-10-16T00:00:00"/>
    <n v="1"/>
    <n v="0"/>
    <n v="1"/>
    <n v="11"/>
    <b v="0"/>
    <n v="4"/>
    <n v="2"/>
    <n v="0.2"/>
    <n v="0.16669999999999999"/>
    <n v="0.44"/>
    <n v="0.44779999999999998"/>
    <n v="33"/>
    <n v="37"/>
    <s v="Sunday"/>
    <s v="colder"/>
    <n v="4"/>
    <x v="1"/>
  </r>
  <r>
    <d v="2011-10-17T00:00:00"/>
    <n v="1"/>
    <n v="0"/>
    <n v="1"/>
    <n v="12"/>
    <b v="0"/>
    <n v="4"/>
    <n v="1"/>
    <n v="0.2"/>
    <n v="0.16669999999999999"/>
    <n v="0.44"/>
    <n v="0.41789999999999999"/>
    <n v="49"/>
    <n v="52"/>
    <s v="Monday"/>
    <s v="colder"/>
    <n v="3"/>
    <x v="0"/>
  </r>
  <r>
    <d v="2011-10-18T00:00:00"/>
    <n v="1"/>
    <n v="0"/>
    <n v="1"/>
    <n v="13"/>
    <b v="0"/>
    <n v="4"/>
    <n v="1"/>
    <n v="0.22"/>
    <n v="0.19700000000000001"/>
    <n v="0.41"/>
    <n v="0.44779999999999998"/>
    <n v="81"/>
    <n v="83"/>
    <s v="Tuesday"/>
    <s v="colder"/>
    <n v="2"/>
    <x v="0"/>
  </r>
  <r>
    <d v="2011-10-19T00:00:00"/>
    <n v="1"/>
    <n v="0"/>
    <n v="1"/>
    <n v="14"/>
    <b v="0"/>
    <n v="4"/>
    <n v="1"/>
    <n v="0.22"/>
    <n v="0.19700000000000001"/>
    <n v="0.41"/>
    <n v="0.3881"/>
    <n v="39"/>
    <n v="42"/>
    <s v="Wednesday"/>
    <s v="colder"/>
    <n v="3"/>
    <x v="0"/>
  </r>
  <r>
    <d v="2011-10-20T00:00:00"/>
    <n v="1"/>
    <n v="0"/>
    <n v="1"/>
    <n v="15"/>
    <b v="0"/>
    <n v="4"/>
    <n v="1"/>
    <n v="0.24"/>
    <n v="0.21210000000000001"/>
    <n v="0.38"/>
    <n v="0.29849999999999999"/>
    <n v="55"/>
    <n v="60"/>
    <s v="Thursday"/>
    <s v="cold"/>
    <n v="5"/>
    <x v="0"/>
  </r>
  <r>
    <d v="2011-10-21T00:00:00"/>
    <n v="1"/>
    <n v="0"/>
    <n v="1"/>
    <n v="16"/>
    <b v="0"/>
    <n v="4"/>
    <n v="1"/>
    <n v="0.24"/>
    <n v="0.21210000000000001"/>
    <n v="0.38"/>
    <n v="0.35820000000000002"/>
    <n v="76"/>
    <n v="78"/>
    <s v="Friday"/>
    <s v="cold"/>
    <n v="2"/>
    <x v="0"/>
  </r>
  <r>
    <d v="2011-10-22T00:00:00"/>
    <n v="1"/>
    <n v="0"/>
    <n v="1"/>
    <n v="17"/>
    <b v="0"/>
    <n v="4"/>
    <n v="1"/>
    <n v="0.2"/>
    <n v="0.18179999999999999"/>
    <n v="0.4"/>
    <n v="0.28360000000000002"/>
    <n v="158"/>
    <n v="162"/>
    <s v="Saturday"/>
    <s v="colder"/>
    <n v="4"/>
    <x v="0"/>
  </r>
  <r>
    <d v="2011-10-23T00:00:00"/>
    <n v="1"/>
    <n v="0"/>
    <n v="1"/>
    <n v="18"/>
    <b v="0"/>
    <n v="4"/>
    <n v="1"/>
    <n v="0.2"/>
    <n v="0.18179999999999999"/>
    <n v="0.4"/>
    <n v="0.32840000000000003"/>
    <n v="141"/>
    <n v="144"/>
    <s v="Sunday"/>
    <s v="colder"/>
    <n v="3"/>
    <x v="0"/>
  </r>
  <r>
    <d v="2011-10-24T00:00:00"/>
    <n v="1"/>
    <n v="0"/>
    <n v="1"/>
    <n v="19"/>
    <b v="0"/>
    <n v="4"/>
    <n v="1"/>
    <n v="0.16"/>
    <n v="0.1515"/>
    <n v="0.47"/>
    <n v="0.25369999999999998"/>
    <n v="98"/>
    <n v="99"/>
    <s v="Monday"/>
    <s v="colder"/>
    <n v="1"/>
    <x v="0"/>
  </r>
  <r>
    <d v="2011-10-25T00:00:00"/>
    <n v="1"/>
    <n v="0"/>
    <n v="1"/>
    <n v="20"/>
    <b v="0"/>
    <n v="4"/>
    <n v="1"/>
    <n v="0.16"/>
    <n v="0.1515"/>
    <n v="0.47"/>
    <n v="0.22389999999999999"/>
    <n v="64"/>
    <n v="64"/>
    <s v="Tuesday"/>
    <s v="colder"/>
    <n v="0"/>
    <x v="0"/>
  </r>
  <r>
    <d v="2011-10-26T00:00:00"/>
    <n v="1"/>
    <n v="0"/>
    <n v="1"/>
    <n v="21"/>
    <b v="0"/>
    <n v="4"/>
    <n v="1"/>
    <n v="0.14000000000000001"/>
    <n v="0.1212"/>
    <n v="0.46"/>
    <n v="0.29849999999999999"/>
    <n v="40"/>
    <n v="40"/>
    <s v="Wednesday"/>
    <s v="colder"/>
    <n v="0"/>
    <x v="0"/>
  </r>
  <r>
    <d v="2011-10-27T00:00:00"/>
    <n v="1"/>
    <n v="0"/>
    <n v="1"/>
    <n v="22"/>
    <b v="0"/>
    <n v="4"/>
    <n v="1"/>
    <n v="0.14000000000000001"/>
    <n v="0.1212"/>
    <n v="0.46"/>
    <n v="0.32840000000000003"/>
    <n v="30"/>
    <n v="30"/>
    <s v="Thursday"/>
    <s v="colder"/>
    <n v="0"/>
    <x v="0"/>
  </r>
  <r>
    <d v="2011-10-28T00:00:00"/>
    <n v="1"/>
    <n v="0"/>
    <n v="1"/>
    <n v="23"/>
    <b v="0"/>
    <n v="4"/>
    <n v="1"/>
    <n v="0.12"/>
    <n v="0.13639999999999999"/>
    <n v="0.5"/>
    <n v="0.19400000000000001"/>
    <n v="14"/>
    <n v="15"/>
    <s v="Friday"/>
    <s v="colder"/>
    <n v="1"/>
    <x v="0"/>
  </r>
  <r>
    <d v="2011-10-29T00:00:00"/>
    <n v="1"/>
    <n v="0"/>
    <n v="1"/>
    <n v="0"/>
    <b v="0"/>
    <n v="5"/>
    <n v="1"/>
    <n v="0.12"/>
    <n v="0.13639999999999999"/>
    <n v="0.5"/>
    <n v="0.19400000000000001"/>
    <n v="14"/>
    <n v="14"/>
    <s v="Saturday"/>
    <s v="colder"/>
    <n v="0"/>
    <x v="0"/>
  </r>
  <r>
    <d v="2011-10-30T00:00:00"/>
    <n v="1"/>
    <n v="0"/>
    <n v="1"/>
    <n v="1"/>
    <b v="0"/>
    <n v="5"/>
    <n v="1"/>
    <n v="0.1"/>
    <n v="0.1212"/>
    <n v="0.54"/>
    <n v="0.16420000000000001"/>
    <n v="5"/>
    <n v="5"/>
    <s v="Sunday"/>
    <s v="colder"/>
    <n v="0"/>
    <x v="0"/>
  </r>
  <r>
    <d v="2011-10-31T00:00:00"/>
    <n v="1"/>
    <n v="0"/>
    <n v="1"/>
    <n v="2"/>
    <b v="0"/>
    <n v="5"/>
    <n v="1"/>
    <n v="0.1"/>
    <n v="0.1212"/>
    <n v="0.54"/>
    <n v="0.1343"/>
    <n v="1"/>
    <n v="1"/>
    <s v="Monday"/>
    <s v="colder"/>
    <n v="0"/>
    <x v="0"/>
  </r>
  <r>
    <d v="2011-11-01T00:00:00"/>
    <n v="1"/>
    <n v="0"/>
    <n v="1"/>
    <n v="3"/>
    <b v="0"/>
    <n v="5"/>
    <n v="1"/>
    <n v="0.1"/>
    <n v="0.13639999999999999"/>
    <n v="0.54"/>
    <n v="0.1045"/>
    <n v="1"/>
    <n v="1"/>
    <s v="Tuesday"/>
    <s v="colder"/>
    <n v="0"/>
    <x v="0"/>
  </r>
  <r>
    <d v="2011-11-02T00:00:00"/>
    <n v="1"/>
    <n v="0"/>
    <n v="1"/>
    <n v="5"/>
    <b v="0"/>
    <n v="5"/>
    <n v="1"/>
    <n v="0.1"/>
    <n v="0.13639999999999999"/>
    <n v="0.54"/>
    <n v="8.9599999999999999E-2"/>
    <n v="8"/>
    <n v="8"/>
    <s v="Wednesday"/>
    <s v="colder"/>
    <n v="0"/>
    <x v="0"/>
  </r>
  <r>
    <d v="2011-11-03T00:00:00"/>
    <n v="1"/>
    <n v="0"/>
    <n v="1"/>
    <n v="6"/>
    <b v="0"/>
    <n v="5"/>
    <n v="1"/>
    <n v="0.1"/>
    <n v="0.18179999999999999"/>
    <n v="0.54"/>
    <n v="0"/>
    <n v="17"/>
    <n v="17"/>
    <s v="Thursday"/>
    <s v="colder"/>
    <n v="0"/>
    <x v="0"/>
  </r>
  <r>
    <d v="2011-11-04T00:00:00"/>
    <n v="1"/>
    <n v="0"/>
    <n v="1"/>
    <n v="7"/>
    <b v="0"/>
    <n v="5"/>
    <n v="1"/>
    <n v="0.1"/>
    <n v="0.1212"/>
    <n v="0.74"/>
    <n v="0.16420000000000001"/>
    <n v="70"/>
    <n v="70"/>
    <s v="Friday"/>
    <s v="colder"/>
    <n v="0"/>
    <x v="0"/>
  </r>
  <r>
    <d v="2011-11-05T00:00:00"/>
    <n v="1"/>
    <n v="0"/>
    <n v="1"/>
    <n v="8"/>
    <b v="0"/>
    <n v="5"/>
    <n v="1"/>
    <n v="0.12"/>
    <n v="0.16669999999999999"/>
    <n v="0.68"/>
    <n v="0"/>
    <n v="156"/>
    <n v="158"/>
    <s v="Saturday"/>
    <s v="colder"/>
    <n v="2"/>
    <x v="0"/>
  </r>
  <r>
    <d v="2011-11-06T00:00:00"/>
    <n v="1"/>
    <n v="0"/>
    <n v="1"/>
    <n v="9"/>
    <b v="0"/>
    <n v="5"/>
    <n v="1"/>
    <n v="0.14000000000000001"/>
    <n v="0.1515"/>
    <n v="0.69"/>
    <n v="0.1343"/>
    <n v="117"/>
    <n v="117"/>
    <s v="Sunday"/>
    <s v="colder"/>
    <n v="0"/>
    <x v="0"/>
  </r>
  <r>
    <d v="2011-11-07T00:00:00"/>
    <n v="1"/>
    <n v="0"/>
    <n v="1"/>
    <n v="10"/>
    <b v="0"/>
    <n v="5"/>
    <n v="1"/>
    <n v="0.18"/>
    <n v="0.18179999999999999"/>
    <n v="0.55000000000000004"/>
    <n v="0.19400000000000001"/>
    <n v="40"/>
    <n v="44"/>
    <s v="Monday"/>
    <s v="colder"/>
    <n v="4"/>
    <x v="0"/>
  </r>
  <r>
    <d v="2011-11-08T00:00:00"/>
    <n v="1"/>
    <n v="0"/>
    <n v="1"/>
    <n v="11"/>
    <b v="0"/>
    <n v="5"/>
    <n v="1"/>
    <n v="0.18"/>
    <n v="0.16669999999999999"/>
    <n v="0.51"/>
    <n v="0.28360000000000002"/>
    <n v="47"/>
    <n v="53"/>
    <s v="Tuesday"/>
    <s v="colder"/>
    <n v="6"/>
    <x v="0"/>
  </r>
  <r>
    <d v="2011-11-09T00:00:00"/>
    <n v="1"/>
    <n v="0"/>
    <n v="1"/>
    <n v="12"/>
    <b v="0"/>
    <n v="5"/>
    <n v="1"/>
    <n v="0.2"/>
    <n v="0.19700000000000001"/>
    <n v="0.44"/>
    <n v="0.25369999999999998"/>
    <n v="59"/>
    <n v="61"/>
    <s v="Wednesday"/>
    <s v="colder"/>
    <n v="2"/>
    <x v="0"/>
  </r>
  <r>
    <d v="2011-11-10T00:00:00"/>
    <n v="1"/>
    <n v="0"/>
    <n v="1"/>
    <n v="13"/>
    <b v="0"/>
    <n v="5"/>
    <n v="1"/>
    <n v="0.22"/>
    <n v="0.19700000000000001"/>
    <n v="0.37"/>
    <n v="0.3881"/>
    <n v="73"/>
    <n v="77"/>
    <s v="Thursday"/>
    <s v="colder"/>
    <n v="4"/>
    <x v="0"/>
  </r>
  <r>
    <d v="2011-11-11T00:00:00"/>
    <n v="1"/>
    <n v="0"/>
    <n v="1"/>
    <n v="14"/>
    <b v="0"/>
    <n v="5"/>
    <n v="1"/>
    <n v="0.22"/>
    <n v="0.21210000000000001"/>
    <n v="0.41"/>
    <n v="0.28360000000000002"/>
    <n v="59"/>
    <n v="64"/>
    <s v="Friday"/>
    <s v="colder"/>
    <n v="5"/>
    <x v="0"/>
  </r>
  <r>
    <d v="2011-11-12T00:00:00"/>
    <n v="1"/>
    <n v="0"/>
    <n v="1"/>
    <n v="15"/>
    <b v="0"/>
    <n v="5"/>
    <n v="1"/>
    <n v="0.24"/>
    <n v="0.2424"/>
    <n v="0.38"/>
    <n v="0.16420000000000001"/>
    <n v="59"/>
    <n v="68"/>
    <s v="Saturday"/>
    <s v="cold"/>
    <n v="9"/>
    <x v="0"/>
  </r>
  <r>
    <d v="2011-11-13T00:00:00"/>
    <n v="1"/>
    <n v="0"/>
    <n v="1"/>
    <n v="16"/>
    <b v="0"/>
    <n v="5"/>
    <n v="1"/>
    <n v="0.22"/>
    <n v="0.2424"/>
    <n v="0.41"/>
    <n v="0.1045"/>
    <n v="87"/>
    <n v="90"/>
    <s v="Sunday"/>
    <s v="colder"/>
    <n v="3"/>
    <x v="0"/>
  </r>
  <r>
    <d v="2011-11-14T00:00:00"/>
    <n v="1"/>
    <n v="0"/>
    <n v="1"/>
    <n v="17"/>
    <b v="0"/>
    <n v="5"/>
    <n v="1"/>
    <n v="0.22"/>
    <n v="0.2273"/>
    <n v="0.41"/>
    <n v="0.16420000000000001"/>
    <n v="155"/>
    <n v="159"/>
    <s v="Monday"/>
    <s v="colder"/>
    <n v="4"/>
    <x v="0"/>
  </r>
  <r>
    <d v="2011-11-15T00:00:00"/>
    <n v="1"/>
    <n v="0"/>
    <n v="1"/>
    <n v="18"/>
    <b v="0"/>
    <n v="5"/>
    <n v="1"/>
    <n v="0.2"/>
    <n v="0.2576"/>
    <n v="0.47"/>
    <n v="0"/>
    <n v="134"/>
    <n v="139"/>
    <s v="Tuesday"/>
    <s v="colder"/>
    <n v="5"/>
    <x v="0"/>
  </r>
  <r>
    <d v="2011-11-16T00:00:00"/>
    <n v="1"/>
    <n v="0"/>
    <n v="1"/>
    <n v="19"/>
    <b v="0"/>
    <n v="5"/>
    <n v="1"/>
    <n v="0.16"/>
    <n v="0.19700000000000001"/>
    <n v="0.59"/>
    <n v="8.9599999999999999E-2"/>
    <n v="89"/>
    <n v="92"/>
    <s v="Wednesday"/>
    <s v="colder"/>
    <n v="3"/>
    <x v="0"/>
  </r>
  <r>
    <d v="2011-11-17T00:00:00"/>
    <n v="1"/>
    <n v="0"/>
    <n v="1"/>
    <n v="20"/>
    <b v="0"/>
    <n v="5"/>
    <n v="1"/>
    <n v="0.18"/>
    <n v="0.2424"/>
    <n v="0.59"/>
    <n v="0"/>
    <n v="68"/>
    <n v="68"/>
    <s v="Thursday"/>
    <s v="colder"/>
    <n v="0"/>
    <x v="0"/>
  </r>
  <r>
    <d v="2011-11-18T00:00:00"/>
    <n v="1"/>
    <n v="0"/>
    <n v="1"/>
    <n v="21"/>
    <b v="0"/>
    <n v="5"/>
    <n v="1"/>
    <n v="0.16"/>
    <n v="0.2273"/>
    <n v="0.69"/>
    <n v="0"/>
    <n v="48"/>
    <n v="52"/>
    <s v="Friday"/>
    <s v="colder"/>
    <n v="4"/>
    <x v="0"/>
  </r>
  <r>
    <d v="2011-11-19T00:00:00"/>
    <n v="1"/>
    <n v="0"/>
    <n v="1"/>
    <n v="22"/>
    <b v="0"/>
    <n v="5"/>
    <n v="2"/>
    <n v="0.16"/>
    <n v="0.2273"/>
    <n v="0.69"/>
    <n v="0"/>
    <n v="34"/>
    <n v="36"/>
    <s v="Saturday"/>
    <s v="colder"/>
    <n v="2"/>
    <x v="1"/>
  </r>
  <r>
    <d v="2011-11-20T00:00:00"/>
    <n v="1"/>
    <n v="0"/>
    <n v="1"/>
    <n v="23"/>
    <b v="0"/>
    <n v="5"/>
    <n v="2"/>
    <n v="0.18"/>
    <n v="0.2424"/>
    <n v="0.55000000000000004"/>
    <n v="0"/>
    <n v="26"/>
    <n v="27"/>
    <s v="Sunday"/>
    <s v="colder"/>
    <n v="1"/>
    <x v="1"/>
  </r>
  <r>
    <d v="2011-11-21T00:00:00"/>
    <n v="1"/>
    <n v="0"/>
    <n v="1"/>
    <n v="0"/>
    <b v="0"/>
    <n v="6"/>
    <n v="1"/>
    <n v="0.18"/>
    <n v="0.2424"/>
    <n v="0.55000000000000004"/>
    <n v="0"/>
    <n v="25"/>
    <n v="28"/>
    <s v="Monday"/>
    <s v="colder"/>
    <n v="3"/>
    <x v="0"/>
  </r>
  <r>
    <d v="2011-11-22T00:00:00"/>
    <n v="1"/>
    <n v="0"/>
    <n v="1"/>
    <n v="1"/>
    <b v="0"/>
    <n v="6"/>
    <n v="2"/>
    <n v="0.16"/>
    <n v="0.19700000000000001"/>
    <n v="0.59"/>
    <n v="8.9599999999999999E-2"/>
    <n v="18"/>
    <n v="20"/>
    <s v="Tuesday"/>
    <s v="colder"/>
    <n v="2"/>
    <x v="1"/>
  </r>
  <r>
    <d v="2011-11-23T00:00:00"/>
    <n v="1"/>
    <n v="0"/>
    <n v="1"/>
    <n v="2"/>
    <b v="0"/>
    <n v="6"/>
    <n v="2"/>
    <n v="0.16"/>
    <n v="0.19700000000000001"/>
    <n v="0.59"/>
    <n v="8.9599999999999999E-2"/>
    <n v="12"/>
    <n v="12"/>
    <s v="Wednesday"/>
    <s v="colder"/>
    <n v="0"/>
    <x v="1"/>
  </r>
  <r>
    <d v="2011-11-24T00:00:00"/>
    <n v="1"/>
    <n v="0"/>
    <n v="1"/>
    <n v="3"/>
    <b v="0"/>
    <n v="6"/>
    <n v="2"/>
    <n v="0.16"/>
    <n v="0.2273"/>
    <n v="0.59"/>
    <n v="0"/>
    <n v="7"/>
    <n v="8"/>
    <s v="Thursday"/>
    <s v="colder"/>
    <n v="1"/>
    <x v="1"/>
  </r>
  <r>
    <d v="2011-11-25T00:00:00"/>
    <n v="1"/>
    <n v="0"/>
    <n v="1"/>
    <n v="4"/>
    <b v="0"/>
    <n v="6"/>
    <n v="2"/>
    <n v="0.16"/>
    <n v="0.2273"/>
    <n v="0.59"/>
    <n v="0"/>
    <n v="5"/>
    <n v="5"/>
    <s v="Friday"/>
    <s v="colder"/>
    <n v="0"/>
    <x v="1"/>
  </r>
  <r>
    <d v="2011-11-26T00:00:00"/>
    <n v="1"/>
    <n v="0"/>
    <n v="1"/>
    <n v="5"/>
    <b v="0"/>
    <n v="6"/>
    <n v="1"/>
    <n v="0.16"/>
    <n v="0.2273"/>
    <n v="0.59"/>
    <n v="0"/>
    <n v="1"/>
    <n v="1"/>
    <s v="Saturday"/>
    <s v="colder"/>
    <n v="0"/>
    <x v="0"/>
  </r>
  <r>
    <d v="2011-11-27T00:00:00"/>
    <n v="1"/>
    <n v="0"/>
    <n v="1"/>
    <n v="6"/>
    <b v="0"/>
    <n v="6"/>
    <n v="1"/>
    <n v="0.14000000000000001"/>
    <n v="0.16669999999999999"/>
    <n v="0.63"/>
    <n v="0.1045"/>
    <n v="2"/>
    <n v="3"/>
    <s v="Sunday"/>
    <s v="colder"/>
    <n v="1"/>
    <x v="0"/>
  </r>
  <r>
    <d v="2011-11-28T00:00:00"/>
    <n v="1"/>
    <n v="0"/>
    <n v="1"/>
    <n v="7"/>
    <b v="0"/>
    <n v="6"/>
    <n v="1"/>
    <n v="0.14000000000000001"/>
    <n v="0.21210000000000001"/>
    <n v="0.63"/>
    <n v="0"/>
    <n v="9"/>
    <n v="10"/>
    <s v="Monday"/>
    <s v="colder"/>
    <n v="1"/>
    <x v="0"/>
  </r>
  <r>
    <d v="2011-11-29T00:00:00"/>
    <n v="1"/>
    <n v="0"/>
    <n v="1"/>
    <n v="8"/>
    <b v="0"/>
    <n v="6"/>
    <n v="1"/>
    <n v="0.14000000000000001"/>
    <n v="0.1515"/>
    <n v="0.63"/>
    <n v="0.1343"/>
    <n v="22"/>
    <n v="23"/>
    <s v="Tuesday"/>
    <s v="colder"/>
    <n v="1"/>
    <x v="0"/>
  </r>
  <r>
    <d v="2011-11-30T00:00:00"/>
    <n v="1"/>
    <n v="0"/>
    <n v="1"/>
    <n v="9"/>
    <b v="0"/>
    <n v="6"/>
    <n v="1"/>
    <n v="0.16"/>
    <n v="0.18179999999999999"/>
    <n v="0.64"/>
    <n v="0.1343"/>
    <n v="31"/>
    <n v="33"/>
    <s v="Wednesday"/>
    <s v="colder"/>
    <n v="2"/>
    <x v="0"/>
  </r>
  <r>
    <d v="2011-12-01T00:00:00"/>
    <n v="1"/>
    <n v="0"/>
    <n v="1"/>
    <n v="10"/>
    <b v="0"/>
    <n v="6"/>
    <n v="1"/>
    <n v="0.18"/>
    <n v="0.19700000000000001"/>
    <n v="0.59"/>
    <n v="0.16420000000000001"/>
    <n v="57"/>
    <n v="59"/>
    <s v="Thursday"/>
    <s v="colder"/>
    <n v="2"/>
    <x v="0"/>
  </r>
  <r>
    <d v="2011-12-02T00:00:00"/>
    <n v="1"/>
    <n v="0"/>
    <n v="1"/>
    <n v="11"/>
    <b v="0"/>
    <n v="6"/>
    <n v="1"/>
    <n v="0.2"/>
    <n v="0.19700000000000001"/>
    <n v="0.55000000000000004"/>
    <n v="0.22389999999999999"/>
    <n v="54"/>
    <n v="72"/>
    <s v="Friday"/>
    <s v="colder"/>
    <n v="18"/>
    <x v="0"/>
  </r>
  <r>
    <d v="2011-12-03T00:00:00"/>
    <n v="1"/>
    <n v="0"/>
    <n v="1"/>
    <n v="12"/>
    <b v="0"/>
    <n v="6"/>
    <n v="1"/>
    <n v="0.24"/>
    <n v="0.2273"/>
    <n v="0.48"/>
    <n v="0.22389999999999999"/>
    <n v="74"/>
    <n v="89"/>
    <s v="Saturday"/>
    <s v="cold"/>
    <n v="15"/>
    <x v="0"/>
  </r>
  <r>
    <d v="2011-12-04T00:00:00"/>
    <n v="1"/>
    <n v="0"/>
    <n v="1"/>
    <n v="13"/>
    <b v="0"/>
    <n v="6"/>
    <n v="1"/>
    <n v="0.28000000000000003"/>
    <n v="0.2576"/>
    <n v="0.38"/>
    <n v="0.29849999999999999"/>
    <n v="80"/>
    <n v="101"/>
    <s v="Sunday"/>
    <s v="cold"/>
    <n v="21"/>
    <x v="0"/>
  </r>
  <r>
    <d v="2011-12-05T00:00:00"/>
    <n v="1"/>
    <n v="0"/>
    <n v="1"/>
    <n v="14"/>
    <b v="0"/>
    <n v="6"/>
    <n v="1"/>
    <n v="0.3"/>
    <n v="0.28789999999999999"/>
    <n v="0.39"/>
    <n v="0.28360000000000002"/>
    <n v="92"/>
    <n v="118"/>
    <s v="Monday"/>
    <s v="cold"/>
    <n v="26"/>
    <x v="0"/>
  </r>
  <r>
    <d v="2011-12-06T00:00:00"/>
    <n v="1"/>
    <n v="0"/>
    <n v="1"/>
    <n v="15"/>
    <b v="0"/>
    <n v="6"/>
    <n v="2"/>
    <n v="0.32"/>
    <n v="0.31819999999999998"/>
    <n v="0.36"/>
    <n v="0.19400000000000001"/>
    <n v="108"/>
    <n v="129"/>
    <s v="Tuesday"/>
    <s v="cold"/>
    <n v="21"/>
    <x v="1"/>
  </r>
  <r>
    <d v="2011-12-07T00:00:00"/>
    <n v="1"/>
    <n v="0"/>
    <n v="1"/>
    <n v="16"/>
    <b v="0"/>
    <n v="6"/>
    <n v="2"/>
    <n v="0.34"/>
    <n v="0.33329999999999999"/>
    <n v="0.34"/>
    <n v="0.19400000000000001"/>
    <n v="95"/>
    <n v="128"/>
    <s v="Wednesday"/>
    <s v="cold"/>
    <n v="33"/>
    <x v="1"/>
  </r>
  <r>
    <d v="2011-12-08T00:00:00"/>
    <n v="1"/>
    <n v="0"/>
    <n v="1"/>
    <n v="17"/>
    <b v="0"/>
    <n v="6"/>
    <n v="2"/>
    <n v="0.32"/>
    <n v="0.30299999999999999"/>
    <n v="0.36"/>
    <n v="0.28360000000000002"/>
    <n v="54"/>
    <n v="83"/>
    <s v="Thursday"/>
    <s v="cold"/>
    <n v="29"/>
    <x v="1"/>
  </r>
  <r>
    <d v="2011-12-09T00:00:00"/>
    <n v="1"/>
    <n v="0"/>
    <n v="1"/>
    <n v="18"/>
    <b v="0"/>
    <n v="6"/>
    <n v="2"/>
    <n v="0.3"/>
    <n v="0.28789999999999999"/>
    <n v="0.45"/>
    <n v="0.25369999999999998"/>
    <n v="69"/>
    <n v="84"/>
    <s v="Friday"/>
    <s v="cold"/>
    <n v="15"/>
    <x v="1"/>
  </r>
  <r>
    <d v="2011-12-10T00:00:00"/>
    <n v="1"/>
    <n v="0"/>
    <n v="1"/>
    <n v="19"/>
    <b v="0"/>
    <n v="6"/>
    <n v="2"/>
    <n v="0.32"/>
    <n v="0.30299999999999999"/>
    <n v="0.39"/>
    <n v="0.25369999999999998"/>
    <n v="60"/>
    <n v="74"/>
    <s v="Saturday"/>
    <s v="cold"/>
    <n v="14"/>
    <x v="1"/>
  </r>
  <r>
    <d v="2011-12-11T00:00:00"/>
    <n v="1"/>
    <n v="0"/>
    <n v="1"/>
    <n v="20"/>
    <b v="0"/>
    <n v="6"/>
    <n v="2"/>
    <n v="0.32"/>
    <n v="0.30299999999999999"/>
    <n v="0.39"/>
    <n v="0.25369999999999998"/>
    <n v="35"/>
    <n v="41"/>
    <s v="Sunday"/>
    <s v="cold"/>
    <n v="6"/>
    <x v="1"/>
  </r>
  <r>
    <d v="2011-12-12T00:00:00"/>
    <n v="1"/>
    <n v="0"/>
    <n v="1"/>
    <n v="21"/>
    <b v="0"/>
    <n v="6"/>
    <n v="2"/>
    <n v="0.32"/>
    <n v="0.30299999999999999"/>
    <n v="0.39"/>
    <n v="0.22389999999999999"/>
    <n v="51"/>
    <n v="57"/>
    <s v="Monday"/>
    <s v="cold"/>
    <n v="6"/>
    <x v="1"/>
  </r>
  <r>
    <d v="2011-12-13T00:00:00"/>
    <n v="1"/>
    <n v="0"/>
    <n v="1"/>
    <n v="22"/>
    <b v="0"/>
    <n v="6"/>
    <n v="2"/>
    <n v="0.3"/>
    <n v="0.31819999999999998"/>
    <n v="0.42"/>
    <n v="0.1045"/>
    <n v="26"/>
    <n v="26"/>
    <s v="Tuesday"/>
    <s v="cold"/>
    <n v="0"/>
    <x v="1"/>
  </r>
  <r>
    <d v="2011-12-14T00:00:00"/>
    <n v="1"/>
    <n v="0"/>
    <n v="1"/>
    <n v="23"/>
    <b v="0"/>
    <n v="6"/>
    <n v="1"/>
    <n v="0.3"/>
    <n v="0.28789999999999999"/>
    <n v="0.45"/>
    <n v="0.28360000000000002"/>
    <n v="39"/>
    <n v="44"/>
    <s v="Wednesday"/>
    <s v="cold"/>
    <n v="5"/>
    <x v="0"/>
  </r>
  <r>
    <d v="2011-12-15T00:00:00"/>
    <n v="1"/>
    <n v="0"/>
    <n v="1"/>
    <n v="0"/>
    <b v="0"/>
    <n v="0"/>
    <n v="1"/>
    <n v="0.26"/>
    <n v="0.30299999999999999"/>
    <n v="0.56000000000000005"/>
    <n v="0"/>
    <n v="33"/>
    <n v="39"/>
    <s v="Thursday"/>
    <s v="cold"/>
    <n v="6"/>
    <x v="0"/>
  </r>
  <r>
    <d v="2011-12-16T00:00:00"/>
    <n v="1"/>
    <n v="0"/>
    <n v="1"/>
    <n v="1"/>
    <b v="0"/>
    <n v="0"/>
    <n v="1"/>
    <n v="0.26"/>
    <n v="0.2727"/>
    <n v="0.56000000000000005"/>
    <n v="0.1343"/>
    <n v="19"/>
    <n v="23"/>
    <s v="Friday"/>
    <s v="cold"/>
    <n v="4"/>
    <x v="0"/>
  </r>
  <r>
    <d v="2011-12-17T00:00:00"/>
    <n v="1"/>
    <n v="0"/>
    <n v="1"/>
    <n v="2"/>
    <b v="0"/>
    <n v="0"/>
    <n v="1"/>
    <n v="0.26"/>
    <n v="0.28789999999999999"/>
    <n v="0.56000000000000005"/>
    <n v="8.9599999999999999E-2"/>
    <n v="13"/>
    <n v="16"/>
    <s v="Saturday"/>
    <s v="cold"/>
    <n v="3"/>
    <x v="0"/>
  </r>
  <r>
    <d v="2011-12-18T00:00:00"/>
    <n v="1"/>
    <n v="0"/>
    <n v="1"/>
    <n v="3"/>
    <b v="0"/>
    <n v="0"/>
    <n v="1"/>
    <n v="0.22"/>
    <n v="0.2727"/>
    <n v="0.69"/>
    <n v="0"/>
    <n v="6"/>
    <n v="15"/>
    <s v="Sunday"/>
    <s v="colder"/>
    <n v="9"/>
    <x v="0"/>
  </r>
  <r>
    <d v="2011-12-19T00:00:00"/>
    <n v="1"/>
    <n v="0"/>
    <n v="1"/>
    <n v="4"/>
    <b v="0"/>
    <n v="0"/>
    <n v="1"/>
    <n v="0.26"/>
    <n v="0.2576"/>
    <n v="0.56000000000000005"/>
    <n v="0.16420000000000001"/>
    <n v="1"/>
    <n v="1"/>
    <s v="Monday"/>
    <s v="cold"/>
    <n v="0"/>
    <x v="0"/>
  </r>
  <r>
    <d v="2011-12-20T00:00:00"/>
    <n v="1"/>
    <n v="0"/>
    <n v="1"/>
    <n v="5"/>
    <b v="0"/>
    <n v="0"/>
    <n v="2"/>
    <n v="0.26"/>
    <n v="0.2576"/>
    <n v="0.56000000000000005"/>
    <n v="0.16420000000000001"/>
    <n v="1"/>
    <n v="2"/>
    <s v="Tuesday"/>
    <s v="cold"/>
    <n v="1"/>
    <x v="1"/>
  </r>
  <r>
    <d v="2011-12-21T00:00:00"/>
    <n v="1"/>
    <n v="0"/>
    <n v="1"/>
    <n v="6"/>
    <b v="0"/>
    <n v="0"/>
    <n v="2"/>
    <n v="0.26"/>
    <n v="0.2576"/>
    <n v="0.56000000000000005"/>
    <n v="0.16420000000000001"/>
    <n v="1"/>
    <n v="1"/>
    <s v="Wednesday"/>
    <s v="cold"/>
    <n v="0"/>
    <x v="1"/>
  </r>
  <r>
    <d v="2011-12-22T00:00:00"/>
    <n v="1"/>
    <n v="0"/>
    <n v="1"/>
    <n v="7"/>
    <b v="0"/>
    <n v="0"/>
    <n v="2"/>
    <n v="0.24"/>
    <n v="0.21210000000000001"/>
    <n v="0.56000000000000005"/>
    <n v="0.29849999999999999"/>
    <n v="3"/>
    <n v="3"/>
    <s v="Thursday"/>
    <s v="cold"/>
    <n v="0"/>
    <x v="1"/>
  </r>
  <r>
    <d v="2011-12-23T00:00:00"/>
    <n v="1"/>
    <n v="0"/>
    <n v="1"/>
    <n v="8"/>
    <b v="0"/>
    <n v="0"/>
    <n v="1"/>
    <n v="0.22"/>
    <n v="0.21210000000000001"/>
    <n v="0.55000000000000004"/>
    <n v="0.28360000000000002"/>
    <n v="18"/>
    <n v="18"/>
    <s v="Friday"/>
    <s v="colder"/>
    <n v="0"/>
    <x v="0"/>
  </r>
  <r>
    <d v="2011-12-24T00:00:00"/>
    <n v="1"/>
    <n v="0"/>
    <n v="1"/>
    <n v="9"/>
    <b v="0"/>
    <n v="0"/>
    <n v="1"/>
    <n v="0.22"/>
    <n v="0.21210000000000001"/>
    <n v="0.51"/>
    <n v="0.25369999999999998"/>
    <n v="29"/>
    <n v="32"/>
    <s v="Saturday"/>
    <s v="colder"/>
    <n v="3"/>
    <x v="0"/>
  </r>
  <r>
    <d v="2011-12-25T00:00:00"/>
    <n v="1"/>
    <n v="0"/>
    <n v="1"/>
    <n v="10"/>
    <b v="0"/>
    <n v="0"/>
    <n v="1"/>
    <n v="0.22"/>
    <n v="0.21210000000000001"/>
    <n v="0.51"/>
    <n v="0.28360000000000002"/>
    <n v="71"/>
    <n v="79"/>
    <s v="Sunday"/>
    <s v="colder"/>
    <n v="8"/>
    <x v="0"/>
  </r>
  <r>
    <d v="2011-12-26T00:00:00"/>
    <n v="1"/>
    <n v="0"/>
    <n v="1"/>
    <n v="11"/>
    <b v="0"/>
    <n v="0"/>
    <n v="1"/>
    <n v="0.24"/>
    <n v="0.2273"/>
    <n v="0.44"/>
    <n v="0.25369999999999998"/>
    <n v="70"/>
    <n v="93"/>
    <s v="Monday"/>
    <s v="cold"/>
    <n v="23"/>
    <x v="0"/>
  </r>
  <r>
    <d v="2011-12-27T00:00:00"/>
    <n v="1"/>
    <n v="0"/>
    <n v="1"/>
    <n v="12"/>
    <b v="0"/>
    <n v="0"/>
    <n v="1"/>
    <n v="0.24"/>
    <n v="0.21210000000000001"/>
    <n v="0.41"/>
    <n v="0.28360000000000002"/>
    <n v="75"/>
    <n v="104"/>
    <s v="Tuesday"/>
    <s v="cold"/>
    <n v="29"/>
    <x v="0"/>
  </r>
  <r>
    <d v="2011-12-28T00:00:00"/>
    <n v="1"/>
    <n v="0"/>
    <n v="1"/>
    <n v="13"/>
    <b v="0"/>
    <n v="0"/>
    <n v="1"/>
    <n v="0.26"/>
    <n v="0.2273"/>
    <n v="0.35"/>
    <n v="0.29849999999999999"/>
    <n v="95"/>
    <n v="118"/>
    <s v="Wednesday"/>
    <s v="cold"/>
    <n v="23"/>
    <x v="0"/>
  </r>
  <r>
    <d v="2011-12-29T00:00:00"/>
    <n v="1"/>
    <n v="0"/>
    <n v="1"/>
    <n v="14"/>
    <b v="0"/>
    <n v="0"/>
    <n v="1"/>
    <n v="0.28000000000000003"/>
    <n v="0.2727"/>
    <n v="0.36"/>
    <n v="0.25369999999999998"/>
    <n v="69"/>
    <n v="91"/>
    <s v="Thursday"/>
    <s v="cold"/>
    <n v="22"/>
    <x v="0"/>
  </r>
  <r>
    <d v="2011-12-30T00:00:00"/>
    <n v="1"/>
    <n v="0"/>
    <n v="1"/>
    <n v="15"/>
    <b v="0"/>
    <n v="0"/>
    <n v="1"/>
    <n v="0.26"/>
    <n v="0.2424"/>
    <n v="0.38"/>
    <n v="0.25369999999999998"/>
    <n v="78"/>
    <n v="113"/>
    <s v="Friday"/>
    <s v="cold"/>
    <n v="35"/>
    <x v="0"/>
  </r>
  <r>
    <d v="2011-12-31T00:00:00"/>
    <n v="1"/>
    <n v="0"/>
    <n v="1"/>
    <n v="16"/>
    <b v="0"/>
    <n v="0"/>
    <n v="1"/>
    <n v="0.24"/>
    <n v="0.2273"/>
    <n v="0.38"/>
    <n v="0.22389999999999999"/>
    <n v="77"/>
    <n v="99"/>
    <s v="Saturday"/>
    <s v="cold"/>
    <n v="22"/>
    <x v="0"/>
  </r>
  <r>
    <d v="2012-01-01T00:00:00"/>
    <n v="1"/>
    <n v="0"/>
    <n v="1"/>
    <n v="17"/>
    <b v="0"/>
    <n v="0"/>
    <n v="1"/>
    <n v="0.22"/>
    <n v="0.21210000000000001"/>
    <n v="0.37"/>
    <n v="0.25369999999999998"/>
    <n v="82"/>
    <n v="105"/>
    <s v="Sunday"/>
    <s v="colder"/>
    <n v="23"/>
    <x v="0"/>
  </r>
  <r>
    <d v="2012-01-02T00:00:00"/>
    <n v="1"/>
    <n v="0"/>
    <n v="1"/>
    <n v="18"/>
    <b v="0"/>
    <n v="0"/>
    <n v="1"/>
    <n v="0.2"/>
    <n v="0.21210000000000001"/>
    <n v="0.4"/>
    <n v="0.16420000000000001"/>
    <n v="56"/>
    <n v="67"/>
    <s v="Monday"/>
    <s v="colder"/>
    <n v="11"/>
    <x v="0"/>
  </r>
  <r>
    <d v="2012-01-03T00:00:00"/>
    <n v="1"/>
    <n v="0"/>
    <n v="1"/>
    <n v="19"/>
    <b v="0"/>
    <n v="0"/>
    <n v="1"/>
    <n v="0.18"/>
    <n v="0.19700000000000001"/>
    <n v="0.47"/>
    <n v="0.1343"/>
    <n v="47"/>
    <n v="61"/>
    <s v="Tuesday"/>
    <s v="colder"/>
    <n v="14"/>
    <x v="0"/>
  </r>
  <r>
    <d v="2012-01-04T00:00:00"/>
    <n v="1"/>
    <n v="0"/>
    <n v="1"/>
    <n v="20"/>
    <b v="0"/>
    <n v="0"/>
    <n v="1"/>
    <n v="0.18"/>
    <n v="0.19700000000000001"/>
    <n v="0.47"/>
    <n v="0.16420000000000001"/>
    <n v="50"/>
    <n v="57"/>
    <s v="Wednesday"/>
    <s v="colder"/>
    <n v="7"/>
    <x v="0"/>
  </r>
  <r>
    <d v="2012-01-05T00:00:00"/>
    <n v="1"/>
    <n v="0"/>
    <n v="1"/>
    <n v="21"/>
    <b v="0"/>
    <n v="0"/>
    <n v="1"/>
    <n v="0.18"/>
    <n v="0.19700000000000001"/>
    <n v="0.51"/>
    <n v="0.16420000000000001"/>
    <n v="22"/>
    <n v="28"/>
    <s v="Thursday"/>
    <s v="colder"/>
    <n v="6"/>
    <x v="0"/>
  </r>
  <r>
    <d v="2012-01-06T00:00:00"/>
    <n v="1"/>
    <n v="0"/>
    <n v="1"/>
    <n v="22"/>
    <b v="0"/>
    <n v="0"/>
    <n v="2"/>
    <n v="0.2"/>
    <n v="0.21210000000000001"/>
    <n v="0.49"/>
    <n v="0.1343"/>
    <n v="19"/>
    <n v="21"/>
    <s v="Friday"/>
    <s v="colder"/>
    <n v="2"/>
    <x v="1"/>
  </r>
  <r>
    <d v="2012-01-07T00:00:00"/>
    <n v="1"/>
    <n v="0"/>
    <n v="1"/>
    <n v="23"/>
    <b v="0"/>
    <n v="0"/>
    <n v="2"/>
    <n v="0.2"/>
    <n v="0.2273"/>
    <n v="0.4"/>
    <n v="0.1045"/>
    <n v="18"/>
    <n v="18"/>
    <s v="Saturday"/>
    <s v="colder"/>
    <n v="0"/>
    <x v="1"/>
  </r>
  <r>
    <d v="2012-01-08T00:00:00"/>
    <n v="1"/>
    <n v="0"/>
    <n v="1"/>
    <n v="0"/>
    <b v="1"/>
    <n v="1"/>
    <n v="2"/>
    <n v="0.2"/>
    <n v="0.19700000000000001"/>
    <n v="0.47"/>
    <n v="0.22389999999999999"/>
    <n v="16"/>
    <n v="17"/>
    <s v="Sunday"/>
    <s v="colder"/>
    <n v="1"/>
    <x v="1"/>
  </r>
  <r>
    <d v="2012-01-09T00:00:00"/>
    <n v="1"/>
    <n v="0"/>
    <n v="1"/>
    <n v="1"/>
    <b v="1"/>
    <n v="1"/>
    <n v="2"/>
    <n v="0.2"/>
    <n v="0.19700000000000001"/>
    <n v="0.44"/>
    <n v="0.19400000000000001"/>
    <n v="15"/>
    <n v="16"/>
    <s v="Monday"/>
    <s v="colder"/>
    <n v="1"/>
    <x v="1"/>
  </r>
  <r>
    <d v="2012-01-10T00:00:00"/>
    <n v="1"/>
    <n v="0"/>
    <n v="1"/>
    <n v="2"/>
    <b v="1"/>
    <n v="1"/>
    <n v="2"/>
    <n v="0.18"/>
    <n v="0.16669999999999999"/>
    <n v="0.43"/>
    <n v="0.25369999999999998"/>
    <n v="8"/>
    <n v="8"/>
    <s v="Tuesday"/>
    <s v="colder"/>
    <n v="0"/>
    <x v="1"/>
  </r>
  <r>
    <d v="2012-01-11T00:00:00"/>
    <n v="1"/>
    <n v="0"/>
    <n v="1"/>
    <n v="3"/>
    <b v="1"/>
    <n v="1"/>
    <n v="2"/>
    <n v="0.18"/>
    <n v="0.18179999999999999"/>
    <n v="0.43"/>
    <n v="0.19400000000000001"/>
    <n v="2"/>
    <n v="2"/>
    <s v="Wednesday"/>
    <s v="colder"/>
    <n v="0"/>
    <x v="1"/>
  </r>
  <r>
    <d v="2012-01-12T00:00:00"/>
    <n v="1"/>
    <n v="0"/>
    <n v="1"/>
    <n v="4"/>
    <b v="1"/>
    <n v="1"/>
    <n v="2"/>
    <n v="0.18"/>
    <n v="0.19700000000000001"/>
    <n v="0.43"/>
    <n v="0.1343"/>
    <n v="2"/>
    <n v="3"/>
    <s v="Thursday"/>
    <s v="colder"/>
    <n v="1"/>
    <x v="1"/>
  </r>
  <r>
    <d v="2012-01-13T00:00:00"/>
    <n v="1"/>
    <n v="0"/>
    <n v="1"/>
    <n v="5"/>
    <b v="1"/>
    <n v="1"/>
    <n v="2"/>
    <n v="0.18"/>
    <n v="0.19700000000000001"/>
    <n v="0.43"/>
    <n v="0.16420000000000001"/>
    <n v="1"/>
    <n v="1"/>
    <s v="Friday"/>
    <s v="colder"/>
    <n v="0"/>
    <x v="1"/>
  </r>
  <r>
    <d v="2012-01-14T00:00:00"/>
    <n v="1"/>
    <n v="0"/>
    <n v="1"/>
    <n v="6"/>
    <b v="1"/>
    <n v="1"/>
    <n v="2"/>
    <n v="0.18"/>
    <n v="0.18179999999999999"/>
    <n v="0.43"/>
    <n v="0.19400000000000001"/>
    <n v="5"/>
    <n v="5"/>
    <s v="Saturday"/>
    <s v="colder"/>
    <n v="0"/>
    <x v="1"/>
  </r>
  <r>
    <d v="2012-01-15T00:00:00"/>
    <n v="1"/>
    <n v="0"/>
    <n v="1"/>
    <n v="7"/>
    <b v="1"/>
    <n v="1"/>
    <n v="2"/>
    <n v="0.16"/>
    <n v="0.18179999999999999"/>
    <n v="0.5"/>
    <n v="0.1343"/>
    <n v="9"/>
    <n v="13"/>
    <s v="Sunday"/>
    <s v="colder"/>
    <n v="4"/>
    <x v="1"/>
  </r>
  <r>
    <d v="2012-01-16T00:00:00"/>
    <n v="1"/>
    <n v="0"/>
    <n v="1"/>
    <n v="8"/>
    <b v="1"/>
    <n v="1"/>
    <n v="2"/>
    <n v="0.16"/>
    <n v="0.1515"/>
    <n v="0.47"/>
    <n v="0.22389999999999999"/>
    <n v="30"/>
    <n v="33"/>
    <s v="Monday"/>
    <s v="colder"/>
    <n v="3"/>
    <x v="1"/>
  </r>
  <r>
    <d v="2012-01-17T00:00:00"/>
    <n v="1"/>
    <n v="0"/>
    <n v="1"/>
    <n v="9"/>
    <b v="1"/>
    <n v="1"/>
    <n v="2"/>
    <n v="0.16"/>
    <n v="0.1515"/>
    <n v="0.47"/>
    <n v="0.22389999999999999"/>
    <n v="39"/>
    <n v="47"/>
    <s v="Tuesday"/>
    <s v="colder"/>
    <n v="8"/>
    <x v="1"/>
  </r>
  <r>
    <d v="2012-01-18T00:00:00"/>
    <n v="1"/>
    <n v="0"/>
    <n v="1"/>
    <n v="10"/>
    <b v="1"/>
    <n v="1"/>
    <n v="2"/>
    <n v="0.16"/>
    <n v="0.1515"/>
    <n v="0.5"/>
    <n v="0.25369999999999998"/>
    <n v="50"/>
    <n v="57"/>
    <s v="Wednesday"/>
    <s v="colder"/>
    <n v="7"/>
    <x v="1"/>
  </r>
  <r>
    <d v="2012-01-19T00:00:00"/>
    <n v="1"/>
    <n v="0"/>
    <n v="1"/>
    <n v="11"/>
    <b v="1"/>
    <n v="1"/>
    <n v="2"/>
    <n v="0.16"/>
    <n v="0.1515"/>
    <n v="0.55000000000000004"/>
    <n v="0.19400000000000001"/>
    <n v="55"/>
    <n v="64"/>
    <s v="Thursday"/>
    <s v="colder"/>
    <n v="9"/>
    <x v="1"/>
  </r>
  <r>
    <d v="2012-01-20T00:00:00"/>
    <n v="1"/>
    <n v="0"/>
    <n v="1"/>
    <n v="12"/>
    <b v="1"/>
    <n v="1"/>
    <n v="2"/>
    <n v="0.18"/>
    <n v="0.19700000000000001"/>
    <n v="0.47"/>
    <n v="0.1343"/>
    <n v="70"/>
    <n v="80"/>
    <s v="Friday"/>
    <s v="colder"/>
    <n v="10"/>
    <x v="1"/>
  </r>
  <r>
    <d v="2012-01-21T00:00:00"/>
    <n v="1"/>
    <n v="0"/>
    <n v="1"/>
    <n v="13"/>
    <b v="1"/>
    <n v="1"/>
    <n v="2"/>
    <n v="0.18"/>
    <n v="0.19700000000000001"/>
    <n v="0.47"/>
    <n v="0.1343"/>
    <n v="80"/>
    <n v="93"/>
    <s v="Saturday"/>
    <s v="colder"/>
    <n v="13"/>
    <x v="1"/>
  </r>
  <r>
    <d v="2012-01-22T00:00:00"/>
    <n v="1"/>
    <n v="0"/>
    <n v="1"/>
    <n v="14"/>
    <b v="1"/>
    <n v="1"/>
    <n v="2"/>
    <n v="0.18"/>
    <n v="0.21210000000000001"/>
    <n v="0.43"/>
    <n v="0.1045"/>
    <n v="74"/>
    <n v="86"/>
    <s v="Sunday"/>
    <s v="colder"/>
    <n v="12"/>
    <x v="1"/>
  </r>
  <r>
    <d v="2012-01-23T00:00:00"/>
    <n v="1"/>
    <n v="0"/>
    <n v="1"/>
    <n v="15"/>
    <b v="1"/>
    <n v="1"/>
    <n v="2"/>
    <n v="0.2"/>
    <n v="0.21210000000000001"/>
    <n v="0.47"/>
    <n v="0.16420000000000001"/>
    <n v="72"/>
    <n v="93"/>
    <s v="Monday"/>
    <s v="colder"/>
    <n v="21"/>
    <x v="1"/>
  </r>
  <r>
    <d v="2012-01-24T00:00:00"/>
    <n v="1"/>
    <n v="0"/>
    <n v="1"/>
    <n v="16"/>
    <b v="1"/>
    <n v="1"/>
    <n v="2"/>
    <n v="0.2"/>
    <n v="0.21210000000000001"/>
    <n v="0.47"/>
    <n v="0.16420000000000001"/>
    <n v="76"/>
    <n v="82"/>
    <s v="Tuesday"/>
    <s v="colder"/>
    <n v="6"/>
    <x v="1"/>
  </r>
  <r>
    <d v="2012-01-25T00:00:00"/>
    <n v="1"/>
    <n v="0"/>
    <n v="1"/>
    <n v="17"/>
    <b v="1"/>
    <n v="1"/>
    <n v="1"/>
    <n v="0.2"/>
    <n v="0.19700000000000001"/>
    <n v="0.51"/>
    <n v="0.19400000000000001"/>
    <n v="67"/>
    <n v="71"/>
    <s v="Wednesday"/>
    <s v="colder"/>
    <n v="4"/>
    <x v="0"/>
  </r>
  <r>
    <d v="2012-01-26T00:00:00"/>
    <n v="1"/>
    <n v="0"/>
    <n v="1"/>
    <n v="18"/>
    <b v="1"/>
    <n v="1"/>
    <n v="2"/>
    <n v="0.18"/>
    <n v="0.16669999999999999"/>
    <n v="0.55000000000000004"/>
    <n v="0.25369999999999998"/>
    <n v="85"/>
    <n v="92"/>
    <s v="Thursday"/>
    <s v="colder"/>
    <n v="7"/>
    <x v="1"/>
  </r>
  <r>
    <d v="2012-01-27T00:00:00"/>
    <n v="1"/>
    <n v="0"/>
    <n v="1"/>
    <n v="19"/>
    <b v="1"/>
    <n v="1"/>
    <n v="3"/>
    <n v="0.18"/>
    <n v="0.18179999999999999"/>
    <n v="0.59"/>
    <n v="0.19400000000000001"/>
    <n v="58"/>
    <n v="60"/>
    <s v="Friday"/>
    <s v="colder"/>
    <n v="2"/>
    <x v="2"/>
  </r>
  <r>
    <d v="2012-01-28T00:00:00"/>
    <n v="1"/>
    <n v="0"/>
    <n v="1"/>
    <n v="20"/>
    <b v="1"/>
    <n v="1"/>
    <n v="3"/>
    <n v="0.16"/>
    <n v="0.1515"/>
    <n v="0.8"/>
    <n v="0.19400000000000001"/>
    <n v="29"/>
    <n v="33"/>
    <s v="Saturday"/>
    <s v="colder"/>
    <n v="4"/>
    <x v="2"/>
  </r>
  <r>
    <d v="2012-01-29T00:00:00"/>
    <n v="1"/>
    <n v="0"/>
    <n v="1"/>
    <n v="21"/>
    <b v="1"/>
    <n v="1"/>
    <n v="3"/>
    <n v="0.16"/>
    <n v="0.1515"/>
    <n v="0.8"/>
    <n v="0.19400000000000001"/>
    <n v="24"/>
    <n v="27"/>
    <s v="Sunday"/>
    <s v="colder"/>
    <n v="3"/>
    <x v="2"/>
  </r>
  <r>
    <d v="2012-01-30T00:00:00"/>
    <n v="1"/>
    <n v="0"/>
    <n v="1"/>
    <n v="22"/>
    <b v="1"/>
    <n v="1"/>
    <n v="3"/>
    <n v="0.14000000000000001"/>
    <n v="0.1212"/>
    <n v="0.93"/>
    <n v="0.25369999999999998"/>
    <n v="13"/>
    <n v="13"/>
    <s v="Monday"/>
    <s v="colder"/>
    <n v="0"/>
    <x v="2"/>
  </r>
  <r>
    <d v="2012-01-31T00:00:00"/>
    <n v="1"/>
    <n v="0"/>
    <n v="1"/>
    <n v="23"/>
    <b v="1"/>
    <n v="1"/>
    <n v="3"/>
    <n v="0.16"/>
    <n v="0.13639999999999999"/>
    <n v="0.86"/>
    <n v="0.28360000000000002"/>
    <n v="3"/>
    <n v="4"/>
    <s v="Tuesday"/>
    <s v="colder"/>
    <n v="1"/>
    <x v="2"/>
  </r>
  <r>
    <d v="2012-02-01T00:00:00"/>
    <n v="1"/>
    <n v="0"/>
    <n v="1"/>
    <n v="12"/>
    <b v="0"/>
    <n v="2"/>
    <n v="2"/>
    <n v="0.2"/>
    <n v="0.18179999999999999"/>
    <n v="0.86"/>
    <n v="0.32840000000000003"/>
    <n v="3"/>
    <n v="3"/>
    <s v="Wednesday"/>
    <s v="colder"/>
    <n v="0"/>
    <x v="1"/>
  </r>
  <r>
    <d v="2012-02-02T00:00:00"/>
    <n v="1"/>
    <n v="0"/>
    <n v="1"/>
    <n v="13"/>
    <b v="0"/>
    <n v="2"/>
    <n v="2"/>
    <n v="0.2"/>
    <n v="0.19700000000000001"/>
    <n v="0.86"/>
    <n v="0.22389999999999999"/>
    <n v="22"/>
    <n v="22"/>
    <s v="Thursday"/>
    <s v="colder"/>
    <n v="0"/>
    <x v="1"/>
  </r>
  <r>
    <d v="2012-02-03T00:00:00"/>
    <n v="1"/>
    <n v="0"/>
    <n v="1"/>
    <n v="14"/>
    <b v="0"/>
    <n v="2"/>
    <n v="2"/>
    <n v="0.22"/>
    <n v="0.2273"/>
    <n v="0.8"/>
    <n v="0.16420000000000001"/>
    <n v="26"/>
    <n v="28"/>
    <s v="Friday"/>
    <s v="colder"/>
    <n v="2"/>
    <x v="1"/>
  </r>
  <r>
    <d v="2012-02-04T00:00:00"/>
    <n v="1"/>
    <n v="0"/>
    <n v="1"/>
    <n v="15"/>
    <b v="0"/>
    <n v="2"/>
    <n v="2"/>
    <n v="0.22"/>
    <n v="0.2273"/>
    <n v="0.87"/>
    <n v="0.16420000000000001"/>
    <n v="32"/>
    <n v="35"/>
    <s v="Saturday"/>
    <s v="colder"/>
    <n v="3"/>
    <x v="1"/>
  </r>
  <r>
    <d v="2012-02-05T00:00:00"/>
    <n v="1"/>
    <n v="0"/>
    <n v="1"/>
    <n v="16"/>
    <b v="0"/>
    <n v="2"/>
    <n v="2"/>
    <n v="0.22"/>
    <n v="0.2273"/>
    <n v="0.87"/>
    <n v="0.19400000000000001"/>
    <n v="61"/>
    <n v="61"/>
    <s v="Sunday"/>
    <s v="colder"/>
    <n v="0"/>
    <x v="1"/>
  </r>
  <r>
    <d v="2012-02-06T00:00:00"/>
    <n v="1"/>
    <n v="0"/>
    <n v="1"/>
    <n v="17"/>
    <b v="0"/>
    <n v="2"/>
    <n v="2"/>
    <n v="0.22"/>
    <n v="0.2273"/>
    <n v="0.82"/>
    <n v="0.19400000000000001"/>
    <n v="124"/>
    <n v="125"/>
    <s v="Monday"/>
    <s v="colder"/>
    <n v="1"/>
    <x v="1"/>
  </r>
  <r>
    <d v="2012-02-07T00:00:00"/>
    <n v="1"/>
    <n v="0"/>
    <n v="1"/>
    <n v="18"/>
    <b v="0"/>
    <n v="2"/>
    <n v="2"/>
    <n v="0.22"/>
    <n v="0.2273"/>
    <n v="0.8"/>
    <n v="0.16420000000000001"/>
    <n v="132"/>
    <n v="133"/>
    <s v="Tuesday"/>
    <s v="colder"/>
    <n v="1"/>
    <x v="1"/>
  </r>
  <r>
    <d v="2012-02-08T00:00:00"/>
    <n v="1"/>
    <n v="0"/>
    <n v="1"/>
    <n v="19"/>
    <b v="0"/>
    <n v="2"/>
    <n v="2"/>
    <n v="0.22"/>
    <n v="0.2273"/>
    <n v="0.8"/>
    <n v="0.1343"/>
    <n v="98"/>
    <n v="99"/>
    <s v="Wednesday"/>
    <s v="colder"/>
    <n v="1"/>
    <x v="1"/>
  </r>
  <r>
    <d v="2012-02-09T00:00:00"/>
    <n v="1"/>
    <n v="0"/>
    <n v="1"/>
    <n v="20"/>
    <b v="0"/>
    <n v="2"/>
    <n v="2"/>
    <n v="0.22"/>
    <n v="0.2727"/>
    <n v="0.87"/>
    <n v="0"/>
    <n v="83"/>
    <n v="83"/>
    <s v="Thursday"/>
    <s v="colder"/>
    <n v="0"/>
    <x v="1"/>
  </r>
  <r>
    <d v="2012-02-10T00:00:00"/>
    <n v="1"/>
    <n v="0"/>
    <n v="1"/>
    <n v="21"/>
    <b v="0"/>
    <n v="2"/>
    <n v="2"/>
    <n v="0.22"/>
    <n v="0.2424"/>
    <n v="0.93"/>
    <n v="0.1045"/>
    <n v="41"/>
    <n v="41"/>
    <s v="Friday"/>
    <s v="colder"/>
    <n v="0"/>
    <x v="1"/>
  </r>
  <r>
    <d v="2012-02-11T00:00:00"/>
    <n v="1"/>
    <n v="0"/>
    <n v="1"/>
    <n v="22"/>
    <b v="0"/>
    <n v="2"/>
    <n v="2"/>
    <n v="0.22"/>
    <n v="0.2576"/>
    <n v="0.93"/>
    <n v="8.9599999999999999E-2"/>
    <n v="33"/>
    <n v="33"/>
    <s v="Saturday"/>
    <s v="colder"/>
    <n v="0"/>
    <x v="1"/>
  </r>
  <r>
    <d v="2012-02-12T00:00:00"/>
    <n v="1"/>
    <n v="0"/>
    <n v="1"/>
    <n v="23"/>
    <b v="0"/>
    <n v="2"/>
    <n v="2"/>
    <n v="0.22"/>
    <n v="0.2727"/>
    <n v="0.93"/>
    <n v="0"/>
    <n v="19"/>
    <n v="20"/>
    <s v="Sunday"/>
    <s v="colder"/>
    <n v="1"/>
    <x v="1"/>
  </r>
  <r>
    <d v="2012-02-13T00:00:00"/>
    <n v="1"/>
    <n v="0"/>
    <n v="1"/>
    <n v="0"/>
    <b v="0"/>
    <n v="3"/>
    <n v="2"/>
    <n v="0.22"/>
    <n v="0.2727"/>
    <n v="0.93"/>
    <n v="0"/>
    <n v="3"/>
    <n v="3"/>
    <s v="Monday"/>
    <s v="colder"/>
    <n v="0"/>
    <x v="1"/>
  </r>
  <r>
    <d v="2012-02-14T00:00:00"/>
    <n v="1"/>
    <n v="0"/>
    <n v="1"/>
    <n v="1"/>
    <b v="0"/>
    <n v="3"/>
    <n v="3"/>
    <n v="0.22"/>
    <n v="0.2273"/>
    <n v="0.93"/>
    <n v="0.1343"/>
    <n v="6"/>
    <n v="7"/>
    <s v="Tuesday"/>
    <s v="colder"/>
    <n v="1"/>
    <x v="2"/>
  </r>
  <r>
    <d v="2012-02-15T00:00:00"/>
    <n v="1"/>
    <n v="0"/>
    <n v="1"/>
    <n v="2"/>
    <b v="0"/>
    <n v="3"/>
    <n v="3"/>
    <n v="0.22"/>
    <n v="0.2273"/>
    <n v="0.93"/>
    <n v="0.1343"/>
    <n v="3"/>
    <n v="3"/>
    <s v="Wednesday"/>
    <s v="colder"/>
    <n v="0"/>
    <x v="2"/>
  </r>
  <r>
    <d v="2012-02-16T00:00:00"/>
    <n v="1"/>
    <n v="0"/>
    <n v="1"/>
    <n v="4"/>
    <b v="0"/>
    <n v="3"/>
    <n v="3"/>
    <n v="0.22"/>
    <n v="0.2273"/>
    <n v="0.93"/>
    <n v="0.1343"/>
    <n v="1"/>
    <n v="2"/>
    <s v="Thursday"/>
    <s v="colder"/>
    <n v="1"/>
    <x v="2"/>
  </r>
  <r>
    <d v="2012-02-17T00:00:00"/>
    <n v="1"/>
    <n v="0"/>
    <n v="1"/>
    <n v="5"/>
    <b v="0"/>
    <n v="3"/>
    <n v="2"/>
    <n v="0.22"/>
    <n v="0.2576"/>
    <n v="0.93"/>
    <n v="8.9599999999999999E-2"/>
    <n v="7"/>
    <n v="7"/>
    <s v="Friday"/>
    <s v="colder"/>
    <n v="0"/>
    <x v="1"/>
  </r>
  <r>
    <d v="2012-02-18T00:00:00"/>
    <n v="1"/>
    <n v="0"/>
    <n v="1"/>
    <n v="6"/>
    <b v="0"/>
    <n v="3"/>
    <n v="2"/>
    <n v="0.22"/>
    <n v="0.2576"/>
    <n v="0.93"/>
    <n v="8.9599999999999999E-2"/>
    <n v="32"/>
    <n v="32"/>
    <s v="Saturday"/>
    <s v="colder"/>
    <n v="0"/>
    <x v="1"/>
  </r>
  <r>
    <d v="2012-02-19T00:00:00"/>
    <n v="1"/>
    <n v="0"/>
    <n v="1"/>
    <n v="7"/>
    <b v="0"/>
    <n v="3"/>
    <n v="2"/>
    <n v="0.24"/>
    <n v="0.2576"/>
    <n v="0.92"/>
    <n v="0.1045"/>
    <n v="89"/>
    <n v="90"/>
    <s v="Sunday"/>
    <s v="cold"/>
    <n v="1"/>
    <x v="1"/>
  </r>
  <r>
    <d v="2012-02-20T00:00:00"/>
    <n v="1"/>
    <n v="0"/>
    <n v="1"/>
    <n v="8"/>
    <b v="0"/>
    <n v="3"/>
    <n v="2"/>
    <n v="0.24"/>
    <n v="0.2576"/>
    <n v="0.93"/>
    <n v="0.1045"/>
    <n v="196"/>
    <n v="197"/>
    <s v="Monday"/>
    <s v="cold"/>
    <n v="1"/>
    <x v="1"/>
  </r>
  <r>
    <d v="2012-02-21T00:00:00"/>
    <n v="1"/>
    <n v="0"/>
    <n v="1"/>
    <n v="9"/>
    <b v="0"/>
    <n v="3"/>
    <n v="2"/>
    <n v="0.24"/>
    <n v="0.2576"/>
    <n v="0.93"/>
    <n v="0.1045"/>
    <n v="107"/>
    <n v="109"/>
    <s v="Tuesday"/>
    <s v="cold"/>
    <n v="2"/>
    <x v="1"/>
  </r>
  <r>
    <d v="2012-02-22T00:00:00"/>
    <n v="1"/>
    <n v="0"/>
    <n v="1"/>
    <n v="10"/>
    <b v="0"/>
    <n v="3"/>
    <n v="2"/>
    <n v="0.26"/>
    <n v="0.2727"/>
    <n v="0.93"/>
    <n v="0.1343"/>
    <n v="46"/>
    <n v="47"/>
    <s v="Wednesday"/>
    <s v="cold"/>
    <n v="1"/>
    <x v="1"/>
  </r>
  <r>
    <d v="2012-02-23T00:00:00"/>
    <n v="1"/>
    <n v="0"/>
    <n v="1"/>
    <n v="11"/>
    <b v="0"/>
    <n v="3"/>
    <n v="2"/>
    <n v="0.28000000000000003"/>
    <n v="0.30299999999999999"/>
    <n v="0.87"/>
    <n v="8.9599999999999999E-2"/>
    <n v="47"/>
    <n v="52"/>
    <s v="Thursday"/>
    <s v="cold"/>
    <n v="5"/>
    <x v="1"/>
  </r>
  <r>
    <d v="2012-02-24T00:00:00"/>
    <n v="1"/>
    <n v="0"/>
    <n v="1"/>
    <n v="12"/>
    <b v="0"/>
    <n v="3"/>
    <n v="2"/>
    <n v="0.3"/>
    <n v="0.31819999999999998"/>
    <n v="0.81"/>
    <n v="8.9599999999999999E-2"/>
    <n v="65"/>
    <n v="70"/>
    <s v="Friday"/>
    <s v="cold"/>
    <n v="5"/>
    <x v="1"/>
  </r>
  <r>
    <d v="2012-02-25T00:00:00"/>
    <n v="1"/>
    <n v="0"/>
    <n v="1"/>
    <n v="13"/>
    <b v="0"/>
    <n v="3"/>
    <n v="1"/>
    <n v="0.4"/>
    <n v="0.40910000000000002"/>
    <n v="0.62"/>
    <n v="0.28360000000000002"/>
    <n v="67"/>
    <n v="78"/>
    <s v="Saturday"/>
    <s v="cold"/>
    <n v="11"/>
    <x v="0"/>
  </r>
  <r>
    <d v="2012-02-26T00:00:00"/>
    <n v="1"/>
    <n v="0"/>
    <n v="1"/>
    <n v="14"/>
    <b v="0"/>
    <n v="3"/>
    <n v="1"/>
    <n v="0.4"/>
    <n v="0.40910000000000002"/>
    <n v="0.57999999999999996"/>
    <n v="0.25369999999999998"/>
    <n v="68"/>
    <n v="75"/>
    <s v="Sunday"/>
    <s v="cold"/>
    <n v="7"/>
    <x v="0"/>
  </r>
  <r>
    <d v="2012-02-27T00:00:00"/>
    <n v="1"/>
    <n v="0"/>
    <n v="1"/>
    <n v="15"/>
    <b v="0"/>
    <n v="3"/>
    <n v="1"/>
    <n v="0.4"/>
    <n v="0.40910000000000002"/>
    <n v="0.54"/>
    <n v="0.28360000000000002"/>
    <n v="78"/>
    <n v="82"/>
    <s v="Monday"/>
    <s v="cold"/>
    <n v="4"/>
    <x v="0"/>
  </r>
  <r>
    <d v="2012-02-28T00:00:00"/>
    <n v="1"/>
    <n v="0"/>
    <n v="1"/>
    <n v="16"/>
    <b v="0"/>
    <n v="3"/>
    <n v="1"/>
    <n v="0.38"/>
    <n v="0.39389999999999997"/>
    <n v="0.57999999999999996"/>
    <n v="0.3881"/>
    <n v="94"/>
    <n v="104"/>
    <s v="Tuesday"/>
    <s v="cold"/>
    <n v="10"/>
    <x v="0"/>
  </r>
  <r>
    <d v="2012-02-29T00:00:00"/>
    <n v="1"/>
    <n v="0"/>
    <n v="1"/>
    <n v="17"/>
    <b v="0"/>
    <n v="3"/>
    <n v="1"/>
    <n v="0.36"/>
    <n v="0.33329999999999999"/>
    <n v="0.56999999999999995"/>
    <n v="0.32840000000000003"/>
    <n v="190"/>
    <n v="197"/>
    <s v="Wednesday"/>
    <s v="cold"/>
    <n v="7"/>
    <x v="0"/>
  </r>
  <r>
    <d v="2012-03-01T00:00:00"/>
    <n v="1"/>
    <n v="0"/>
    <n v="1"/>
    <n v="18"/>
    <b v="0"/>
    <n v="3"/>
    <n v="1"/>
    <n v="0.34"/>
    <n v="0.31819999999999998"/>
    <n v="0.61"/>
    <n v="0.28360000000000002"/>
    <n v="156"/>
    <n v="161"/>
    <s v="Thursday"/>
    <s v="cold"/>
    <n v="5"/>
    <x v="0"/>
  </r>
  <r>
    <d v="2012-03-02T00:00:00"/>
    <n v="1"/>
    <n v="0"/>
    <n v="1"/>
    <n v="19"/>
    <b v="0"/>
    <n v="3"/>
    <n v="1"/>
    <n v="0.32"/>
    <n v="0.28789999999999999"/>
    <n v="0.56999999999999995"/>
    <n v="0.41789999999999999"/>
    <n v="108"/>
    <n v="112"/>
    <s v="Friday"/>
    <s v="cold"/>
    <n v="4"/>
    <x v="0"/>
  </r>
  <r>
    <d v="2012-03-03T00:00:00"/>
    <n v="1"/>
    <n v="0"/>
    <n v="1"/>
    <n v="20"/>
    <b v="0"/>
    <n v="3"/>
    <n v="1"/>
    <n v="0.32"/>
    <n v="0.30299999999999999"/>
    <n v="0.49"/>
    <n v="0.29849999999999999"/>
    <n v="74"/>
    <n v="76"/>
    <s v="Saturday"/>
    <s v="cold"/>
    <n v="2"/>
    <x v="0"/>
  </r>
  <r>
    <d v="2012-03-04T00:00:00"/>
    <n v="1"/>
    <n v="0"/>
    <n v="1"/>
    <n v="21"/>
    <b v="0"/>
    <n v="3"/>
    <n v="1"/>
    <n v="0.32"/>
    <n v="0.28789999999999999"/>
    <n v="0.49"/>
    <n v="0.41789999999999999"/>
    <n v="55"/>
    <n v="59"/>
    <s v="Sunday"/>
    <s v="cold"/>
    <n v="4"/>
    <x v="0"/>
  </r>
  <r>
    <d v="2012-03-05T00:00:00"/>
    <n v="1"/>
    <n v="0"/>
    <n v="1"/>
    <n v="22"/>
    <b v="0"/>
    <n v="3"/>
    <n v="1"/>
    <n v="0.3"/>
    <n v="0.30299999999999999"/>
    <n v="0.52"/>
    <n v="0.16420000000000001"/>
    <n v="53"/>
    <n v="59"/>
    <s v="Monday"/>
    <s v="cold"/>
    <n v="6"/>
    <x v="0"/>
  </r>
  <r>
    <d v="2012-03-06T00:00:00"/>
    <n v="1"/>
    <n v="0"/>
    <n v="1"/>
    <n v="23"/>
    <b v="0"/>
    <n v="3"/>
    <n v="1"/>
    <n v="0.3"/>
    <n v="0.2727"/>
    <n v="0.52"/>
    <n v="0.4627"/>
    <n v="27"/>
    <n v="28"/>
    <s v="Tuesday"/>
    <s v="cold"/>
    <n v="1"/>
    <x v="0"/>
  </r>
  <r>
    <d v="2012-03-07T00:00:00"/>
    <n v="1"/>
    <n v="0"/>
    <n v="1"/>
    <n v="0"/>
    <b v="0"/>
    <n v="4"/>
    <n v="1"/>
    <n v="0.26"/>
    <n v="0.2273"/>
    <n v="0.56000000000000005"/>
    <n v="0.3881"/>
    <n v="8"/>
    <n v="13"/>
    <s v="Wednesday"/>
    <s v="cold"/>
    <n v="5"/>
    <x v="0"/>
  </r>
  <r>
    <d v="2012-03-08T00:00:00"/>
    <n v="1"/>
    <n v="0"/>
    <n v="1"/>
    <n v="1"/>
    <b v="0"/>
    <n v="4"/>
    <n v="1"/>
    <n v="0.26"/>
    <n v="0.2727"/>
    <n v="0.56000000000000005"/>
    <n v="0"/>
    <n v="3"/>
    <n v="5"/>
    <s v="Thursday"/>
    <s v="cold"/>
    <n v="2"/>
    <x v="0"/>
  </r>
  <r>
    <d v="2012-03-09T00:00:00"/>
    <n v="1"/>
    <n v="0"/>
    <n v="1"/>
    <n v="2"/>
    <b v="0"/>
    <n v="4"/>
    <n v="1"/>
    <n v="0.26"/>
    <n v="0.2727"/>
    <n v="0.56000000000000005"/>
    <n v="0"/>
    <n v="2"/>
    <n v="2"/>
    <s v="Friday"/>
    <s v="cold"/>
    <n v="0"/>
    <x v="0"/>
  </r>
  <r>
    <d v="2012-03-10T00:00:00"/>
    <n v="1"/>
    <n v="0"/>
    <n v="1"/>
    <n v="3"/>
    <b v="0"/>
    <n v="4"/>
    <n v="1"/>
    <n v="0.26"/>
    <n v="0.2576"/>
    <n v="0.56000000000000005"/>
    <n v="0.16420000000000001"/>
    <n v="1"/>
    <n v="1"/>
    <s v="Saturday"/>
    <s v="cold"/>
    <n v="0"/>
    <x v="0"/>
  </r>
  <r>
    <d v="2012-03-11T00:00:00"/>
    <n v="1"/>
    <n v="0"/>
    <n v="1"/>
    <n v="4"/>
    <b v="0"/>
    <n v="4"/>
    <n v="1"/>
    <n v="0.26"/>
    <n v="0.2576"/>
    <n v="0.56000000000000005"/>
    <n v="0.16420000000000001"/>
    <n v="1"/>
    <n v="1"/>
    <s v="Sunday"/>
    <s v="cold"/>
    <n v="0"/>
    <x v="0"/>
  </r>
  <r>
    <d v="2012-03-12T00:00:00"/>
    <n v="1"/>
    <n v="0"/>
    <n v="1"/>
    <n v="5"/>
    <b v="0"/>
    <n v="4"/>
    <n v="1"/>
    <n v="0.24"/>
    <n v="0.2273"/>
    <n v="0.6"/>
    <n v="0.22389999999999999"/>
    <n v="6"/>
    <n v="6"/>
    <s v="Monday"/>
    <s v="cold"/>
    <n v="0"/>
    <x v="0"/>
  </r>
  <r>
    <d v="2012-03-13T00:00:00"/>
    <n v="1"/>
    <n v="0"/>
    <n v="1"/>
    <n v="6"/>
    <b v="0"/>
    <n v="4"/>
    <n v="1"/>
    <n v="0.22"/>
    <n v="0.21210000000000001"/>
    <n v="0.6"/>
    <n v="0.22389999999999999"/>
    <n v="35"/>
    <n v="35"/>
    <s v="Tuesday"/>
    <s v="colder"/>
    <n v="0"/>
    <x v="0"/>
  </r>
  <r>
    <d v="2012-03-14T00:00:00"/>
    <n v="1"/>
    <n v="0"/>
    <n v="1"/>
    <n v="7"/>
    <b v="0"/>
    <n v="4"/>
    <n v="1"/>
    <n v="0.22"/>
    <n v="0.21210000000000001"/>
    <n v="0.55000000000000004"/>
    <n v="0.22389999999999999"/>
    <n v="100"/>
    <n v="101"/>
    <s v="Wednesday"/>
    <s v="colder"/>
    <n v="1"/>
    <x v="0"/>
  </r>
  <r>
    <d v="2012-03-15T00:00:00"/>
    <n v="1"/>
    <n v="0"/>
    <n v="1"/>
    <n v="8"/>
    <b v="0"/>
    <n v="4"/>
    <n v="1"/>
    <n v="0.22"/>
    <n v="0.21210000000000001"/>
    <n v="0.55000000000000004"/>
    <n v="0.28360000000000002"/>
    <n v="247"/>
    <n v="249"/>
    <s v="Thursday"/>
    <s v="colder"/>
    <n v="2"/>
    <x v="0"/>
  </r>
  <r>
    <d v="2012-03-16T00:00:00"/>
    <n v="1"/>
    <n v="0"/>
    <n v="1"/>
    <n v="9"/>
    <b v="0"/>
    <n v="4"/>
    <n v="2"/>
    <n v="0.24"/>
    <n v="0.2273"/>
    <n v="0.52"/>
    <n v="0.22389999999999999"/>
    <n v="140"/>
    <n v="143"/>
    <s v="Friday"/>
    <s v="cold"/>
    <n v="3"/>
    <x v="1"/>
  </r>
  <r>
    <d v="2012-03-17T00:00:00"/>
    <n v="1"/>
    <n v="0"/>
    <n v="1"/>
    <n v="10"/>
    <b v="0"/>
    <n v="4"/>
    <n v="1"/>
    <n v="0.26"/>
    <n v="0.2273"/>
    <n v="0.48"/>
    <n v="0.29849999999999999"/>
    <n v="56"/>
    <n v="57"/>
    <s v="Saturday"/>
    <s v="cold"/>
    <n v="1"/>
    <x v="0"/>
  </r>
  <r>
    <d v="2012-03-18T00:00:00"/>
    <n v="1"/>
    <n v="0"/>
    <n v="1"/>
    <n v="11"/>
    <b v="0"/>
    <n v="4"/>
    <n v="2"/>
    <n v="0.28000000000000003"/>
    <n v="0.2727"/>
    <n v="0.45"/>
    <n v="0.16420000000000001"/>
    <n v="63"/>
    <n v="68"/>
    <s v="Sunday"/>
    <s v="cold"/>
    <n v="5"/>
    <x v="1"/>
  </r>
  <r>
    <d v="2012-03-19T00:00:00"/>
    <n v="1"/>
    <n v="0"/>
    <n v="1"/>
    <n v="12"/>
    <b v="0"/>
    <n v="4"/>
    <n v="2"/>
    <n v="0.3"/>
    <n v="0.33329999999999999"/>
    <n v="0.42"/>
    <n v="0"/>
    <n v="77"/>
    <n v="84"/>
    <s v="Monday"/>
    <s v="cold"/>
    <n v="7"/>
    <x v="1"/>
  </r>
  <r>
    <d v="2012-03-20T00:00:00"/>
    <n v="1"/>
    <n v="0"/>
    <n v="1"/>
    <n v="13"/>
    <b v="0"/>
    <n v="4"/>
    <n v="2"/>
    <n v="0.28000000000000003"/>
    <n v="0.28789999999999999"/>
    <n v="0.45"/>
    <n v="0.1045"/>
    <n v="86"/>
    <n v="98"/>
    <s v="Tuesday"/>
    <s v="cold"/>
    <n v="12"/>
    <x v="1"/>
  </r>
  <r>
    <d v="2012-03-21T00:00:00"/>
    <n v="1"/>
    <n v="0"/>
    <n v="1"/>
    <n v="14"/>
    <b v="0"/>
    <n v="4"/>
    <n v="2"/>
    <n v="0.3"/>
    <n v="0.30299999999999999"/>
    <n v="0.45"/>
    <n v="0.1343"/>
    <n v="75"/>
    <n v="81"/>
    <s v="Wednesday"/>
    <s v="cold"/>
    <n v="6"/>
    <x v="1"/>
  </r>
  <r>
    <d v="2012-03-22T00:00:00"/>
    <n v="1"/>
    <n v="0"/>
    <n v="1"/>
    <n v="15"/>
    <b v="0"/>
    <n v="4"/>
    <n v="2"/>
    <n v="0.32"/>
    <n v="0.31819999999999998"/>
    <n v="0.45"/>
    <n v="0.19400000000000001"/>
    <n v="62"/>
    <n v="70"/>
    <s v="Thursday"/>
    <s v="cold"/>
    <n v="8"/>
    <x v="1"/>
  </r>
  <r>
    <d v="2012-03-23T00:00:00"/>
    <n v="1"/>
    <n v="0"/>
    <n v="1"/>
    <n v="16"/>
    <b v="0"/>
    <n v="4"/>
    <n v="2"/>
    <n v="0.3"/>
    <n v="0.30299999999999999"/>
    <n v="0.49"/>
    <n v="0.1343"/>
    <n v="83"/>
    <n v="91"/>
    <s v="Friday"/>
    <s v="cold"/>
    <n v="8"/>
    <x v="1"/>
  </r>
  <r>
    <d v="2012-03-24T00:00:00"/>
    <n v="1"/>
    <n v="0"/>
    <n v="1"/>
    <n v="17"/>
    <b v="0"/>
    <n v="4"/>
    <n v="2"/>
    <n v="0.3"/>
    <n v="0.31819999999999998"/>
    <n v="0.49"/>
    <n v="0.1045"/>
    <n v="207"/>
    <n v="215"/>
    <s v="Saturday"/>
    <s v="cold"/>
    <n v="8"/>
    <x v="1"/>
  </r>
  <r>
    <d v="2012-03-25T00:00:00"/>
    <n v="1"/>
    <n v="0"/>
    <n v="1"/>
    <n v="18"/>
    <b v="0"/>
    <n v="4"/>
    <n v="2"/>
    <n v="0.26"/>
    <n v="0.2576"/>
    <n v="0.56000000000000005"/>
    <n v="0.19400000000000001"/>
    <n v="184"/>
    <n v="185"/>
    <s v="Sunday"/>
    <s v="cold"/>
    <n v="1"/>
    <x v="1"/>
  </r>
  <r>
    <d v="2012-03-26T00:00:00"/>
    <n v="1"/>
    <n v="0"/>
    <n v="1"/>
    <n v="19"/>
    <b v="0"/>
    <n v="4"/>
    <n v="1"/>
    <n v="0.26"/>
    <n v="0.2273"/>
    <n v="0.56000000000000005"/>
    <n v="0.32840000000000003"/>
    <n v="146"/>
    <n v="152"/>
    <s v="Monday"/>
    <s v="cold"/>
    <n v="6"/>
    <x v="0"/>
  </r>
  <r>
    <d v="2012-03-27T00:00:00"/>
    <n v="1"/>
    <n v="0"/>
    <n v="1"/>
    <n v="20"/>
    <b v="0"/>
    <n v="4"/>
    <n v="2"/>
    <n v="0.26"/>
    <n v="0.2424"/>
    <n v="0.6"/>
    <n v="0.28360000000000002"/>
    <n v="124"/>
    <n v="126"/>
    <s v="Tuesday"/>
    <s v="cold"/>
    <n v="2"/>
    <x v="1"/>
  </r>
  <r>
    <d v="2012-03-28T00:00:00"/>
    <n v="1"/>
    <n v="0"/>
    <n v="1"/>
    <n v="21"/>
    <b v="0"/>
    <n v="4"/>
    <n v="2"/>
    <n v="0.24"/>
    <n v="0.2273"/>
    <n v="0.6"/>
    <n v="0.25369999999999998"/>
    <n v="54"/>
    <n v="57"/>
    <s v="Wednesday"/>
    <s v="cold"/>
    <n v="3"/>
    <x v="1"/>
  </r>
  <r>
    <d v="2012-03-29T00:00:00"/>
    <n v="1"/>
    <n v="0"/>
    <n v="1"/>
    <n v="22"/>
    <b v="0"/>
    <n v="4"/>
    <n v="2"/>
    <n v="0.24"/>
    <n v="0.21210000000000001"/>
    <n v="0.65"/>
    <n v="0.28360000000000002"/>
    <n v="56"/>
    <n v="56"/>
    <s v="Thursday"/>
    <s v="cold"/>
    <n v="0"/>
    <x v="1"/>
  </r>
  <r>
    <d v="2012-03-30T00:00:00"/>
    <n v="1"/>
    <n v="0"/>
    <n v="1"/>
    <n v="23"/>
    <b v="0"/>
    <n v="4"/>
    <n v="2"/>
    <n v="0.24"/>
    <n v="0.21210000000000001"/>
    <n v="0.65"/>
    <n v="0.32840000000000003"/>
    <n v="28"/>
    <n v="31"/>
    <s v="Friday"/>
    <s v="cold"/>
    <n v="3"/>
    <x v="1"/>
  </r>
  <r>
    <d v="2012-03-31T00:00:00"/>
    <n v="1"/>
    <n v="0"/>
    <n v="1"/>
    <n v="0"/>
    <b v="0"/>
    <n v="5"/>
    <n v="2"/>
    <n v="0.24"/>
    <n v="0.2273"/>
    <n v="0.7"/>
    <n v="0.25369999999999998"/>
    <n v="20"/>
    <n v="21"/>
    <s v="Saturday"/>
    <s v="cold"/>
    <n v="1"/>
    <x v="1"/>
  </r>
  <r>
    <d v="2012-04-01T00:00:00"/>
    <n v="1"/>
    <n v="0"/>
    <n v="1"/>
    <n v="1"/>
    <b v="0"/>
    <n v="5"/>
    <n v="2"/>
    <n v="0.24"/>
    <n v="0.2273"/>
    <n v="0.7"/>
    <n v="0.25369999999999998"/>
    <n v="6"/>
    <n v="6"/>
    <s v="Sunday"/>
    <s v="cold"/>
    <n v="0"/>
    <x v="1"/>
  </r>
  <r>
    <d v="2012-04-02T00:00:00"/>
    <n v="1"/>
    <n v="0"/>
    <n v="1"/>
    <n v="2"/>
    <b v="0"/>
    <n v="5"/>
    <n v="3"/>
    <n v="0.24"/>
    <n v="0.2424"/>
    <n v="0.75"/>
    <n v="0.16420000000000001"/>
    <n v="2"/>
    <n v="2"/>
    <s v="Monday"/>
    <s v="cold"/>
    <n v="0"/>
    <x v="2"/>
  </r>
  <r>
    <d v="2012-04-03T00:00:00"/>
    <n v="1"/>
    <n v="0"/>
    <n v="1"/>
    <n v="3"/>
    <b v="0"/>
    <n v="5"/>
    <n v="3"/>
    <n v="0.22"/>
    <n v="0.21210000000000001"/>
    <n v="0.8"/>
    <n v="0.29849999999999999"/>
    <n v="1"/>
    <n v="1"/>
    <s v="Tuesday"/>
    <s v="colder"/>
    <n v="0"/>
    <x v="2"/>
  </r>
  <r>
    <d v="2012-04-04T00:00:00"/>
    <n v="1"/>
    <n v="0"/>
    <n v="1"/>
    <n v="4"/>
    <b v="0"/>
    <n v="5"/>
    <n v="2"/>
    <n v="0.22"/>
    <n v="0.2576"/>
    <n v="0.87"/>
    <n v="8.9599999999999999E-2"/>
    <n v="1"/>
    <n v="1"/>
    <s v="Wednesday"/>
    <s v="colder"/>
    <n v="0"/>
    <x v="1"/>
  </r>
  <r>
    <d v="2012-04-05T00:00:00"/>
    <n v="1"/>
    <n v="0"/>
    <n v="1"/>
    <n v="5"/>
    <b v="0"/>
    <n v="5"/>
    <n v="1"/>
    <n v="0.24"/>
    <n v="0.19700000000000001"/>
    <n v="0.6"/>
    <n v="0.41789999999999999"/>
    <n v="4"/>
    <n v="5"/>
    <s v="Thursday"/>
    <s v="cold"/>
    <n v="1"/>
    <x v="0"/>
  </r>
  <r>
    <d v="2012-04-06T00:00:00"/>
    <n v="1"/>
    <n v="0"/>
    <n v="1"/>
    <n v="6"/>
    <b v="0"/>
    <n v="5"/>
    <n v="1"/>
    <n v="0.22"/>
    <n v="0.21210000000000001"/>
    <n v="0.55000000000000004"/>
    <n v="0.25369999999999998"/>
    <n v="27"/>
    <n v="27"/>
    <s v="Friday"/>
    <s v="colder"/>
    <n v="0"/>
    <x v="0"/>
  </r>
  <r>
    <d v="2012-04-07T00:00:00"/>
    <n v="1"/>
    <n v="0"/>
    <n v="1"/>
    <n v="7"/>
    <b v="0"/>
    <n v="5"/>
    <n v="1"/>
    <n v="0.2"/>
    <n v="0.18179999999999999"/>
    <n v="0.51"/>
    <n v="0.28360000000000002"/>
    <n v="66"/>
    <n v="68"/>
    <s v="Saturday"/>
    <s v="colder"/>
    <n v="2"/>
    <x v="0"/>
  </r>
  <r>
    <d v="2012-04-08T00:00:00"/>
    <n v="1"/>
    <n v="0"/>
    <n v="1"/>
    <n v="8"/>
    <b v="0"/>
    <n v="5"/>
    <n v="1"/>
    <n v="0.2"/>
    <n v="0.18179999999999999"/>
    <n v="0.47"/>
    <n v="0.32840000000000003"/>
    <n v="210"/>
    <n v="217"/>
    <s v="Sunday"/>
    <s v="colder"/>
    <n v="7"/>
    <x v="0"/>
  </r>
  <r>
    <d v="2012-04-09T00:00:00"/>
    <n v="1"/>
    <n v="0"/>
    <n v="1"/>
    <n v="9"/>
    <b v="0"/>
    <n v="5"/>
    <n v="1"/>
    <n v="0.2"/>
    <n v="0.18179999999999999"/>
    <n v="0.51"/>
    <n v="0.35820000000000002"/>
    <n v="159"/>
    <n v="166"/>
    <s v="Monday"/>
    <s v="colder"/>
    <n v="7"/>
    <x v="0"/>
  </r>
  <r>
    <d v="2012-04-10T00:00:00"/>
    <n v="1"/>
    <n v="0"/>
    <n v="1"/>
    <n v="10"/>
    <b v="0"/>
    <n v="5"/>
    <n v="1"/>
    <n v="0.2"/>
    <n v="0.16669999999999999"/>
    <n v="0.47"/>
    <n v="0.4627"/>
    <n v="57"/>
    <n v="63"/>
    <s v="Tuesday"/>
    <s v="colder"/>
    <n v="6"/>
    <x v="0"/>
  </r>
  <r>
    <d v="2012-04-11T00:00:00"/>
    <n v="1"/>
    <n v="0"/>
    <n v="1"/>
    <n v="11"/>
    <b v="0"/>
    <n v="5"/>
    <n v="1"/>
    <n v="0.22"/>
    <n v="0.18179999999999999"/>
    <n v="0.41"/>
    <n v="0.4627"/>
    <n v="53"/>
    <n v="59"/>
    <s v="Wednesday"/>
    <s v="colder"/>
    <n v="6"/>
    <x v="0"/>
  </r>
  <r>
    <d v="2012-04-12T00:00:00"/>
    <n v="1"/>
    <n v="0"/>
    <n v="1"/>
    <n v="12"/>
    <b v="0"/>
    <n v="5"/>
    <n v="1"/>
    <n v="0.22"/>
    <n v="0.18179999999999999"/>
    <n v="0.27"/>
    <n v="0.58209999999999995"/>
    <n v="67"/>
    <n v="78"/>
    <s v="Thursday"/>
    <s v="colder"/>
    <n v="11"/>
    <x v="0"/>
  </r>
  <r>
    <d v="2012-04-13T00:00:00"/>
    <n v="1"/>
    <n v="0"/>
    <n v="1"/>
    <n v="13"/>
    <b v="0"/>
    <n v="5"/>
    <n v="1"/>
    <n v="0.2"/>
    <n v="0.1515"/>
    <n v="0.21"/>
    <n v="0.58209999999999995"/>
    <n v="65"/>
    <n v="73"/>
    <s v="Friday"/>
    <s v="colder"/>
    <n v="8"/>
    <x v="0"/>
  </r>
  <r>
    <d v="2012-04-14T00:00:00"/>
    <n v="1"/>
    <n v="0"/>
    <n v="1"/>
    <n v="14"/>
    <b v="0"/>
    <n v="5"/>
    <n v="1"/>
    <n v="0.2"/>
    <n v="0.1515"/>
    <n v="0.25"/>
    <n v="0.52239999999999998"/>
    <n v="56"/>
    <n v="62"/>
    <s v="Saturday"/>
    <s v="colder"/>
    <n v="6"/>
    <x v="0"/>
  </r>
  <r>
    <d v="2012-04-15T00:00:00"/>
    <n v="1"/>
    <n v="0"/>
    <n v="1"/>
    <n v="15"/>
    <b v="0"/>
    <n v="5"/>
    <n v="1"/>
    <n v="0.16"/>
    <n v="0.1212"/>
    <n v="0.26"/>
    <n v="0.44779999999999998"/>
    <n v="61"/>
    <n v="65"/>
    <s v="Sunday"/>
    <s v="colder"/>
    <n v="4"/>
    <x v="0"/>
  </r>
  <r>
    <d v="2012-04-16T00:00:00"/>
    <n v="1"/>
    <n v="0"/>
    <n v="1"/>
    <n v="16"/>
    <b v="0"/>
    <n v="5"/>
    <n v="1"/>
    <n v="0.16"/>
    <n v="0.13639999999999999"/>
    <n v="0.26"/>
    <n v="0.35820000000000002"/>
    <n v="97"/>
    <n v="97"/>
    <s v="Monday"/>
    <s v="colder"/>
    <n v="0"/>
    <x v="0"/>
  </r>
  <r>
    <d v="2012-04-17T00:00:00"/>
    <n v="1"/>
    <n v="0"/>
    <n v="1"/>
    <n v="17"/>
    <b v="0"/>
    <n v="5"/>
    <n v="1"/>
    <n v="0.14000000000000001"/>
    <n v="0.1212"/>
    <n v="0.28000000000000003"/>
    <n v="0.35820000000000002"/>
    <n v="151"/>
    <n v="161"/>
    <s v="Tuesday"/>
    <s v="colder"/>
    <n v="10"/>
    <x v="0"/>
  </r>
  <r>
    <d v="2012-04-18T00:00:00"/>
    <n v="1"/>
    <n v="0"/>
    <n v="1"/>
    <n v="18"/>
    <b v="0"/>
    <n v="5"/>
    <n v="1"/>
    <n v="0.12"/>
    <n v="0.1212"/>
    <n v="0.3"/>
    <n v="0.25369999999999998"/>
    <n v="119"/>
    <n v="120"/>
    <s v="Wednesday"/>
    <s v="colder"/>
    <n v="1"/>
    <x v="0"/>
  </r>
  <r>
    <d v="2012-04-19T00:00:00"/>
    <n v="1"/>
    <n v="0"/>
    <n v="1"/>
    <n v="19"/>
    <b v="0"/>
    <n v="5"/>
    <n v="1"/>
    <n v="0.12"/>
    <n v="0.1061"/>
    <n v="0.3"/>
    <n v="0.32840000000000003"/>
    <n v="93"/>
    <n v="96"/>
    <s v="Thursday"/>
    <s v="colder"/>
    <n v="3"/>
    <x v="0"/>
  </r>
  <r>
    <d v="2012-04-20T00:00:00"/>
    <n v="1"/>
    <n v="0"/>
    <n v="1"/>
    <n v="20"/>
    <b v="0"/>
    <n v="5"/>
    <n v="1"/>
    <n v="0.1"/>
    <n v="7.5800000000000006E-2"/>
    <n v="0.33"/>
    <n v="0.41789999999999999"/>
    <n v="52"/>
    <n v="53"/>
    <s v="Friday"/>
    <s v="colder"/>
    <n v="1"/>
    <x v="0"/>
  </r>
  <r>
    <d v="2012-04-21T00:00:00"/>
    <n v="1"/>
    <n v="0"/>
    <n v="1"/>
    <n v="21"/>
    <b v="0"/>
    <n v="5"/>
    <n v="1"/>
    <n v="0.08"/>
    <n v="7.5800000000000006E-2"/>
    <n v="0.38"/>
    <n v="0.28360000000000002"/>
    <n v="41"/>
    <n v="41"/>
    <s v="Saturday"/>
    <s v="colder"/>
    <n v="0"/>
    <x v="0"/>
  </r>
  <r>
    <d v="2012-04-22T00:00:00"/>
    <n v="1"/>
    <n v="0"/>
    <n v="1"/>
    <n v="22"/>
    <b v="0"/>
    <n v="5"/>
    <n v="1"/>
    <n v="0.06"/>
    <n v="3.0300000000000001E-2"/>
    <n v="0.41"/>
    <n v="0.3881"/>
    <n v="33"/>
    <n v="34"/>
    <s v="Sunday"/>
    <s v="colder"/>
    <n v="1"/>
    <x v="0"/>
  </r>
  <r>
    <d v="2012-04-23T00:00:00"/>
    <n v="1"/>
    <n v="0"/>
    <n v="1"/>
    <n v="23"/>
    <b v="0"/>
    <n v="5"/>
    <n v="1"/>
    <n v="0.06"/>
    <n v="4.5499999999999999E-2"/>
    <n v="0.38"/>
    <n v="0.32840000000000003"/>
    <n v="27"/>
    <n v="27"/>
    <s v="Monday"/>
    <s v="colder"/>
    <n v="0"/>
    <x v="0"/>
  </r>
  <r>
    <d v="2012-04-24T00:00:00"/>
    <n v="1"/>
    <n v="0"/>
    <n v="1"/>
    <n v="0"/>
    <b v="0"/>
    <n v="6"/>
    <n v="1"/>
    <n v="0.04"/>
    <n v="3.0300000000000001E-2"/>
    <n v="0.45"/>
    <n v="0.25369999999999998"/>
    <n v="13"/>
    <n v="13"/>
    <s v="Tuesday"/>
    <s v="colder"/>
    <n v="0"/>
    <x v="0"/>
  </r>
  <r>
    <d v="2012-04-25T00:00:00"/>
    <n v="1"/>
    <n v="0"/>
    <n v="1"/>
    <n v="1"/>
    <b v="0"/>
    <n v="6"/>
    <n v="2"/>
    <n v="0.04"/>
    <n v="0"/>
    <n v="0.41"/>
    <n v="0.3881"/>
    <n v="9"/>
    <n v="12"/>
    <s v="Wednesday"/>
    <s v="colder"/>
    <n v="3"/>
    <x v="1"/>
  </r>
  <r>
    <d v="2012-04-26T00:00:00"/>
    <n v="1"/>
    <n v="0"/>
    <n v="1"/>
    <n v="2"/>
    <b v="0"/>
    <n v="6"/>
    <n v="2"/>
    <n v="0.04"/>
    <n v="3.0300000000000001E-2"/>
    <n v="0.41"/>
    <n v="0.25369999999999998"/>
    <n v="11"/>
    <n v="11"/>
    <s v="Thursday"/>
    <s v="colder"/>
    <n v="0"/>
    <x v="1"/>
  </r>
  <r>
    <d v="2012-04-27T00:00:00"/>
    <n v="1"/>
    <n v="0"/>
    <n v="1"/>
    <n v="3"/>
    <b v="0"/>
    <n v="6"/>
    <n v="2"/>
    <n v="0.04"/>
    <n v="3.0300000000000001E-2"/>
    <n v="0.41"/>
    <n v="0.28360000000000002"/>
    <n v="6"/>
    <n v="7"/>
    <s v="Friday"/>
    <s v="colder"/>
    <n v="1"/>
    <x v="1"/>
  </r>
  <r>
    <d v="2012-04-28T00:00:00"/>
    <n v="1"/>
    <n v="0"/>
    <n v="1"/>
    <n v="4"/>
    <b v="0"/>
    <n v="6"/>
    <n v="2"/>
    <n v="0.02"/>
    <n v="1.52E-2"/>
    <n v="0.48"/>
    <n v="0.29849999999999999"/>
    <n v="3"/>
    <n v="3"/>
    <s v="Saturday"/>
    <s v="colder"/>
    <n v="0"/>
    <x v="1"/>
  </r>
  <r>
    <d v="2012-04-29T00:00:00"/>
    <n v="1"/>
    <n v="0"/>
    <n v="1"/>
    <n v="6"/>
    <b v="0"/>
    <n v="6"/>
    <n v="2"/>
    <n v="0.02"/>
    <n v="3.0300000000000001E-2"/>
    <n v="0.44"/>
    <n v="0.22389999999999999"/>
    <n v="2"/>
    <n v="2"/>
    <s v="Sunday"/>
    <s v="colder"/>
    <n v="0"/>
    <x v="1"/>
  </r>
  <r>
    <d v="2012-04-30T00:00:00"/>
    <n v="1"/>
    <n v="0"/>
    <n v="1"/>
    <n v="7"/>
    <b v="0"/>
    <n v="6"/>
    <n v="1"/>
    <n v="0.02"/>
    <n v="1.52E-2"/>
    <n v="0.44"/>
    <n v="0.28360000000000002"/>
    <n v="8"/>
    <n v="8"/>
    <s v="Monday"/>
    <s v="colder"/>
    <n v="0"/>
    <x v="0"/>
  </r>
  <r>
    <d v="2012-05-01T00:00:00"/>
    <n v="1"/>
    <n v="0"/>
    <n v="1"/>
    <n v="8"/>
    <b v="0"/>
    <n v="6"/>
    <n v="1"/>
    <n v="0.02"/>
    <n v="0"/>
    <n v="0.44"/>
    <n v="0.32840000000000003"/>
    <n v="26"/>
    <n v="27"/>
    <s v="Tuesday"/>
    <s v="colder"/>
    <n v="1"/>
    <x v="0"/>
  </r>
  <r>
    <d v="2012-05-02T00:00:00"/>
    <n v="1"/>
    <n v="0"/>
    <n v="1"/>
    <n v="9"/>
    <b v="0"/>
    <n v="6"/>
    <n v="1"/>
    <n v="0.04"/>
    <n v="3.0300000000000001E-2"/>
    <n v="0.41"/>
    <n v="0.25369999999999998"/>
    <n v="37"/>
    <n v="40"/>
    <s v="Wednesday"/>
    <s v="colder"/>
    <n v="3"/>
    <x v="0"/>
  </r>
  <r>
    <d v="2012-05-03T00:00:00"/>
    <n v="1"/>
    <n v="0"/>
    <n v="1"/>
    <n v="10"/>
    <b v="0"/>
    <n v="6"/>
    <n v="2"/>
    <n v="0.04"/>
    <n v="6.0600000000000001E-2"/>
    <n v="0.41"/>
    <n v="0.16420000000000001"/>
    <n v="50"/>
    <n v="53"/>
    <s v="Thursday"/>
    <s v="colder"/>
    <n v="3"/>
    <x v="1"/>
  </r>
  <r>
    <d v="2012-05-04T00:00:00"/>
    <n v="1"/>
    <n v="0"/>
    <n v="1"/>
    <n v="11"/>
    <b v="0"/>
    <n v="6"/>
    <n v="2"/>
    <n v="0.06"/>
    <n v="7.5800000000000006E-2"/>
    <n v="0.38"/>
    <n v="0.1343"/>
    <n v="59"/>
    <n v="63"/>
    <s v="Friday"/>
    <s v="colder"/>
    <n v="4"/>
    <x v="1"/>
  </r>
  <r>
    <d v="2012-05-05T00:00:00"/>
    <n v="1"/>
    <n v="0"/>
    <n v="1"/>
    <n v="12"/>
    <b v="0"/>
    <n v="6"/>
    <n v="2"/>
    <n v="0.06"/>
    <n v="0.1061"/>
    <n v="0.38"/>
    <n v="0.1045"/>
    <n v="60"/>
    <n v="70"/>
    <s v="Saturday"/>
    <s v="colder"/>
    <n v="10"/>
    <x v="1"/>
  </r>
  <r>
    <d v="2012-05-06T00:00:00"/>
    <n v="1"/>
    <n v="0"/>
    <n v="1"/>
    <n v="13"/>
    <b v="0"/>
    <n v="6"/>
    <n v="1"/>
    <n v="0.08"/>
    <n v="0.16669999999999999"/>
    <n v="0.35"/>
    <n v="0"/>
    <n v="72"/>
    <n v="84"/>
    <s v="Sunday"/>
    <s v="colder"/>
    <n v="12"/>
    <x v="0"/>
  </r>
  <r>
    <d v="2012-05-07T00:00:00"/>
    <n v="1"/>
    <n v="0"/>
    <n v="1"/>
    <n v="14"/>
    <b v="0"/>
    <n v="6"/>
    <n v="1"/>
    <n v="0.1"/>
    <n v="0.13639999999999999"/>
    <n v="0.33"/>
    <n v="0.1045"/>
    <n v="64"/>
    <n v="75"/>
    <s v="Monday"/>
    <s v="colder"/>
    <n v="11"/>
    <x v="0"/>
  </r>
  <r>
    <d v="2012-05-08T00:00:00"/>
    <n v="1"/>
    <n v="0"/>
    <n v="1"/>
    <n v="15"/>
    <b v="0"/>
    <n v="6"/>
    <n v="1"/>
    <n v="0.12"/>
    <n v="0.1515"/>
    <n v="0.28000000000000003"/>
    <n v="0"/>
    <n v="93"/>
    <n v="103"/>
    <s v="Tuesday"/>
    <s v="colder"/>
    <n v="10"/>
    <x v="0"/>
  </r>
  <r>
    <d v="2012-05-09T00:00:00"/>
    <n v="1"/>
    <n v="0"/>
    <n v="1"/>
    <n v="16"/>
    <b v="0"/>
    <n v="6"/>
    <n v="1"/>
    <n v="0.12"/>
    <n v="0.13639999999999999"/>
    <n v="0.28000000000000003"/>
    <n v="0.19400000000000001"/>
    <n v="72"/>
    <n v="83"/>
    <s v="Wednesday"/>
    <s v="colder"/>
    <n v="11"/>
    <x v="0"/>
  </r>
  <r>
    <d v="2012-05-10T00:00:00"/>
    <n v="1"/>
    <n v="0"/>
    <n v="1"/>
    <n v="17"/>
    <b v="0"/>
    <n v="6"/>
    <n v="1"/>
    <n v="0.12"/>
    <n v="0.19700000000000001"/>
    <n v="0.28000000000000003"/>
    <n v="0"/>
    <n v="59"/>
    <n v="67"/>
    <s v="Thursday"/>
    <s v="colder"/>
    <n v="8"/>
    <x v="0"/>
  </r>
  <r>
    <d v="2012-05-11T00:00:00"/>
    <n v="1"/>
    <n v="0"/>
    <n v="1"/>
    <n v="18"/>
    <b v="0"/>
    <n v="6"/>
    <n v="1"/>
    <n v="0.08"/>
    <n v="9.0899999999999995E-2"/>
    <n v="0.35"/>
    <n v="0.19400000000000001"/>
    <n v="54"/>
    <n v="54"/>
    <s v="Friday"/>
    <s v="colder"/>
    <n v="0"/>
    <x v="0"/>
  </r>
  <r>
    <d v="2012-05-12T00:00:00"/>
    <n v="1"/>
    <n v="0"/>
    <n v="1"/>
    <n v="19"/>
    <b v="0"/>
    <n v="6"/>
    <n v="1"/>
    <n v="0.08"/>
    <n v="0.1061"/>
    <n v="0.35"/>
    <n v="0.1343"/>
    <n v="53"/>
    <n v="59"/>
    <s v="Saturday"/>
    <s v="colder"/>
    <n v="6"/>
    <x v="0"/>
  </r>
  <r>
    <d v="2012-05-13T00:00:00"/>
    <n v="1"/>
    <n v="0"/>
    <n v="1"/>
    <n v="20"/>
    <b v="0"/>
    <n v="6"/>
    <n v="1"/>
    <n v="0.06"/>
    <n v="7.5800000000000006E-2"/>
    <n v="0.45"/>
    <n v="0.16420000000000001"/>
    <n v="44"/>
    <n v="45"/>
    <s v="Sunday"/>
    <s v="colder"/>
    <n v="1"/>
    <x v="0"/>
  </r>
  <r>
    <d v="2012-05-14T00:00:00"/>
    <n v="1"/>
    <n v="0"/>
    <n v="1"/>
    <n v="21"/>
    <b v="0"/>
    <n v="6"/>
    <n v="1"/>
    <n v="0.06"/>
    <n v="0.1061"/>
    <n v="0.41"/>
    <n v="8.9599999999999999E-2"/>
    <n v="39"/>
    <n v="39"/>
    <s v="Monday"/>
    <s v="colder"/>
    <n v="0"/>
    <x v="0"/>
  </r>
  <r>
    <d v="2012-05-15T00:00:00"/>
    <n v="1"/>
    <n v="0"/>
    <n v="1"/>
    <n v="22"/>
    <b v="0"/>
    <n v="6"/>
    <n v="1"/>
    <n v="0.06"/>
    <n v="0.1515"/>
    <n v="0.49"/>
    <n v="0"/>
    <n v="23"/>
    <n v="30"/>
    <s v="Tuesday"/>
    <s v="colder"/>
    <n v="7"/>
    <x v="0"/>
  </r>
  <r>
    <d v="2012-05-16T00:00:00"/>
    <n v="1"/>
    <n v="0"/>
    <n v="1"/>
    <n v="23"/>
    <b v="0"/>
    <n v="6"/>
    <n v="1"/>
    <n v="0.04"/>
    <n v="7.5800000000000006E-2"/>
    <n v="0.56999999999999995"/>
    <n v="0.1045"/>
    <n v="31"/>
    <n v="33"/>
    <s v="Wednesday"/>
    <s v="colder"/>
    <n v="2"/>
    <x v="0"/>
  </r>
  <r>
    <d v="2012-05-17T00:00:00"/>
    <n v="1"/>
    <n v="0"/>
    <n v="1"/>
    <n v="0"/>
    <b v="0"/>
    <n v="0"/>
    <n v="1"/>
    <n v="0.04"/>
    <n v="7.5800000000000006E-2"/>
    <n v="0.56999999999999995"/>
    <n v="0.1045"/>
    <n v="20"/>
    <n v="22"/>
    <s v="Thursday"/>
    <s v="colder"/>
    <n v="2"/>
    <x v="0"/>
  </r>
  <r>
    <d v="2012-05-18T00:00:00"/>
    <n v="1"/>
    <n v="0"/>
    <n v="1"/>
    <n v="1"/>
    <b v="0"/>
    <n v="0"/>
    <n v="1"/>
    <n v="0.04"/>
    <n v="7.5800000000000006E-2"/>
    <n v="0.56999999999999995"/>
    <n v="0.1045"/>
    <n v="12"/>
    <n v="13"/>
    <s v="Friday"/>
    <s v="colder"/>
    <n v="1"/>
    <x v="0"/>
  </r>
  <r>
    <d v="2012-05-19T00:00:00"/>
    <n v="1"/>
    <n v="0"/>
    <n v="1"/>
    <n v="2"/>
    <b v="0"/>
    <n v="0"/>
    <n v="1"/>
    <n v="0.02"/>
    <n v="6.0600000000000001E-2"/>
    <n v="0.62"/>
    <n v="0.1343"/>
    <n v="15"/>
    <n v="18"/>
    <s v="Saturday"/>
    <s v="colder"/>
    <n v="3"/>
    <x v="0"/>
  </r>
  <r>
    <d v="2012-05-20T00:00:00"/>
    <n v="1"/>
    <n v="0"/>
    <n v="1"/>
    <n v="3"/>
    <b v="0"/>
    <n v="0"/>
    <n v="1"/>
    <n v="0.02"/>
    <n v="6.0600000000000001E-2"/>
    <n v="0.62"/>
    <n v="0.1343"/>
    <n v="4"/>
    <n v="5"/>
    <s v="Sunday"/>
    <s v="colder"/>
    <n v="1"/>
    <x v="0"/>
  </r>
  <r>
    <d v="2012-05-21T00:00:00"/>
    <n v="1"/>
    <n v="0"/>
    <n v="1"/>
    <n v="5"/>
    <b v="0"/>
    <n v="0"/>
    <n v="2"/>
    <n v="0.04"/>
    <n v="7.5800000000000006E-2"/>
    <n v="0.56999999999999995"/>
    <n v="0.1045"/>
    <n v="3"/>
    <n v="3"/>
    <s v="Monday"/>
    <s v="colder"/>
    <n v="0"/>
    <x v="1"/>
  </r>
  <r>
    <d v="2012-05-22T00:00:00"/>
    <n v="1"/>
    <n v="0"/>
    <n v="1"/>
    <n v="6"/>
    <b v="0"/>
    <n v="0"/>
    <n v="2"/>
    <n v="0.04"/>
    <n v="7.5800000000000006E-2"/>
    <n v="0.56999999999999995"/>
    <n v="0.1045"/>
    <n v="1"/>
    <n v="1"/>
    <s v="Tuesday"/>
    <s v="colder"/>
    <n v="0"/>
    <x v="1"/>
  </r>
  <r>
    <d v="2012-05-23T00:00:00"/>
    <n v="1"/>
    <n v="0"/>
    <n v="1"/>
    <n v="7"/>
    <b v="0"/>
    <n v="0"/>
    <n v="1"/>
    <n v="0.08"/>
    <n v="0.1061"/>
    <n v="0.57999999999999996"/>
    <n v="0.16420000000000001"/>
    <n v="1"/>
    <n v="2"/>
    <s v="Wednesday"/>
    <s v="colder"/>
    <n v="1"/>
    <x v="0"/>
  </r>
  <r>
    <d v="2012-05-24T00:00:00"/>
    <n v="1"/>
    <n v="0"/>
    <n v="1"/>
    <n v="8"/>
    <b v="0"/>
    <n v="0"/>
    <n v="1"/>
    <n v="0.06"/>
    <n v="7.5800000000000006E-2"/>
    <n v="0.62"/>
    <n v="0.16420000000000001"/>
    <n v="17"/>
    <n v="19"/>
    <s v="Thursday"/>
    <s v="colder"/>
    <n v="2"/>
    <x v="0"/>
  </r>
  <r>
    <d v="2012-05-25T00:00:00"/>
    <n v="1"/>
    <n v="0"/>
    <n v="1"/>
    <n v="9"/>
    <b v="0"/>
    <n v="0"/>
    <n v="1"/>
    <n v="0.1"/>
    <n v="7.5800000000000006E-2"/>
    <n v="0.54"/>
    <n v="0.35820000000000002"/>
    <n v="25"/>
    <n v="28"/>
    <s v="Friday"/>
    <s v="colder"/>
    <n v="3"/>
    <x v="0"/>
  </r>
  <r>
    <d v="2012-05-26T00:00:00"/>
    <n v="1"/>
    <n v="0"/>
    <n v="1"/>
    <n v="10"/>
    <b v="0"/>
    <n v="0"/>
    <n v="1"/>
    <n v="0.14000000000000001"/>
    <n v="0.1061"/>
    <n v="0.46"/>
    <n v="0.3881"/>
    <n v="51"/>
    <n v="58"/>
    <s v="Saturday"/>
    <s v="colder"/>
    <n v="7"/>
    <x v="0"/>
  </r>
  <r>
    <d v="2012-05-27T00:00:00"/>
    <n v="1"/>
    <n v="0"/>
    <n v="1"/>
    <n v="11"/>
    <b v="0"/>
    <n v="0"/>
    <n v="1"/>
    <n v="0.14000000000000001"/>
    <n v="0.13639999999999999"/>
    <n v="0.43"/>
    <n v="0.22389999999999999"/>
    <n v="77"/>
    <n v="99"/>
    <s v="Sunday"/>
    <s v="colder"/>
    <n v="22"/>
    <x v="0"/>
  </r>
  <r>
    <d v="2012-05-28T00:00:00"/>
    <n v="1"/>
    <n v="0"/>
    <n v="1"/>
    <n v="12"/>
    <b v="0"/>
    <n v="0"/>
    <n v="1"/>
    <n v="0.16"/>
    <n v="0.1212"/>
    <n v="0.37"/>
    <n v="0.4627"/>
    <n v="92"/>
    <n v="116"/>
    <s v="Monday"/>
    <s v="colder"/>
    <n v="24"/>
    <x v="0"/>
  </r>
  <r>
    <d v="2012-05-29T00:00:00"/>
    <n v="1"/>
    <n v="0"/>
    <n v="1"/>
    <n v="13"/>
    <b v="0"/>
    <n v="0"/>
    <n v="1"/>
    <n v="0.14000000000000001"/>
    <n v="0.1061"/>
    <n v="0.33"/>
    <n v="0.3881"/>
    <n v="75"/>
    <n v="87"/>
    <s v="Tuesday"/>
    <s v="colder"/>
    <n v="12"/>
    <x v="0"/>
  </r>
  <r>
    <d v="2012-05-30T00:00:00"/>
    <n v="1"/>
    <n v="0"/>
    <n v="1"/>
    <n v="14"/>
    <b v="0"/>
    <n v="0"/>
    <n v="1"/>
    <n v="0.16"/>
    <n v="0.13639999999999999"/>
    <n v="0.28000000000000003"/>
    <n v="0.35820000000000002"/>
    <n v="93"/>
    <n v="110"/>
    <s v="Wednesday"/>
    <s v="colder"/>
    <n v="17"/>
    <x v="0"/>
  </r>
  <r>
    <d v="2012-05-31T00:00:00"/>
    <n v="1"/>
    <n v="0"/>
    <n v="1"/>
    <n v="15"/>
    <b v="0"/>
    <n v="0"/>
    <n v="1"/>
    <n v="0.16"/>
    <n v="0.13639999999999999"/>
    <n v="0.28000000000000003"/>
    <n v="0.35820000000000002"/>
    <n v="64"/>
    <n v="77"/>
    <s v="Thursday"/>
    <s v="colder"/>
    <n v="13"/>
    <x v="0"/>
  </r>
  <r>
    <d v="2012-06-01T00:00:00"/>
    <n v="1"/>
    <n v="0"/>
    <n v="1"/>
    <n v="16"/>
    <b v="0"/>
    <n v="0"/>
    <n v="1"/>
    <n v="0.16"/>
    <n v="0.13639999999999999"/>
    <n v="0.26"/>
    <n v="0.32840000000000003"/>
    <n v="56"/>
    <n v="65"/>
    <s v="Friday"/>
    <s v="colder"/>
    <n v="9"/>
    <x v="0"/>
  </r>
  <r>
    <d v="2012-06-02T00:00:00"/>
    <n v="1"/>
    <n v="0"/>
    <n v="1"/>
    <n v="17"/>
    <b v="0"/>
    <n v="0"/>
    <n v="1"/>
    <n v="0.14000000000000001"/>
    <n v="0.1061"/>
    <n v="0.26"/>
    <n v="0.3881"/>
    <n v="50"/>
    <n v="55"/>
    <s v="Saturday"/>
    <s v="colder"/>
    <n v="5"/>
    <x v="0"/>
  </r>
  <r>
    <d v="2012-06-03T00:00:00"/>
    <n v="1"/>
    <n v="0"/>
    <n v="1"/>
    <n v="18"/>
    <b v="0"/>
    <n v="0"/>
    <n v="1"/>
    <n v="0.12"/>
    <n v="0.1212"/>
    <n v="0.3"/>
    <n v="0.25369999999999998"/>
    <n v="44"/>
    <n v="49"/>
    <s v="Sunday"/>
    <s v="colder"/>
    <n v="5"/>
    <x v="0"/>
  </r>
  <r>
    <d v="2012-06-04T00:00:00"/>
    <n v="1"/>
    <n v="0"/>
    <n v="1"/>
    <n v="19"/>
    <b v="0"/>
    <n v="0"/>
    <n v="1"/>
    <n v="0.12"/>
    <n v="0.1212"/>
    <n v="0.3"/>
    <n v="0.28360000000000002"/>
    <n v="45"/>
    <n v="50"/>
    <s v="Monday"/>
    <s v="colder"/>
    <n v="5"/>
    <x v="0"/>
  </r>
  <r>
    <d v="2012-06-05T00:00:00"/>
    <n v="1"/>
    <n v="0"/>
    <n v="1"/>
    <n v="20"/>
    <b v="0"/>
    <n v="0"/>
    <n v="1"/>
    <n v="0.1"/>
    <n v="0.1061"/>
    <n v="0.36"/>
    <n v="0.25369999999999998"/>
    <n v="31"/>
    <n v="35"/>
    <s v="Tuesday"/>
    <s v="colder"/>
    <n v="4"/>
    <x v="0"/>
  </r>
  <r>
    <d v="2012-06-06T00:00:00"/>
    <n v="1"/>
    <n v="0"/>
    <n v="1"/>
    <n v="21"/>
    <b v="0"/>
    <n v="0"/>
    <n v="1"/>
    <n v="0.1"/>
    <n v="0.1061"/>
    <n v="0.36"/>
    <n v="0.19400000000000001"/>
    <n v="20"/>
    <n v="25"/>
    <s v="Wednesday"/>
    <s v="colder"/>
    <n v="5"/>
    <x v="0"/>
  </r>
  <r>
    <d v="2012-06-07T00:00:00"/>
    <n v="1"/>
    <n v="0"/>
    <n v="1"/>
    <n v="22"/>
    <b v="0"/>
    <n v="0"/>
    <n v="1"/>
    <n v="0.08"/>
    <n v="9.0899999999999995E-2"/>
    <n v="0.38"/>
    <n v="0.19400000000000001"/>
    <n v="23"/>
    <n v="28"/>
    <s v="Thursday"/>
    <s v="colder"/>
    <n v="5"/>
    <x v="0"/>
  </r>
  <r>
    <d v="2012-06-08T00:00:00"/>
    <n v="1"/>
    <n v="0"/>
    <n v="1"/>
    <n v="23"/>
    <b v="0"/>
    <n v="0"/>
    <n v="1"/>
    <n v="0.06"/>
    <n v="6.0600000000000001E-2"/>
    <n v="0.41"/>
    <n v="0.22389999999999999"/>
    <n v="17"/>
    <n v="21"/>
    <s v="Friday"/>
    <s v="colder"/>
    <n v="4"/>
    <x v="0"/>
  </r>
  <r>
    <d v="2012-06-09T00:00:00"/>
    <n v="1"/>
    <n v="0"/>
    <n v="1"/>
    <n v="0"/>
    <b v="0"/>
    <n v="1"/>
    <n v="1"/>
    <n v="0.06"/>
    <n v="6.0600000000000001E-2"/>
    <n v="0.41"/>
    <n v="0.19400000000000001"/>
    <n v="7"/>
    <n v="7"/>
    <s v="Saturday"/>
    <s v="colder"/>
    <n v="0"/>
    <x v="0"/>
  </r>
  <r>
    <d v="2012-06-10T00:00:00"/>
    <n v="1"/>
    <n v="0"/>
    <n v="1"/>
    <n v="1"/>
    <b v="0"/>
    <n v="1"/>
    <n v="1"/>
    <n v="0.04"/>
    <n v="4.5499999999999999E-2"/>
    <n v="0.45"/>
    <n v="0.19400000000000001"/>
    <n v="1"/>
    <n v="1"/>
    <s v="Sunday"/>
    <s v="colder"/>
    <n v="0"/>
    <x v="0"/>
  </r>
  <r>
    <d v="2012-06-11T00:00:00"/>
    <n v="1"/>
    <n v="0"/>
    <n v="1"/>
    <n v="3"/>
    <b v="0"/>
    <n v="1"/>
    <n v="1"/>
    <n v="0.04"/>
    <n v="3.0300000000000001E-2"/>
    <n v="0.45"/>
    <n v="0.25369999999999998"/>
    <n v="1"/>
    <n v="1"/>
    <s v="Monday"/>
    <s v="colder"/>
    <n v="0"/>
    <x v="0"/>
  </r>
  <r>
    <d v="2012-06-12T00:00:00"/>
    <n v="1"/>
    <n v="0"/>
    <n v="1"/>
    <n v="4"/>
    <b v="0"/>
    <n v="1"/>
    <n v="1"/>
    <n v="0.02"/>
    <n v="6.0600000000000001E-2"/>
    <n v="0.48"/>
    <n v="0.1343"/>
    <n v="1"/>
    <n v="1"/>
    <s v="Tuesday"/>
    <s v="colder"/>
    <n v="0"/>
    <x v="0"/>
  </r>
  <r>
    <d v="2012-06-13T00:00:00"/>
    <n v="1"/>
    <n v="0"/>
    <n v="1"/>
    <n v="5"/>
    <b v="0"/>
    <n v="1"/>
    <n v="1"/>
    <n v="0.02"/>
    <n v="6.0600000000000001E-2"/>
    <n v="0.48"/>
    <n v="0.1343"/>
    <n v="5"/>
    <n v="5"/>
    <s v="Wednesday"/>
    <s v="colder"/>
    <n v="0"/>
    <x v="0"/>
  </r>
  <r>
    <d v="2012-06-14T00:00:00"/>
    <n v="1"/>
    <n v="0"/>
    <n v="1"/>
    <n v="6"/>
    <b v="0"/>
    <n v="1"/>
    <n v="1"/>
    <n v="0.02"/>
    <n v="7.5800000000000006E-2"/>
    <n v="0.48"/>
    <n v="8.9599999999999999E-2"/>
    <n v="15"/>
    <n v="15"/>
    <s v="Thursday"/>
    <s v="colder"/>
    <n v="0"/>
    <x v="0"/>
  </r>
  <r>
    <d v="2012-06-15T00:00:00"/>
    <n v="1"/>
    <n v="0"/>
    <n v="1"/>
    <n v="7"/>
    <b v="0"/>
    <n v="1"/>
    <n v="1"/>
    <n v="0.02"/>
    <n v="0.1212"/>
    <n v="0.48"/>
    <n v="0"/>
    <n v="79"/>
    <n v="84"/>
    <s v="Friday"/>
    <s v="colder"/>
    <n v="5"/>
    <x v="0"/>
  </r>
  <r>
    <d v="2012-06-16T00:00:00"/>
    <n v="1"/>
    <n v="0"/>
    <n v="1"/>
    <n v="8"/>
    <b v="0"/>
    <n v="1"/>
    <n v="1"/>
    <n v="0.04"/>
    <n v="0.13639999999999999"/>
    <n v="0.49"/>
    <n v="0"/>
    <n v="171"/>
    <n v="177"/>
    <s v="Saturday"/>
    <s v="colder"/>
    <n v="6"/>
    <x v="0"/>
  </r>
  <r>
    <d v="2012-06-17T00:00:00"/>
    <n v="1"/>
    <n v="0"/>
    <n v="1"/>
    <n v="9"/>
    <b v="0"/>
    <n v="1"/>
    <n v="1"/>
    <n v="0.06"/>
    <n v="0.1515"/>
    <n v="0.41"/>
    <n v="0"/>
    <n v="98"/>
    <n v="102"/>
    <s v="Sunday"/>
    <s v="colder"/>
    <n v="4"/>
    <x v="0"/>
  </r>
  <r>
    <d v="2012-06-18T00:00:00"/>
    <n v="1"/>
    <n v="0"/>
    <n v="1"/>
    <n v="10"/>
    <b v="0"/>
    <n v="1"/>
    <n v="1"/>
    <n v="0.1"/>
    <n v="0.13639999999999999"/>
    <n v="0.42"/>
    <n v="0"/>
    <n v="34"/>
    <n v="40"/>
    <s v="Monday"/>
    <s v="colder"/>
    <n v="6"/>
    <x v="0"/>
  </r>
  <r>
    <d v="2012-06-19T00:00:00"/>
    <n v="1"/>
    <n v="0"/>
    <n v="1"/>
    <n v="11"/>
    <b v="0"/>
    <n v="1"/>
    <n v="1"/>
    <n v="0.1"/>
    <n v="0.1212"/>
    <n v="0.46"/>
    <n v="0.1343"/>
    <n v="43"/>
    <n v="46"/>
    <s v="Tuesday"/>
    <s v="colder"/>
    <n v="3"/>
    <x v="0"/>
  </r>
  <r>
    <d v="2012-06-20T00:00:00"/>
    <n v="1"/>
    <n v="0"/>
    <n v="1"/>
    <n v="12"/>
    <b v="0"/>
    <n v="1"/>
    <n v="2"/>
    <n v="0.12"/>
    <n v="0.13639999999999999"/>
    <n v="0.42"/>
    <n v="0.19400000000000001"/>
    <n v="52"/>
    <n v="63"/>
    <s v="Wednesday"/>
    <s v="colder"/>
    <n v="11"/>
    <x v="1"/>
  </r>
  <r>
    <d v="2012-06-21T00:00:00"/>
    <n v="1"/>
    <n v="0"/>
    <n v="1"/>
    <n v="13"/>
    <b v="0"/>
    <n v="1"/>
    <n v="2"/>
    <n v="0.14000000000000001"/>
    <n v="0.13639999999999999"/>
    <n v="0.43"/>
    <n v="0.22389999999999999"/>
    <n v="54"/>
    <n v="60"/>
    <s v="Thursday"/>
    <s v="colder"/>
    <n v="6"/>
    <x v="1"/>
  </r>
  <r>
    <d v="2012-06-22T00:00:00"/>
    <n v="1"/>
    <n v="0"/>
    <n v="1"/>
    <n v="14"/>
    <b v="0"/>
    <n v="1"/>
    <n v="2"/>
    <n v="0.14000000000000001"/>
    <n v="0.13639999999999999"/>
    <n v="0.46"/>
    <n v="0.22389999999999999"/>
    <n v="43"/>
    <n v="45"/>
    <s v="Friday"/>
    <s v="colder"/>
    <n v="2"/>
    <x v="1"/>
  </r>
  <r>
    <d v="2012-06-23T00:00:00"/>
    <n v="1"/>
    <n v="0"/>
    <n v="1"/>
    <n v="15"/>
    <b v="0"/>
    <n v="1"/>
    <n v="1"/>
    <n v="0.16"/>
    <n v="0.16669999999999999"/>
    <n v="0.4"/>
    <n v="0.16420000000000001"/>
    <n v="50"/>
    <n v="57"/>
    <s v="Saturday"/>
    <s v="colder"/>
    <n v="7"/>
    <x v="0"/>
  </r>
  <r>
    <d v="2012-06-24T00:00:00"/>
    <n v="1"/>
    <n v="0"/>
    <n v="1"/>
    <n v="16"/>
    <b v="0"/>
    <n v="1"/>
    <n v="1"/>
    <n v="0.16"/>
    <n v="0.1515"/>
    <n v="0.47"/>
    <n v="0.25369999999999998"/>
    <n v="66"/>
    <n v="70"/>
    <s v="Sunday"/>
    <s v="colder"/>
    <n v="4"/>
    <x v="0"/>
  </r>
  <r>
    <d v="2012-06-25T00:00:00"/>
    <n v="1"/>
    <n v="0"/>
    <n v="1"/>
    <n v="17"/>
    <b v="0"/>
    <n v="1"/>
    <n v="1"/>
    <n v="0.14000000000000001"/>
    <n v="0.1212"/>
    <n v="0.5"/>
    <n v="0.25369999999999998"/>
    <n v="178"/>
    <n v="184"/>
    <s v="Monday"/>
    <s v="colder"/>
    <n v="6"/>
    <x v="0"/>
  </r>
  <r>
    <d v="2012-06-26T00:00:00"/>
    <n v="1"/>
    <n v="0"/>
    <n v="1"/>
    <n v="18"/>
    <b v="0"/>
    <n v="1"/>
    <n v="1"/>
    <n v="0.14000000000000001"/>
    <n v="0.13639999999999999"/>
    <n v="0.59"/>
    <n v="0.19400000000000001"/>
    <n v="145"/>
    <n v="153"/>
    <s v="Tuesday"/>
    <s v="colder"/>
    <n v="8"/>
    <x v="0"/>
  </r>
  <r>
    <d v="2012-06-27T00:00:00"/>
    <n v="1"/>
    <n v="0"/>
    <n v="1"/>
    <n v="19"/>
    <b v="0"/>
    <n v="1"/>
    <n v="1"/>
    <n v="0.14000000000000001"/>
    <n v="0.1515"/>
    <n v="0.54"/>
    <n v="0.16420000000000001"/>
    <n v="101"/>
    <n v="106"/>
    <s v="Wednesday"/>
    <s v="colder"/>
    <n v="5"/>
    <x v="0"/>
  </r>
  <r>
    <d v="2012-06-28T00:00:00"/>
    <n v="1"/>
    <n v="0"/>
    <n v="1"/>
    <n v="20"/>
    <b v="0"/>
    <n v="1"/>
    <n v="1"/>
    <n v="0.14000000000000001"/>
    <n v="0.13639999999999999"/>
    <n v="0.59"/>
    <n v="0.19400000000000001"/>
    <n v="80"/>
    <n v="81"/>
    <s v="Thursday"/>
    <s v="colder"/>
    <n v="1"/>
    <x v="0"/>
  </r>
  <r>
    <d v="2012-06-29T00:00:00"/>
    <n v="1"/>
    <n v="0"/>
    <n v="1"/>
    <n v="21"/>
    <b v="0"/>
    <n v="1"/>
    <n v="1"/>
    <n v="0.14000000000000001"/>
    <n v="0.1515"/>
    <n v="0.63"/>
    <n v="0.16420000000000001"/>
    <n v="53"/>
    <n v="59"/>
    <s v="Friday"/>
    <s v="colder"/>
    <n v="6"/>
    <x v="0"/>
  </r>
  <r>
    <d v="2012-06-30T00:00:00"/>
    <n v="1"/>
    <n v="0"/>
    <n v="1"/>
    <n v="22"/>
    <b v="0"/>
    <n v="1"/>
    <n v="2"/>
    <n v="0.14000000000000001"/>
    <n v="0.13639999999999999"/>
    <n v="0.63"/>
    <n v="0.22389999999999999"/>
    <n v="32"/>
    <n v="35"/>
    <s v="Saturday"/>
    <s v="colder"/>
    <n v="3"/>
    <x v="1"/>
  </r>
  <r>
    <d v="2012-07-01T00:00:00"/>
    <n v="1"/>
    <n v="0"/>
    <n v="1"/>
    <n v="23"/>
    <b v="0"/>
    <n v="1"/>
    <n v="2"/>
    <n v="0.16"/>
    <n v="0.1515"/>
    <n v="0.64"/>
    <n v="0.25369999999999998"/>
    <n v="21"/>
    <n v="24"/>
    <s v="Sunday"/>
    <s v="colder"/>
    <n v="3"/>
    <x v="1"/>
  </r>
  <r>
    <d v="2012-07-02T00:00:00"/>
    <n v="1"/>
    <n v="0"/>
    <n v="1"/>
    <n v="0"/>
    <b v="0"/>
    <n v="2"/>
    <n v="2"/>
    <n v="0.16"/>
    <n v="0.13639999999999999"/>
    <n v="0.69"/>
    <n v="0.28360000000000002"/>
    <n v="6"/>
    <n v="9"/>
    <s v="Monday"/>
    <s v="colder"/>
    <n v="3"/>
    <x v="1"/>
  </r>
  <r>
    <d v="2012-07-03T00:00:00"/>
    <n v="1"/>
    <n v="0"/>
    <n v="1"/>
    <n v="1"/>
    <b v="0"/>
    <n v="2"/>
    <n v="2"/>
    <n v="0.16"/>
    <n v="0.16669999999999999"/>
    <n v="0.69"/>
    <n v="0.16420000000000001"/>
    <n v="5"/>
    <n v="5"/>
    <s v="Tuesday"/>
    <s v="colder"/>
    <n v="0"/>
    <x v="1"/>
  </r>
  <r>
    <d v="2012-07-04T00:00:00"/>
    <n v="1"/>
    <n v="0"/>
    <n v="1"/>
    <n v="2"/>
    <b v="0"/>
    <n v="2"/>
    <n v="1"/>
    <n v="0.16"/>
    <n v="0.1515"/>
    <n v="0.69"/>
    <n v="0.22389999999999999"/>
    <n v="2"/>
    <n v="2"/>
    <s v="Wednesday"/>
    <s v="colder"/>
    <n v="0"/>
    <x v="0"/>
  </r>
  <r>
    <d v="2012-07-05T00:00:00"/>
    <n v="1"/>
    <n v="0"/>
    <n v="1"/>
    <n v="4"/>
    <b v="0"/>
    <n v="2"/>
    <n v="1"/>
    <n v="0.14000000000000001"/>
    <n v="0.16669999999999999"/>
    <n v="0.74"/>
    <n v="0.1045"/>
    <n v="1"/>
    <n v="1"/>
    <s v="Thursday"/>
    <s v="colder"/>
    <n v="0"/>
    <x v="0"/>
  </r>
  <r>
    <d v="2012-07-06T00:00:00"/>
    <n v="1"/>
    <n v="0"/>
    <n v="1"/>
    <n v="5"/>
    <b v="0"/>
    <n v="2"/>
    <n v="1"/>
    <n v="0.14000000000000001"/>
    <n v="0.13639999999999999"/>
    <n v="0.74"/>
    <n v="0.22389999999999999"/>
    <n v="9"/>
    <n v="9"/>
    <s v="Friday"/>
    <s v="colder"/>
    <n v="0"/>
    <x v="0"/>
  </r>
  <r>
    <d v="2012-07-07T00:00:00"/>
    <n v="1"/>
    <n v="0"/>
    <n v="1"/>
    <n v="6"/>
    <b v="0"/>
    <n v="2"/>
    <n v="1"/>
    <n v="0.16"/>
    <n v="0.18179999999999999"/>
    <n v="0.74"/>
    <n v="0.1045"/>
    <n v="35"/>
    <n v="36"/>
    <s v="Saturday"/>
    <s v="colder"/>
    <n v="1"/>
    <x v="0"/>
  </r>
  <r>
    <d v="2012-07-08T00:00:00"/>
    <n v="1"/>
    <n v="0"/>
    <n v="1"/>
    <n v="7"/>
    <b v="0"/>
    <n v="2"/>
    <n v="1"/>
    <n v="0.16"/>
    <n v="0.1515"/>
    <n v="0.74"/>
    <n v="0.22389999999999999"/>
    <n v="103"/>
    <n v="108"/>
    <s v="Sunday"/>
    <s v="colder"/>
    <n v="5"/>
    <x v="0"/>
  </r>
  <r>
    <d v="2012-07-09T00:00:00"/>
    <n v="1"/>
    <n v="0"/>
    <n v="1"/>
    <n v="8"/>
    <b v="0"/>
    <n v="2"/>
    <n v="2"/>
    <n v="0.16"/>
    <n v="0.18179999999999999"/>
    <n v="0.74"/>
    <n v="0.1343"/>
    <n v="233"/>
    <n v="238"/>
    <s v="Monday"/>
    <s v="colder"/>
    <n v="5"/>
    <x v="1"/>
  </r>
  <r>
    <d v="2012-07-10T00:00:00"/>
    <n v="1"/>
    <n v="0"/>
    <n v="1"/>
    <n v="9"/>
    <b v="0"/>
    <n v="2"/>
    <n v="2"/>
    <n v="0.2"/>
    <n v="0.2273"/>
    <n v="0.64"/>
    <n v="8.9599999999999999E-2"/>
    <n v="134"/>
    <n v="144"/>
    <s v="Tuesday"/>
    <s v="colder"/>
    <n v="10"/>
    <x v="1"/>
  </r>
  <r>
    <d v="2012-07-11T00:00:00"/>
    <n v="1"/>
    <n v="0"/>
    <n v="1"/>
    <n v="10"/>
    <b v="0"/>
    <n v="2"/>
    <n v="2"/>
    <n v="0.22"/>
    <n v="0.2424"/>
    <n v="0.6"/>
    <n v="0.1045"/>
    <n v="49"/>
    <n v="55"/>
    <s v="Wednesday"/>
    <s v="colder"/>
    <n v="6"/>
    <x v="1"/>
  </r>
  <r>
    <d v="2012-07-12T00:00:00"/>
    <n v="1"/>
    <n v="0"/>
    <n v="1"/>
    <n v="11"/>
    <b v="0"/>
    <n v="2"/>
    <n v="2"/>
    <n v="0.24"/>
    <n v="0.2424"/>
    <n v="0.6"/>
    <n v="0.1343"/>
    <n v="55"/>
    <n v="61"/>
    <s v="Thursday"/>
    <s v="cold"/>
    <n v="6"/>
    <x v="1"/>
  </r>
  <r>
    <d v="2012-07-13T00:00:00"/>
    <n v="1"/>
    <n v="0"/>
    <n v="1"/>
    <n v="12"/>
    <b v="0"/>
    <n v="2"/>
    <n v="2"/>
    <n v="0.26"/>
    <n v="0.28789999999999999"/>
    <n v="0.56000000000000005"/>
    <n v="8.9599999999999999E-2"/>
    <n v="85"/>
    <n v="106"/>
    <s v="Friday"/>
    <s v="cold"/>
    <n v="21"/>
    <x v="1"/>
  </r>
  <r>
    <d v="2012-07-14T00:00:00"/>
    <n v="1"/>
    <n v="0"/>
    <n v="1"/>
    <n v="13"/>
    <b v="0"/>
    <n v="2"/>
    <n v="2"/>
    <n v="0.26"/>
    <n v="0.2727"/>
    <n v="0.56000000000000005"/>
    <n v="0.1343"/>
    <n v="72"/>
    <n v="93"/>
    <s v="Saturday"/>
    <s v="cold"/>
    <n v="21"/>
    <x v="1"/>
  </r>
  <r>
    <d v="2012-07-15T00:00:00"/>
    <n v="1"/>
    <n v="0"/>
    <n v="1"/>
    <n v="14"/>
    <b v="0"/>
    <n v="2"/>
    <n v="2"/>
    <n v="0.3"/>
    <n v="0.33329999999999999"/>
    <n v="0.45"/>
    <n v="0"/>
    <n v="57"/>
    <n v="68"/>
    <s v="Sunday"/>
    <s v="cold"/>
    <n v="11"/>
    <x v="1"/>
  </r>
  <r>
    <d v="2012-07-16T00:00:00"/>
    <n v="1"/>
    <n v="0"/>
    <n v="1"/>
    <n v="15"/>
    <b v="0"/>
    <n v="2"/>
    <n v="2"/>
    <n v="0.32"/>
    <n v="0.34849999999999998"/>
    <n v="0.42"/>
    <n v="0"/>
    <n v="63"/>
    <n v="84"/>
    <s v="Monday"/>
    <s v="cold"/>
    <n v="21"/>
    <x v="1"/>
  </r>
  <r>
    <d v="2012-07-17T00:00:00"/>
    <n v="1"/>
    <n v="0"/>
    <n v="1"/>
    <n v="16"/>
    <b v="0"/>
    <n v="2"/>
    <n v="2"/>
    <n v="0.32"/>
    <n v="0.34849999999999998"/>
    <n v="0.42"/>
    <n v="0"/>
    <n v="102"/>
    <n v="116"/>
    <s v="Tuesday"/>
    <s v="cold"/>
    <n v="14"/>
    <x v="1"/>
  </r>
  <r>
    <d v="2012-07-18T00:00:00"/>
    <n v="1"/>
    <n v="0"/>
    <n v="1"/>
    <n v="17"/>
    <b v="0"/>
    <n v="2"/>
    <n v="1"/>
    <n v="0.3"/>
    <n v="0.33329999999999999"/>
    <n v="0.45"/>
    <n v="0"/>
    <n v="208"/>
    <n v="222"/>
    <s v="Wednesday"/>
    <s v="cold"/>
    <n v="14"/>
    <x v="0"/>
  </r>
  <r>
    <d v="2012-07-19T00:00:00"/>
    <n v="1"/>
    <n v="0"/>
    <n v="1"/>
    <n v="18"/>
    <b v="0"/>
    <n v="2"/>
    <n v="2"/>
    <n v="0.3"/>
    <n v="0.31819999999999998"/>
    <n v="0.49"/>
    <n v="8.9599999999999999E-2"/>
    <n v="218"/>
    <n v="225"/>
    <s v="Thursday"/>
    <s v="cold"/>
    <n v="7"/>
    <x v="1"/>
  </r>
  <r>
    <d v="2012-07-20T00:00:00"/>
    <n v="1"/>
    <n v="0"/>
    <n v="1"/>
    <n v="19"/>
    <b v="0"/>
    <n v="2"/>
    <n v="2"/>
    <n v="0.26"/>
    <n v="0.2576"/>
    <n v="0.65"/>
    <n v="0.16420000000000001"/>
    <n v="133"/>
    <n v="146"/>
    <s v="Friday"/>
    <s v="cold"/>
    <n v="13"/>
    <x v="1"/>
  </r>
  <r>
    <d v="2012-07-21T00:00:00"/>
    <n v="1"/>
    <n v="0"/>
    <n v="1"/>
    <n v="20"/>
    <b v="0"/>
    <n v="2"/>
    <n v="1"/>
    <n v="0.24"/>
    <n v="0.2273"/>
    <n v="0.65"/>
    <n v="0.19400000000000001"/>
    <n v="103"/>
    <n v="119"/>
    <s v="Saturday"/>
    <s v="cold"/>
    <n v="16"/>
    <x v="0"/>
  </r>
  <r>
    <d v="2012-07-22T00:00:00"/>
    <n v="1"/>
    <n v="0"/>
    <n v="1"/>
    <n v="21"/>
    <b v="0"/>
    <n v="2"/>
    <n v="1"/>
    <n v="0.24"/>
    <n v="0.2273"/>
    <n v="0.65"/>
    <n v="0.19400000000000001"/>
    <n v="40"/>
    <n v="45"/>
    <s v="Sunday"/>
    <s v="cold"/>
    <n v="5"/>
    <x v="0"/>
  </r>
  <r>
    <d v="2012-07-23T00:00:00"/>
    <n v="1"/>
    <n v="0"/>
    <n v="1"/>
    <n v="22"/>
    <b v="0"/>
    <n v="2"/>
    <n v="1"/>
    <n v="0.22"/>
    <n v="0.2273"/>
    <n v="0.64"/>
    <n v="0.16420000000000001"/>
    <n v="49"/>
    <n v="53"/>
    <s v="Monday"/>
    <s v="colder"/>
    <n v="4"/>
    <x v="0"/>
  </r>
  <r>
    <d v="2012-07-24T00:00:00"/>
    <n v="1"/>
    <n v="0"/>
    <n v="1"/>
    <n v="23"/>
    <b v="0"/>
    <n v="2"/>
    <n v="2"/>
    <n v="0.22"/>
    <n v="0.2273"/>
    <n v="0.64"/>
    <n v="0.16420000000000001"/>
    <n v="37"/>
    <n v="40"/>
    <s v="Tuesday"/>
    <s v="colder"/>
    <n v="3"/>
    <x v="1"/>
  </r>
  <r>
    <d v="2012-07-25T00:00:00"/>
    <n v="1"/>
    <n v="0"/>
    <n v="1"/>
    <n v="0"/>
    <b v="0"/>
    <n v="3"/>
    <n v="2"/>
    <n v="0.22"/>
    <n v="0.2273"/>
    <n v="0.69"/>
    <n v="0.1343"/>
    <n v="14"/>
    <n v="17"/>
    <s v="Wednesday"/>
    <s v="colder"/>
    <n v="3"/>
    <x v="1"/>
  </r>
  <r>
    <d v="2012-07-26T00:00:00"/>
    <n v="1"/>
    <n v="0"/>
    <n v="1"/>
    <n v="1"/>
    <b v="0"/>
    <n v="3"/>
    <n v="2"/>
    <n v="0.24"/>
    <n v="0.2424"/>
    <n v="0.65"/>
    <n v="0.1343"/>
    <n v="5"/>
    <n v="5"/>
    <s v="Thursday"/>
    <s v="cold"/>
    <n v="0"/>
    <x v="1"/>
  </r>
  <r>
    <d v="2012-07-27T00:00:00"/>
    <n v="1"/>
    <n v="0"/>
    <n v="1"/>
    <n v="2"/>
    <b v="0"/>
    <n v="3"/>
    <n v="3"/>
    <n v="0.22"/>
    <n v="0.2273"/>
    <n v="0.69"/>
    <n v="0.19400000000000001"/>
    <n v="7"/>
    <n v="10"/>
    <s v="Friday"/>
    <s v="colder"/>
    <n v="3"/>
    <x v="2"/>
  </r>
  <r>
    <d v="2012-07-28T00:00:00"/>
    <n v="1"/>
    <n v="0"/>
    <n v="1"/>
    <n v="5"/>
    <b v="0"/>
    <n v="3"/>
    <n v="3"/>
    <n v="0.2"/>
    <n v="0.18179999999999999"/>
    <n v="0.86"/>
    <n v="0.28360000000000002"/>
    <n v="1"/>
    <n v="1"/>
    <s v="Saturday"/>
    <s v="colder"/>
    <n v="0"/>
    <x v="2"/>
  </r>
  <r>
    <d v="2012-07-29T00:00:00"/>
    <n v="1"/>
    <n v="0"/>
    <n v="1"/>
    <n v="6"/>
    <b v="0"/>
    <n v="3"/>
    <n v="3"/>
    <n v="0.2"/>
    <n v="0.18179999999999999"/>
    <n v="0.86"/>
    <n v="0.28360000000000002"/>
    <n v="8"/>
    <n v="8"/>
    <s v="Sunday"/>
    <s v="colder"/>
    <n v="0"/>
    <x v="2"/>
  </r>
  <r>
    <d v="2012-07-30T00:00:00"/>
    <n v="1"/>
    <n v="0"/>
    <n v="1"/>
    <n v="7"/>
    <b v="0"/>
    <n v="3"/>
    <n v="3"/>
    <n v="0.22"/>
    <n v="0.21210000000000001"/>
    <n v="0.87"/>
    <n v="0.29849999999999999"/>
    <n v="29"/>
    <n v="30"/>
    <s v="Monday"/>
    <s v="colder"/>
    <n v="1"/>
    <x v="2"/>
  </r>
  <r>
    <d v="2012-07-31T00:00:00"/>
    <n v="1"/>
    <n v="0"/>
    <n v="1"/>
    <n v="8"/>
    <b v="0"/>
    <n v="3"/>
    <n v="3"/>
    <n v="0.22"/>
    <n v="0.21210000000000001"/>
    <n v="0.87"/>
    <n v="0.29849999999999999"/>
    <n v="69"/>
    <n v="72"/>
    <s v="Tuesday"/>
    <s v="colder"/>
    <n v="3"/>
    <x v="2"/>
  </r>
  <r>
    <d v="2012-08-01T00:00:00"/>
    <n v="1"/>
    <n v="0"/>
    <n v="1"/>
    <n v="9"/>
    <b v="0"/>
    <n v="3"/>
    <n v="3"/>
    <n v="0.22"/>
    <n v="0.21210000000000001"/>
    <n v="0.87"/>
    <n v="0.29849999999999999"/>
    <n v="55"/>
    <n v="58"/>
    <s v="Wednesday"/>
    <s v="colder"/>
    <n v="3"/>
    <x v="2"/>
  </r>
  <r>
    <d v="2012-08-02T00:00:00"/>
    <n v="1"/>
    <n v="0"/>
    <n v="1"/>
    <n v="10"/>
    <b v="0"/>
    <n v="3"/>
    <n v="3"/>
    <n v="0.22"/>
    <n v="0.21210000000000001"/>
    <n v="0.93"/>
    <n v="0.28360000000000002"/>
    <n v="26"/>
    <n v="28"/>
    <s v="Thursday"/>
    <s v="colder"/>
    <n v="2"/>
    <x v="2"/>
  </r>
  <r>
    <d v="2012-08-03T00:00:00"/>
    <n v="1"/>
    <n v="0"/>
    <n v="1"/>
    <n v="11"/>
    <b v="0"/>
    <n v="3"/>
    <n v="3"/>
    <n v="0.22"/>
    <n v="0.19700000000000001"/>
    <n v="0.93"/>
    <n v="0.32840000000000003"/>
    <n v="35"/>
    <n v="41"/>
    <s v="Friday"/>
    <s v="colder"/>
    <n v="6"/>
    <x v="2"/>
  </r>
  <r>
    <d v="2012-08-04T00:00:00"/>
    <n v="1"/>
    <n v="0"/>
    <n v="1"/>
    <n v="12"/>
    <b v="0"/>
    <n v="3"/>
    <n v="3"/>
    <n v="0.22"/>
    <n v="0.19700000000000001"/>
    <n v="0.93"/>
    <n v="0.32840000000000003"/>
    <n v="41"/>
    <n v="48"/>
    <s v="Saturday"/>
    <s v="colder"/>
    <n v="7"/>
    <x v="2"/>
  </r>
  <r>
    <d v="2012-08-05T00:00:00"/>
    <n v="1"/>
    <n v="0"/>
    <n v="1"/>
    <n v="13"/>
    <b v="0"/>
    <n v="3"/>
    <n v="3"/>
    <n v="0.22"/>
    <n v="0.19700000000000001"/>
    <n v="0.93"/>
    <n v="0.32840000000000003"/>
    <n v="43"/>
    <n v="47"/>
    <s v="Sunday"/>
    <s v="colder"/>
    <n v="4"/>
    <x v="2"/>
  </r>
  <r>
    <d v="2012-08-06T00:00:00"/>
    <n v="1"/>
    <n v="0"/>
    <n v="1"/>
    <n v="14"/>
    <b v="0"/>
    <n v="3"/>
    <n v="3"/>
    <n v="0.22"/>
    <n v="0.19700000000000001"/>
    <n v="0.93"/>
    <n v="0.35820000000000002"/>
    <n v="36"/>
    <n v="36"/>
    <s v="Monday"/>
    <s v="colder"/>
    <n v="0"/>
    <x v="2"/>
  </r>
  <r>
    <d v="2012-08-07T00:00:00"/>
    <n v="1"/>
    <n v="0"/>
    <n v="1"/>
    <n v="15"/>
    <b v="0"/>
    <n v="3"/>
    <n v="3"/>
    <n v="0.22"/>
    <n v="0.18179999999999999"/>
    <n v="0.93"/>
    <n v="0.4627"/>
    <n v="42"/>
    <n v="43"/>
    <s v="Tuesday"/>
    <s v="colder"/>
    <n v="1"/>
    <x v="2"/>
  </r>
  <r>
    <d v="2012-08-08T00:00:00"/>
    <n v="1"/>
    <n v="0"/>
    <n v="1"/>
    <n v="16"/>
    <b v="0"/>
    <n v="3"/>
    <n v="4"/>
    <n v="0.22"/>
    <n v="0.19700000000000001"/>
    <n v="0.93"/>
    <n v="0.32840000000000003"/>
    <n v="35"/>
    <n v="36"/>
    <s v="Wednesday"/>
    <s v="colder"/>
    <n v="1"/>
    <x v="3"/>
  </r>
  <r>
    <d v="2012-08-09T00:00:00"/>
    <n v="1"/>
    <n v="0"/>
    <n v="1"/>
    <n v="17"/>
    <b v="0"/>
    <n v="3"/>
    <n v="3"/>
    <n v="0.2"/>
    <n v="0.18179999999999999"/>
    <n v="0.93"/>
    <n v="0.35820000000000002"/>
    <n v="26"/>
    <n v="26"/>
    <s v="Thursday"/>
    <s v="colder"/>
    <n v="0"/>
    <x v="2"/>
  </r>
  <r>
    <d v="2012-08-10T00:00:00"/>
    <n v="1"/>
    <n v="0"/>
    <n v="1"/>
    <n v="16"/>
    <b v="0"/>
    <n v="4"/>
    <n v="1"/>
    <n v="0.22"/>
    <n v="0.2273"/>
    <n v="0.55000000000000004"/>
    <n v="0.19400000000000001"/>
    <n v="23"/>
    <n v="24"/>
    <s v="Friday"/>
    <s v="colder"/>
    <n v="1"/>
    <x v="0"/>
  </r>
  <r>
    <d v="2012-08-11T00:00:00"/>
    <n v="1"/>
    <n v="0"/>
    <n v="1"/>
    <n v="17"/>
    <b v="0"/>
    <n v="4"/>
    <n v="1"/>
    <n v="0.22"/>
    <n v="0.2424"/>
    <n v="0.55000000000000004"/>
    <n v="0.1045"/>
    <n v="82"/>
    <n v="84"/>
    <s v="Saturday"/>
    <s v="colder"/>
    <n v="2"/>
    <x v="0"/>
  </r>
  <r>
    <d v="2012-08-12T00:00:00"/>
    <n v="1"/>
    <n v="0"/>
    <n v="1"/>
    <n v="18"/>
    <b v="0"/>
    <n v="4"/>
    <n v="1"/>
    <n v="0.2"/>
    <n v="0.2273"/>
    <n v="0.69"/>
    <n v="8.9599999999999999E-2"/>
    <n v="101"/>
    <n v="104"/>
    <s v="Sunday"/>
    <s v="colder"/>
    <n v="3"/>
    <x v="0"/>
  </r>
  <r>
    <d v="2012-08-13T00:00:00"/>
    <n v="1"/>
    <n v="0"/>
    <n v="1"/>
    <n v="19"/>
    <b v="0"/>
    <n v="4"/>
    <n v="1"/>
    <n v="0.2"/>
    <n v="0.2273"/>
    <n v="0.69"/>
    <n v="8.9599999999999999E-2"/>
    <n v="76"/>
    <n v="79"/>
    <s v="Monday"/>
    <s v="colder"/>
    <n v="3"/>
    <x v="0"/>
  </r>
  <r>
    <d v="2012-08-14T00:00:00"/>
    <n v="1"/>
    <n v="0"/>
    <n v="1"/>
    <n v="20"/>
    <b v="0"/>
    <n v="4"/>
    <n v="1"/>
    <n v="0.18"/>
    <n v="0.21210000000000001"/>
    <n v="0.74"/>
    <n v="8.9599999999999999E-2"/>
    <n v="55"/>
    <n v="59"/>
    <s v="Tuesday"/>
    <s v="colder"/>
    <n v="4"/>
    <x v="0"/>
  </r>
  <r>
    <d v="2012-08-15T00:00:00"/>
    <n v="1"/>
    <n v="0"/>
    <n v="1"/>
    <n v="21"/>
    <b v="0"/>
    <n v="4"/>
    <n v="1"/>
    <n v="0.18"/>
    <n v="0.21210000000000001"/>
    <n v="0.74"/>
    <n v="8.9599999999999999E-2"/>
    <n v="36"/>
    <n v="38"/>
    <s v="Wednesday"/>
    <s v="colder"/>
    <n v="2"/>
    <x v="0"/>
  </r>
  <r>
    <d v="2012-08-16T00:00:00"/>
    <n v="1"/>
    <n v="0"/>
    <n v="1"/>
    <n v="22"/>
    <b v="0"/>
    <n v="4"/>
    <n v="1"/>
    <n v="0.18"/>
    <n v="0.21210000000000001"/>
    <n v="0.74"/>
    <n v="8.9599999999999999E-2"/>
    <n v="27"/>
    <n v="27"/>
    <s v="Thursday"/>
    <s v="colder"/>
    <n v="0"/>
    <x v="0"/>
  </r>
  <r>
    <d v="2012-08-17T00:00:00"/>
    <n v="1"/>
    <n v="0"/>
    <n v="1"/>
    <n v="23"/>
    <b v="0"/>
    <n v="4"/>
    <n v="1"/>
    <n v="0.18"/>
    <n v="0.19700000000000001"/>
    <n v="0.8"/>
    <n v="0.16420000000000001"/>
    <n v="16"/>
    <n v="16"/>
    <s v="Friday"/>
    <s v="colder"/>
    <n v="0"/>
    <x v="0"/>
  </r>
  <r>
    <d v="2012-08-18T00:00:00"/>
    <n v="1"/>
    <n v="0"/>
    <n v="1"/>
    <n v="0"/>
    <b v="0"/>
    <n v="5"/>
    <n v="2"/>
    <n v="0.2"/>
    <n v="0.21210000000000001"/>
    <n v="0.75"/>
    <n v="0.1343"/>
    <n v="9"/>
    <n v="9"/>
    <s v="Saturday"/>
    <s v="colder"/>
    <n v="0"/>
    <x v="1"/>
  </r>
  <r>
    <d v="2012-08-19T00:00:00"/>
    <n v="1"/>
    <n v="0"/>
    <n v="1"/>
    <n v="1"/>
    <b v="0"/>
    <n v="5"/>
    <n v="2"/>
    <n v="0.2"/>
    <n v="0.21210000000000001"/>
    <n v="0.75"/>
    <n v="0.1343"/>
    <n v="2"/>
    <n v="3"/>
    <s v="Sunday"/>
    <s v="colder"/>
    <n v="1"/>
    <x v="1"/>
  </r>
  <r>
    <d v="2012-08-20T00:00:00"/>
    <n v="1"/>
    <n v="0"/>
    <n v="1"/>
    <n v="2"/>
    <b v="0"/>
    <n v="5"/>
    <n v="2"/>
    <n v="0.2"/>
    <n v="0.21210000000000001"/>
    <n v="0.75"/>
    <n v="0.16420000000000001"/>
    <n v="2"/>
    <n v="2"/>
    <s v="Monday"/>
    <s v="colder"/>
    <n v="0"/>
    <x v="1"/>
  </r>
  <r>
    <d v="2012-08-21T00:00:00"/>
    <n v="1"/>
    <n v="0"/>
    <n v="1"/>
    <n v="3"/>
    <b v="0"/>
    <n v="5"/>
    <n v="2"/>
    <n v="0.2"/>
    <n v="0.2273"/>
    <n v="0.75"/>
    <n v="0.1045"/>
    <n v="0"/>
    <n v="1"/>
    <s v="Tuesday"/>
    <s v="colder"/>
    <n v="1"/>
    <x v="1"/>
  </r>
  <r>
    <d v="2012-08-22T00:00:00"/>
    <n v="1"/>
    <n v="0"/>
    <n v="1"/>
    <n v="5"/>
    <b v="0"/>
    <n v="5"/>
    <n v="2"/>
    <n v="0.18"/>
    <n v="0.21210000000000001"/>
    <n v="0.8"/>
    <n v="0.1045"/>
    <n v="4"/>
    <n v="4"/>
    <s v="Wednesday"/>
    <s v="colder"/>
    <n v="0"/>
    <x v="1"/>
  </r>
  <r>
    <d v="2012-08-23T00:00:00"/>
    <n v="1"/>
    <n v="0"/>
    <n v="1"/>
    <n v="6"/>
    <b v="0"/>
    <n v="5"/>
    <n v="2"/>
    <n v="0.18"/>
    <n v="0.19700000000000001"/>
    <n v="0.8"/>
    <n v="0.1343"/>
    <n v="16"/>
    <n v="16"/>
    <s v="Thursday"/>
    <s v="colder"/>
    <n v="0"/>
    <x v="1"/>
  </r>
  <r>
    <d v="2012-08-24T00:00:00"/>
    <n v="1"/>
    <n v="0"/>
    <n v="1"/>
    <n v="7"/>
    <b v="0"/>
    <n v="5"/>
    <n v="2"/>
    <n v="0.16"/>
    <n v="0.19700000000000001"/>
    <n v="0.86"/>
    <n v="8.9599999999999999E-2"/>
    <n v="58"/>
    <n v="60"/>
    <s v="Friday"/>
    <s v="colder"/>
    <n v="2"/>
    <x v="1"/>
  </r>
  <r>
    <d v="2012-08-25T00:00:00"/>
    <n v="1"/>
    <n v="0"/>
    <n v="1"/>
    <n v="8"/>
    <b v="0"/>
    <n v="5"/>
    <n v="2"/>
    <n v="0.16"/>
    <n v="0.19700000000000001"/>
    <n v="0.86"/>
    <n v="8.9599999999999999E-2"/>
    <n v="155"/>
    <n v="157"/>
    <s v="Saturday"/>
    <s v="colder"/>
    <n v="2"/>
    <x v="1"/>
  </r>
  <r>
    <d v="2012-08-26T00:00:00"/>
    <n v="1"/>
    <n v="0"/>
    <n v="1"/>
    <n v="9"/>
    <b v="0"/>
    <n v="5"/>
    <n v="3"/>
    <n v="0.18"/>
    <n v="0.21210000000000001"/>
    <n v="0.86"/>
    <n v="8.9599999999999999E-2"/>
    <n v="95"/>
    <n v="101"/>
    <s v="Sunday"/>
    <s v="colder"/>
    <n v="6"/>
    <x v="2"/>
  </r>
  <r>
    <d v="2012-08-27T00:00:00"/>
    <n v="1"/>
    <n v="0"/>
    <n v="1"/>
    <n v="10"/>
    <b v="0"/>
    <n v="5"/>
    <n v="3"/>
    <n v="0.18"/>
    <n v="0.21210000000000001"/>
    <n v="0.86"/>
    <n v="0.1045"/>
    <n v="49"/>
    <n v="49"/>
    <s v="Monday"/>
    <s v="colder"/>
    <n v="0"/>
    <x v="2"/>
  </r>
  <r>
    <d v="2012-08-28T00:00:00"/>
    <n v="1"/>
    <n v="0"/>
    <n v="1"/>
    <n v="11"/>
    <b v="0"/>
    <n v="5"/>
    <n v="3"/>
    <n v="0.18"/>
    <n v="0.21210000000000001"/>
    <n v="0.93"/>
    <n v="0.1045"/>
    <n v="30"/>
    <n v="30"/>
    <s v="Tuesday"/>
    <s v="colder"/>
    <n v="0"/>
    <x v="2"/>
  </r>
  <r>
    <d v="2012-08-29T00:00:00"/>
    <n v="1"/>
    <n v="0"/>
    <n v="1"/>
    <n v="12"/>
    <b v="0"/>
    <n v="5"/>
    <n v="3"/>
    <n v="0.18"/>
    <n v="0.21210000000000001"/>
    <n v="0.93"/>
    <n v="0.1045"/>
    <n v="28"/>
    <n v="29"/>
    <s v="Wednesday"/>
    <s v="colder"/>
    <n v="1"/>
    <x v="2"/>
  </r>
  <r>
    <d v="2012-08-30T00:00:00"/>
    <n v="1"/>
    <n v="0"/>
    <n v="1"/>
    <n v="13"/>
    <b v="0"/>
    <n v="5"/>
    <n v="3"/>
    <n v="0.18"/>
    <n v="0.21210000000000001"/>
    <n v="0.93"/>
    <n v="0.1045"/>
    <n v="31"/>
    <n v="31"/>
    <s v="Thursday"/>
    <s v="colder"/>
    <n v="0"/>
    <x v="2"/>
  </r>
  <r>
    <d v="2012-08-31T00:00:00"/>
    <n v="1"/>
    <n v="0"/>
    <n v="1"/>
    <n v="14"/>
    <b v="0"/>
    <n v="5"/>
    <n v="3"/>
    <n v="0.22"/>
    <n v="0.2727"/>
    <n v="0.8"/>
    <n v="0"/>
    <n v="36"/>
    <n v="38"/>
    <s v="Friday"/>
    <s v="colder"/>
    <n v="2"/>
    <x v="2"/>
  </r>
  <r>
    <d v="2012-09-01T00:00:00"/>
    <n v="1"/>
    <n v="0"/>
    <n v="1"/>
    <n v="15"/>
    <b v="0"/>
    <n v="5"/>
    <n v="2"/>
    <n v="0.2"/>
    <n v="0.2576"/>
    <n v="0.86"/>
    <n v="0"/>
    <n v="40"/>
    <n v="41"/>
    <s v="Saturday"/>
    <s v="colder"/>
    <n v="1"/>
    <x v="1"/>
  </r>
  <r>
    <d v="2011-01-28T00:00:00"/>
    <n v="1"/>
    <n v="0"/>
    <n v="1"/>
    <n v="16"/>
    <b v="0"/>
    <n v="5"/>
    <n v="1"/>
    <n v="0.22"/>
    <n v="0.2727"/>
    <n v="0.8"/>
    <n v="0"/>
    <n v="70"/>
    <n v="80"/>
    <s v="Friday"/>
    <s v="colder"/>
    <n v="10"/>
    <x v="0"/>
  </r>
  <r>
    <d v="2011-01-28T00:00:00"/>
    <n v="1"/>
    <n v="0"/>
    <n v="1"/>
    <n v="17"/>
    <b v="0"/>
    <n v="5"/>
    <n v="1"/>
    <n v="0.24"/>
    <n v="0.2424"/>
    <n v="0.75"/>
    <n v="0.1343"/>
    <n v="147"/>
    <n v="149"/>
    <s v="Friday"/>
    <s v="cold"/>
    <n v="2"/>
    <x v="0"/>
  </r>
  <r>
    <d v="2011-01-28T00:00:00"/>
    <n v="1"/>
    <n v="0"/>
    <n v="1"/>
    <n v="18"/>
    <b v="0"/>
    <n v="5"/>
    <n v="1"/>
    <n v="0.24"/>
    <n v="0.2273"/>
    <n v="0.75"/>
    <n v="0.19400000000000001"/>
    <n v="107"/>
    <n v="109"/>
    <s v="Friday"/>
    <s v="cold"/>
    <n v="2"/>
    <x v="0"/>
  </r>
  <r>
    <d v="2011-01-28T00:00:00"/>
    <n v="1"/>
    <n v="0"/>
    <n v="1"/>
    <n v="19"/>
    <b v="0"/>
    <n v="5"/>
    <n v="2"/>
    <n v="0.24"/>
    <n v="0.2424"/>
    <n v="0.75"/>
    <n v="0.1343"/>
    <n v="84"/>
    <n v="89"/>
    <s v="Friday"/>
    <s v="cold"/>
    <n v="5"/>
    <x v="1"/>
  </r>
  <r>
    <d v="2011-01-28T00:00:00"/>
    <n v="1"/>
    <n v="0"/>
    <n v="1"/>
    <n v="20"/>
    <b v="0"/>
    <n v="5"/>
    <n v="2"/>
    <n v="0.24"/>
    <n v="0.2273"/>
    <n v="0.7"/>
    <n v="0.19400000000000001"/>
    <n v="61"/>
    <n v="62"/>
    <s v="Friday"/>
    <s v="cold"/>
    <n v="1"/>
    <x v="1"/>
  </r>
  <r>
    <d v="2011-01-28T00:00:00"/>
    <n v="1"/>
    <n v="0"/>
    <n v="1"/>
    <n v="21"/>
    <b v="0"/>
    <n v="5"/>
    <n v="2"/>
    <n v="0.22"/>
    <n v="0.2273"/>
    <n v="0.75"/>
    <n v="0.1343"/>
    <n v="57"/>
    <n v="58"/>
    <s v="Friday"/>
    <s v="colder"/>
    <n v="1"/>
    <x v="1"/>
  </r>
  <r>
    <d v="2011-01-28T00:00:00"/>
    <n v="1"/>
    <n v="0"/>
    <n v="1"/>
    <n v="22"/>
    <b v="0"/>
    <n v="5"/>
    <n v="1"/>
    <n v="0.24"/>
    <n v="0.21210000000000001"/>
    <n v="0.65"/>
    <n v="0.35820000000000002"/>
    <n v="26"/>
    <n v="26"/>
    <s v="Friday"/>
    <s v="cold"/>
    <n v="0"/>
    <x v="0"/>
  </r>
  <r>
    <d v="2011-01-28T00:00:00"/>
    <n v="1"/>
    <n v="0"/>
    <n v="1"/>
    <n v="23"/>
    <b v="0"/>
    <n v="5"/>
    <n v="1"/>
    <n v="0.24"/>
    <n v="0.2273"/>
    <n v="0.6"/>
    <n v="0.22389999999999999"/>
    <n v="22"/>
    <n v="23"/>
    <s v="Friday"/>
    <s v="cold"/>
    <n v="1"/>
    <x v="0"/>
  </r>
  <r>
    <d v="2011-01-29T00:00:00"/>
    <n v="1"/>
    <n v="0"/>
    <n v="1"/>
    <n v="0"/>
    <b v="0"/>
    <n v="6"/>
    <n v="1"/>
    <n v="0.22"/>
    <n v="0.19700000000000001"/>
    <n v="0.64"/>
    <n v="0.35820000000000002"/>
    <n v="26"/>
    <n v="28"/>
    <s v="Saturday"/>
    <s v="colder"/>
    <n v="2"/>
    <x v="0"/>
  </r>
  <r>
    <d v="2011-01-29T00:00:00"/>
    <n v="1"/>
    <n v="0"/>
    <n v="1"/>
    <n v="1"/>
    <b v="0"/>
    <n v="6"/>
    <n v="1"/>
    <n v="0.22"/>
    <n v="0.2273"/>
    <n v="0.64"/>
    <n v="0.19400000000000001"/>
    <n v="20"/>
    <n v="20"/>
    <s v="Saturday"/>
    <s v="colder"/>
    <n v="0"/>
    <x v="0"/>
  </r>
  <r>
    <d v="2011-01-29T00:00:00"/>
    <n v="1"/>
    <n v="0"/>
    <n v="1"/>
    <n v="2"/>
    <b v="0"/>
    <n v="6"/>
    <n v="1"/>
    <n v="0.22"/>
    <n v="0.2273"/>
    <n v="0.64"/>
    <n v="0.16420000000000001"/>
    <n v="15"/>
    <n v="15"/>
    <s v="Saturday"/>
    <s v="colder"/>
    <n v="0"/>
    <x v="0"/>
  </r>
  <r>
    <d v="2011-01-29T00:00:00"/>
    <n v="1"/>
    <n v="0"/>
    <n v="1"/>
    <n v="3"/>
    <b v="0"/>
    <n v="6"/>
    <n v="1"/>
    <n v="0.2"/>
    <n v="0.21210000000000001"/>
    <n v="0.64"/>
    <n v="0.1343"/>
    <n v="5"/>
    <n v="8"/>
    <s v="Saturday"/>
    <s v="colder"/>
    <n v="3"/>
    <x v="0"/>
  </r>
  <r>
    <d v="2011-01-29T00:00:00"/>
    <n v="1"/>
    <n v="0"/>
    <n v="1"/>
    <n v="4"/>
    <b v="0"/>
    <n v="6"/>
    <n v="1"/>
    <n v="0.16"/>
    <n v="0.18179999999999999"/>
    <n v="0.69"/>
    <n v="0.1045"/>
    <n v="2"/>
    <n v="3"/>
    <s v="Saturday"/>
    <s v="colder"/>
    <n v="1"/>
    <x v="0"/>
  </r>
  <r>
    <d v="2011-01-29T00:00:00"/>
    <n v="1"/>
    <n v="0"/>
    <n v="1"/>
    <n v="6"/>
    <b v="0"/>
    <n v="6"/>
    <n v="1"/>
    <n v="0.16"/>
    <n v="0.18179999999999999"/>
    <n v="0.64"/>
    <n v="0.1343"/>
    <n v="2"/>
    <n v="2"/>
    <s v="Saturday"/>
    <s v="colder"/>
    <n v="0"/>
    <x v="0"/>
  </r>
  <r>
    <d v="2011-01-29T00:00:00"/>
    <n v="1"/>
    <n v="0"/>
    <n v="1"/>
    <n v="7"/>
    <b v="0"/>
    <n v="6"/>
    <n v="1"/>
    <n v="0.16"/>
    <n v="0.18179999999999999"/>
    <n v="0.59"/>
    <n v="0.1045"/>
    <n v="4"/>
    <n v="5"/>
    <s v="Saturday"/>
    <s v="colder"/>
    <n v="1"/>
    <x v="0"/>
  </r>
  <r>
    <d v="2011-01-29T00:00:00"/>
    <n v="1"/>
    <n v="0"/>
    <n v="1"/>
    <n v="8"/>
    <b v="0"/>
    <n v="6"/>
    <n v="1"/>
    <n v="0.18"/>
    <n v="0.19700000000000001"/>
    <n v="0.55000000000000004"/>
    <n v="0.16420000000000001"/>
    <n v="31"/>
    <n v="34"/>
    <s v="Saturday"/>
    <s v="colder"/>
    <n v="3"/>
    <x v="0"/>
  </r>
  <r>
    <d v="2011-01-29T00:00:00"/>
    <n v="1"/>
    <n v="0"/>
    <n v="1"/>
    <n v="9"/>
    <b v="0"/>
    <n v="6"/>
    <n v="1"/>
    <n v="0.18"/>
    <n v="0.21210000000000001"/>
    <n v="0.59"/>
    <n v="8.9599999999999999E-2"/>
    <n v="34"/>
    <n v="34"/>
    <s v="Saturday"/>
    <s v="colder"/>
    <n v="0"/>
    <x v="0"/>
  </r>
  <r>
    <d v="2011-01-29T00:00:00"/>
    <n v="1"/>
    <n v="0"/>
    <n v="1"/>
    <n v="10"/>
    <b v="0"/>
    <n v="6"/>
    <n v="2"/>
    <n v="0.18"/>
    <n v="0.21210000000000001"/>
    <n v="0.64"/>
    <n v="0.1045"/>
    <n v="51"/>
    <n v="55"/>
    <s v="Saturday"/>
    <s v="colder"/>
    <n v="4"/>
    <x v="1"/>
  </r>
  <r>
    <d v="2011-01-29T00:00:00"/>
    <n v="1"/>
    <n v="0"/>
    <n v="1"/>
    <n v="11"/>
    <b v="0"/>
    <n v="6"/>
    <n v="2"/>
    <n v="0.18"/>
    <n v="0.19700000000000001"/>
    <n v="0.64"/>
    <n v="0.1343"/>
    <n v="60"/>
    <n v="64"/>
    <s v="Saturday"/>
    <s v="colder"/>
    <n v="4"/>
    <x v="1"/>
  </r>
  <r>
    <d v="2011-01-29T00:00:00"/>
    <n v="1"/>
    <n v="0"/>
    <n v="1"/>
    <n v="12"/>
    <b v="0"/>
    <n v="6"/>
    <n v="2"/>
    <n v="0.2"/>
    <n v="0.19700000000000001"/>
    <n v="0.59"/>
    <n v="0.19400000000000001"/>
    <n v="66"/>
    <n v="78"/>
    <s v="Saturday"/>
    <s v="colder"/>
    <n v="12"/>
    <x v="1"/>
  </r>
  <r>
    <d v="2011-01-29T00:00:00"/>
    <n v="1"/>
    <n v="0"/>
    <n v="1"/>
    <n v="13"/>
    <b v="0"/>
    <n v="6"/>
    <n v="2"/>
    <n v="0.22"/>
    <n v="0.2273"/>
    <n v="0.55000000000000004"/>
    <n v="0.16420000000000001"/>
    <n v="56"/>
    <n v="65"/>
    <s v="Saturday"/>
    <s v="colder"/>
    <n v="9"/>
    <x v="1"/>
  </r>
  <r>
    <d v="2011-01-29T00:00:00"/>
    <n v="1"/>
    <n v="0"/>
    <n v="1"/>
    <n v="14"/>
    <b v="0"/>
    <n v="6"/>
    <n v="2"/>
    <n v="0.22"/>
    <n v="0.2273"/>
    <n v="0.6"/>
    <n v="0.1343"/>
    <n v="89"/>
    <n v="99"/>
    <s v="Saturday"/>
    <s v="colder"/>
    <n v="10"/>
    <x v="1"/>
  </r>
  <r>
    <d v="2011-01-29T00:00:00"/>
    <n v="1"/>
    <n v="0"/>
    <n v="1"/>
    <n v="15"/>
    <b v="0"/>
    <n v="6"/>
    <n v="1"/>
    <n v="0.22"/>
    <n v="0.21210000000000001"/>
    <n v="0.69"/>
    <n v="0.25369999999999998"/>
    <n v="98"/>
    <n v="120"/>
    <s v="Saturday"/>
    <s v="colder"/>
    <n v="22"/>
    <x v="0"/>
  </r>
  <r>
    <d v="2011-01-29T00:00:00"/>
    <n v="1"/>
    <n v="0"/>
    <n v="1"/>
    <n v="16"/>
    <b v="0"/>
    <n v="6"/>
    <n v="1"/>
    <n v="0.24"/>
    <n v="0.2424"/>
    <n v="0.6"/>
    <n v="0.16420000000000001"/>
    <n v="88"/>
    <n v="107"/>
    <s v="Saturday"/>
    <s v="cold"/>
    <n v="19"/>
    <x v="0"/>
  </r>
  <r>
    <d v="2011-01-29T00:00:00"/>
    <n v="1"/>
    <n v="0"/>
    <n v="1"/>
    <n v="17"/>
    <b v="0"/>
    <n v="6"/>
    <n v="1"/>
    <n v="0.24"/>
    <n v="0.28789999999999999"/>
    <n v="0.6"/>
    <n v="0"/>
    <n v="82"/>
    <n v="91"/>
    <s v="Saturday"/>
    <s v="cold"/>
    <n v="9"/>
    <x v="0"/>
  </r>
  <r>
    <d v="2011-01-29T00:00:00"/>
    <n v="1"/>
    <n v="0"/>
    <n v="1"/>
    <n v="18"/>
    <b v="0"/>
    <n v="6"/>
    <n v="1"/>
    <n v="0.22"/>
    <n v="0.2273"/>
    <n v="0.69"/>
    <n v="0.1343"/>
    <n v="59"/>
    <n v="68"/>
    <s v="Saturday"/>
    <s v="colder"/>
    <n v="9"/>
    <x v="0"/>
  </r>
  <r>
    <d v="2011-01-29T00:00:00"/>
    <n v="1"/>
    <n v="0"/>
    <n v="1"/>
    <n v="19"/>
    <b v="0"/>
    <n v="6"/>
    <n v="2"/>
    <n v="0.22"/>
    <n v="0.21210000000000001"/>
    <n v="0.69"/>
    <n v="0.25369999999999998"/>
    <n v="52"/>
    <n v="58"/>
    <s v="Saturday"/>
    <s v="colder"/>
    <n v="6"/>
    <x v="1"/>
  </r>
  <r>
    <d v="2011-01-29T00:00:00"/>
    <n v="1"/>
    <n v="0"/>
    <n v="1"/>
    <n v="20"/>
    <b v="0"/>
    <n v="6"/>
    <n v="1"/>
    <n v="0.18"/>
    <n v="0.21210000000000001"/>
    <n v="0.74"/>
    <n v="8.9599999999999999E-2"/>
    <n v="42"/>
    <n v="43"/>
    <s v="Saturday"/>
    <s v="colder"/>
    <n v="1"/>
    <x v="0"/>
  </r>
  <r>
    <d v="2011-01-29T00:00:00"/>
    <n v="1"/>
    <n v="0"/>
    <n v="1"/>
    <n v="21"/>
    <b v="0"/>
    <n v="6"/>
    <n v="1"/>
    <n v="0.18"/>
    <n v="0.21210000000000001"/>
    <n v="0.74"/>
    <n v="8.9599999999999999E-2"/>
    <n v="35"/>
    <n v="36"/>
    <s v="Saturday"/>
    <s v="colder"/>
    <n v="1"/>
    <x v="0"/>
  </r>
  <r>
    <d v="2011-01-29T00:00:00"/>
    <n v="1"/>
    <n v="0"/>
    <n v="1"/>
    <n v="22"/>
    <b v="0"/>
    <n v="6"/>
    <n v="1"/>
    <n v="0.16"/>
    <n v="0.19700000000000001"/>
    <n v="0.8"/>
    <n v="8.9599999999999999E-2"/>
    <n v="28"/>
    <n v="32"/>
    <s v="Saturday"/>
    <s v="colder"/>
    <n v="4"/>
    <x v="0"/>
  </r>
  <r>
    <d v="2011-01-29T00:00:00"/>
    <n v="1"/>
    <n v="0"/>
    <n v="1"/>
    <n v="23"/>
    <b v="0"/>
    <n v="6"/>
    <n v="1"/>
    <n v="0.16"/>
    <n v="0.19700000000000001"/>
    <n v="0.8"/>
    <n v="8.9599999999999999E-2"/>
    <n v="30"/>
    <n v="33"/>
    <s v="Saturday"/>
    <s v="colder"/>
    <n v="3"/>
    <x v="0"/>
  </r>
  <r>
    <d v="2011-01-30T00:00:00"/>
    <n v="1"/>
    <n v="0"/>
    <n v="1"/>
    <n v="0"/>
    <b v="0"/>
    <n v="0"/>
    <n v="1"/>
    <n v="0.16"/>
    <n v="0.18179999999999999"/>
    <n v="0.8"/>
    <n v="0.1045"/>
    <n v="33"/>
    <n v="33"/>
    <s v="Sunday"/>
    <s v="colder"/>
    <n v="0"/>
    <x v="0"/>
  </r>
  <r>
    <d v="2011-01-30T00:00:00"/>
    <n v="1"/>
    <n v="0"/>
    <n v="1"/>
    <n v="1"/>
    <b v="0"/>
    <n v="0"/>
    <n v="1"/>
    <n v="0.14000000000000001"/>
    <n v="0.21210000000000001"/>
    <n v="0.8"/>
    <n v="0"/>
    <n v="22"/>
    <n v="29"/>
    <s v="Sunday"/>
    <s v="colder"/>
    <n v="7"/>
    <x v="0"/>
  </r>
  <r>
    <d v="2011-01-30T00:00:00"/>
    <n v="1"/>
    <n v="0"/>
    <n v="1"/>
    <n v="2"/>
    <b v="0"/>
    <n v="0"/>
    <n v="1"/>
    <n v="0.16"/>
    <n v="0.2273"/>
    <n v="0.8"/>
    <n v="0"/>
    <n v="10"/>
    <n v="11"/>
    <s v="Sunday"/>
    <s v="colder"/>
    <n v="1"/>
    <x v="0"/>
  </r>
  <r>
    <d v="2011-01-30T00:00:00"/>
    <n v="1"/>
    <n v="0"/>
    <n v="1"/>
    <n v="3"/>
    <b v="0"/>
    <n v="0"/>
    <n v="1"/>
    <n v="0.14000000000000001"/>
    <n v="0.21210000000000001"/>
    <n v="0.93"/>
    <n v="0"/>
    <n v="7"/>
    <n v="8"/>
    <s v="Sunday"/>
    <s v="colder"/>
    <n v="1"/>
    <x v="0"/>
  </r>
  <r>
    <d v="2011-01-30T00:00:00"/>
    <n v="1"/>
    <n v="0"/>
    <n v="1"/>
    <n v="4"/>
    <b v="0"/>
    <n v="0"/>
    <n v="1"/>
    <n v="0.14000000000000001"/>
    <n v="0.21210000000000001"/>
    <n v="0.93"/>
    <n v="0"/>
    <n v="1"/>
    <n v="1"/>
    <s v="Sunday"/>
    <s v="colder"/>
    <n v="0"/>
    <x v="0"/>
  </r>
  <r>
    <d v="2011-01-30T00:00:00"/>
    <n v="1"/>
    <n v="0"/>
    <n v="1"/>
    <n v="5"/>
    <b v="0"/>
    <n v="0"/>
    <n v="1"/>
    <n v="0.14000000000000001"/>
    <n v="0.21210000000000001"/>
    <n v="0.86"/>
    <n v="0"/>
    <n v="3"/>
    <n v="3"/>
    <s v="Sunday"/>
    <s v="colder"/>
    <n v="0"/>
    <x v="0"/>
  </r>
  <r>
    <d v="2011-01-30T00:00:00"/>
    <n v="1"/>
    <n v="0"/>
    <n v="1"/>
    <n v="7"/>
    <b v="0"/>
    <n v="0"/>
    <n v="1"/>
    <n v="0.14000000000000001"/>
    <n v="0.21210000000000001"/>
    <n v="0.86"/>
    <n v="0"/>
    <n v="3"/>
    <n v="3"/>
    <s v="Sunday"/>
    <s v="colder"/>
    <n v="0"/>
    <x v="0"/>
  </r>
  <r>
    <d v="2011-01-30T00:00:00"/>
    <n v="1"/>
    <n v="0"/>
    <n v="1"/>
    <n v="8"/>
    <b v="0"/>
    <n v="0"/>
    <n v="2"/>
    <n v="0.14000000000000001"/>
    <n v="0.21210000000000001"/>
    <n v="0.86"/>
    <n v="0"/>
    <n v="11"/>
    <n v="12"/>
    <s v="Sunday"/>
    <s v="colder"/>
    <n v="1"/>
    <x v="1"/>
  </r>
  <r>
    <d v="2011-01-30T00:00:00"/>
    <n v="1"/>
    <n v="0"/>
    <n v="1"/>
    <n v="9"/>
    <b v="0"/>
    <n v="0"/>
    <n v="2"/>
    <n v="0.16"/>
    <n v="0.2273"/>
    <n v="0.8"/>
    <n v="0"/>
    <n v="34"/>
    <n v="38"/>
    <s v="Sunday"/>
    <s v="colder"/>
    <n v="4"/>
    <x v="1"/>
  </r>
  <r>
    <d v="2011-01-30T00:00:00"/>
    <n v="1"/>
    <n v="0"/>
    <n v="1"/>
    <n v="10"/>
    <b v="0"/>
    <n v="0"/>
    <n v="2"/>
    <n v="0.18"/>
    <n v="0.2424"/>
    <n v="0.8"/>
    <n v="0"/>
    <n v="57"/>
    <n v="64"/>
    <s v="Sunday"/>
    <s v="colder"/>
    <n v="7"/>
    <x v="1"/>
  </r>
  <r>
    <d v="2011-01-30T00:00:00"/>
    <n v="1"/>
    <n v="0"/>
    <n v="1"/>
    <n v="11"/>
    <b v="0"/>
    <n v="0"/>
    <n v="1"/>
    <n v="0.22"/>
    <n v="0.2727"/>
    <n v="0.75"/>
    <n v="0"/>
    <n v="50"/>
    <n v="59"/>
    <s v="Sunday"/>
    <s v="colder"/>
    <n v="9"/>
    <x v="0"/>
  </r>
  <r>
    <d v="2011-01-30T00:00:00"/>
    <n v="1"/>
    <n v="0"/>
    <n v="1"/>
    <n v="12"/>
    <b v="0"/>
    <n v="0"/>
    <n v="1"/>
    <n v="0.3"/>
    <n v="0.31819999999999998"/>
    <n v="0.52"/>
    <n v="0.1045"/>
    <n v="87"/>
    <n v="97"/>
    <s v="Sunday"/>
    <s v="cold"/>
    <n v="10"/>
    <x v="0"/>
  </r>
  <r>
    <d v="2011-01-30T00:00:00"/>
    <n v="1"/>
    <n v="0"/>
    <n v="1"/>
    <n v="13"/>
    <b v="0"/>
    <n v="0"/>
    <n v="1"/>
    <n v="0.28000000000000003"/>
    <n v="0.28789999999999999"/>
    <n v="0.61"/>
    <n v="0.1045"/>
    <n v="71"/>
    <n v="84"/>
    <s v="Sunday"/>
    <s v="cold"/>
    <n v="13"/>
    <x v="0"/>
  </r>
  <r>
    <d v="2011-01-30T00:00:00"/>
    <n v="1"/>
    <n v="0"/>
    <n v="1"/>
    <n v="14"/>
    <b v="0"/>
    <n v="0"/>
    <n v="1"/>
    <n v="0.28000000000000003"/>
    <n v="0.30299999999999999"/>
    <n v="0.61"/>
    <n v="8.9599999999999999E-2"/>
    <n v="104"/>
    <n v="122"/>
    <s v="Sunday"/>
    <s v="cold"/>
    <n v="18"/>
    <x v="0"/>
  </r>
  <r>
    <d v="2011-01-30T00:00:00"/>
    <n v="1"/>
    <n v="0"/>
    <n v="1"/>
    <n v="15"/>
    <b v="0"/>
    <n v="0"/>
    <n v="1"/>
    <n v="0.3"/>
    <n v="0.33329999999999999"/>
    <n v="0.56000000000000005"/>
    <n v="0"/>
    <n v="95"/>
    <n v="109"/>
    <s v="Sunday"/>
    <s v="cold"/>
    <n v="14"/>
    <x v="0"/>
  </r>
  <r>
    <d v="2011-01-30T00:00:00"/>
    <n v="1"/>
    <n v="0"/>
    <n v="1"/>
    <n v="16"/>
    <b v="0"/>
    <n v="0"/>
    <n v="1"/>
    <n v="0.3"/>
    <n v="0.33329999999999999"/>
    <n v="0.56000000000000005"/>
    <n v="0"/>
    <n v="104"/>
    <n v="123"/>
    <s v="Sunday"/>
    <s v="cold"/>
    <n v="19"/>
    <x v="0"/>
  </r>
  <r>
    <d v="2011-01-30T00:00:00"/>
    <n v="1"/>
    <n v="0"/>
    <n v="1"/>
    <n v="17"/>
    <b v="0"/>
    <n v="0"/>
    <n v="1"/>
    <n v="0.3"/>
    <n v="0.28789999999999999"/>
    <n v="0.56000000000000005"/>
    <n v="0.19400000000000001"/>
    <n v="71"/>
    <n v="77"/>
    <s v="Sunday"/>
    <s v="cold"/>
    <n v="6"/>
    <x v="0"/>
  </r>
  <r>
    <d v="2011-01-30T00:00:00"/>
    <n v="1"/>
    <n v="0"/>
    <n v="1"/>
    <n v="18"/>
    <b v="0"/>
    <n v="0"/>
    <n v="1"/>
    <n v="0.26"/>
    <n v="0.2576"/>
    <n v="0.65"/>
    <n v="0.16420000000000001"/>
    <n v="57"/>
    <n v="65"/>
    <s v="Sunday"/>
    <s v="cold"/>
    <n v="8"/>
    <x v="0"/>
  </r>
  <r>
    <d v="2011-01-30T00:00:00"/>
    <n v="1"/>
    <n v="0"/>
    <n v="1"/>
    <n v="19"/>
    <b v="0"/>
    <n v="0"/>
    <n v="1"/>
    <n v="0.26"/>
    <n v="0.2576"/>
    <n v="0.65"/>
    <n v="0.19400000000000001"/>
    <n v="46"/>
    <n v="55"/>
    <s v="Sunday"/>
    <s v="cold"/>
    <n v="9"/>
    <x v="0"/>
  </r>
  <r>
    <d v="2011-01-30T00:00:00"/>
    <n v="1"/>
    <n v="0"/>
    <n v="1"/>
    <n v="20"/>
    <b v="0"/>
    <n v="0"/>
    <n v="2"/>
    <n v="0.26"/>
    <n v="0.2727"/>
    <n v="0.65"/>
    <n v="0.1045"/>
    <n v="30"/>
    <n v="33"/>
    <s v="Sunday"/>
    <s v="cold"/>
    <n v="3"/>
    <x v="1"/>
  </r>
  <r>
    <d v="2011-01-30T00:00:00"/>
    <n v="1"/>
    <n v="0"/>
    <n v="1"/>
    <n v="21"/>
    <b v="0"/>
    <n v="0"/>
    <n v="2"/>
    <n v="0.24"/>
    <n v="0.2424"/>
    <n v="0.7"/>
    <n v="0.16420000000000001"/>
    <n v="25"/>
    <n v="28"/>
    <s v="Sunday"/>
    <s v="cold"/>
    <n v="3"/>
    <x v="1"/>
  </r>
  <r>
    <d v="2011-01-30T00:00:00"/>
    <n v="1"/>
    <n v="0"/>
    <n v="1"/>
    <n v="22"/>
    <b v="0"/>
    <n v="0"/>
    <n v="2"/>
    <n v="0.24"/>
    <n v="0.2273"/>
    <n v="0.7"/>
    <n v="0.19400000000000001"/>
    <n v="19"/>
    <n v="21"/>
    <s v="Sunday"/>
    <s v="cold"/>
    <n v="2"/>
    <x v="1"/>
  </r>
  <r>
    <d v="2011-01-30T00:00:00"/>
    <n v="1"/>
    <n v="0"/>
    <n v="1"/>
    <n v="23"/>
    <b v="0"/>
    <n v="0"/>
    <n v="2"/>
    <n v="0.24"/>
    <n v="0.21210000000000001"/>
    <n v="0.65"/>
    <n v="0.28360000000000002"/>
    <n v="16"/>
    <n v="21"/>
    <s v="Sunday"/>
    <s v="cold"/>
    <n v="5"/>
    <x v="1"/>
  </r>
  <r>
    <d v="2011-01-31T00:00:00"/>
    <n v="1"/>
    <n v="0"/>
    <n v="1"/>
    <n v="0"/>
    <b v="0"/>
    <n v="1"/>
    <n v="2"/>
    <n v="0.24"/>
    <n v="0.2273"/>
    <n v="0.65"/>
    <n v="0.22389999999999999"/>
    <n v="6"/>
    <n v="7"/>
    <s v="Monday"/>
    <s v="cold"/>
    <n v="1"/>
    <x v="1"/>
  </r>
  <r>
    <d v="2011-01-31T00:00:00"/>
    <n v="1"/>
    <n v="0"/>
    <n v="1"/>
    <n v="1"/>
    <b v="0"/>
    <n v="1"/>
    <n v="1"/>
    <n v="0.22"/>
    <n v="0.21210000000000001"/>
    <n v="0.64"/>
    <n v="0.25369999999999998"/>
    <n v="5"/>
    <n v="7"/>
    <s v="Monday"/>
    <s v="colder"/>
    <n v="2"/>
    <x v="0"/>
  </r>
  <r>
    <d v="2011-01-31T00:00:00"/>
    <n v="1"/>
    <n v="0"/>
    <n v="1"/>
    <n v="2"/>
    <b v="0"/>
    <n v="1"/>
    <n v="1"/>
    <n v="0.22"/>
    <n v="0.2273"/>
    <n v="0.64"/>
    <n v="0.19400000000000001"/>
    <n v="1"/>
    <n v="1"/>
    <s v="Monday"/>
    <s v="colder"/>
    <n v="0"/>
    <x v="0"/>
  </r>
  <r>
    <d v="2011-01-31T00:00:00"/>
    <n v="1"/>
    <n v="0"/>
    <n v="1"/>
    <n v="3"/>
    <b v="0"/>
    <n v="1"/>
    <n v="1"/>
    <n v="0.22"/>
    <n v="0.2273"/>
    <n v="0.64"/>
    <n v="0.19400000000000001"/>
    <n v="2"/>
    <n v="2"/>
    <s v="Monday"/>
    <s v="colder"/>
    <n v="0"/>
    <x v="0"/>
  </r>
  <r>
    <d v="2011-01-31T00:00:00"/>
    <n v="1"/>
    <n v="0"/>
    <n v="1"/>
    <n v="4"/>
    <b v="0"/>
    <n v="1"/>
    <n v="1"/>
    <n v="0.2"/>
    <n v="0.19700000000000001"/>
    <n v="0.59"/>
    <n v="0.22389999999999999"/>
    <n v="2"/>
    <n v="2"/>
    <s v="Monday"/>
    <s v="colder"/>
    <n v="0"/>
    <x v="0"/>
  </r>
  <r>
    <d v="2011-01-31T00:00:00"/>
    <n v="1"/>
    <n v="0"/>
    <n v="1"/>
    <n v="5"/>
    <b v="0"/>
    <n v="1"/>
    <n v="1"/>
    <n v="0.18"/>
    <n v="0.16669999999999999"/>
    <n v="0.64"/>
    <n v="0.28360000000000002"/>
    <n v="8"/>
    <n v="8"/>
    <s v="Monday"/>
    <s v="colder"/>
    <n v="0"/>
    <x v="0"/>
  </r>
  <r>
    <d v="2011-01-31T00:00:00"/>
    <n v="1"/>
    <n v="0"/>
    <n v="1"/>
    <n v="6"/>
    <b v="0"/>
    <n v="1"/>
    <n v="1"/>
    <n v="0.16"/>
    <n v="0.13639999999999999"/>
    <n v="0.69"/>
    <n v="0.32840000000000003"/>
    <n v="37"/>
    <n v="37"/>
    <s v="Monday"/>
    <s v="colder"/>
    <n v="0"/>
    <x v="0"/>
  </r>
  <r>
    <d v="2011-01-31T00:00:00"/>
    <n v="1"/>
    <n v="0"/>
    <n v="1"/>
    <n v="7"/>
    <b v="0"/>
    <n v="1"/>
    <n v="2"/>
    <n v="0.16"/>
    <n v="0.13639999999999999"/>
    <n v="0.64"/>
    <n v="0.28360000000000002"/>
    <n v="71"/>
    <n v="72"/>
    <s v="Monday"/>
    <s v="colder"/>
    <n v="1"/>
    <x v="1"/>
  </r>
  <r>
    <d v="2011-01-31T00:00:00"/>
    <n v="1"/>
    <n v="0"/>
    <n v="1"/>
    <n v="8"/>
    <b v="0"/>
    <n v="1"/>
    <n v="2"/>
    <n v="0.16"/>
    <n v="0.13639999999999999"/>
    <n v="0.59"/>
    <n v="0.28360000000000002"/>
    <n v="182"/>
    <n v="185"/>
    <s v="Monday"/>
    <s v="colder"/>
    <n v="3"/>
    <x v="1"/>
  </r>
  <r>
    <d v="2011-01-31T00:00:00"/>
    <n v="1"/>
    <n v="0"/>
    <n v="1"/>
    <n v="9"/>
    <b v="0"/>
    <n v="1"/>
    <n v="2"/>
    <n v="0.16"/>
    <n v="0.13639999999999999"/>
    <n v="0.59"/>
    <n v="0.29849999999999999"/>
    <n v="112"/>
    <n v="112"/>
    <s v="Monday"/>
    <s v="colder"/>
    <n v="0"/>
    <x v="1"/>
  </r>
  <r>
    <d v="2011-01-31T00:00:00"/>
    <n v="1"/>
    <n v="0"/>
    <n v="1"/>
    <n v="10"/>
    <b v="0"/>
    <n v="1"/>
    <n v="2"/>
    <n v="0.16"/>
    <n v="0.1515"/>
    <n v="0.59"/>
    <n v="0.19400000000000001"/>
    <n v="68"/>
    <n v="69"/>
    <s v="Monday"/>
    <s v="colder"/>
    <n v="1"/>
    <x v="1"/>
  </r>
  <r>
    <d v="2011-01-31T00:00:00"/>
    <n v="1"/>
    <n v="0"/>
    <n v="1"/>
    <n v="11"/>
    <b v="0"/>
    <n v="1"/>
    <n v="2"/>
    <n v="0.16"/>
    <n v="0.1515"/>
    <n v="0.59"/>
    <n v="0.19400000000000001"/>
    <n v="46"/>
    <n v="48"/>
    <s v="Monday"/>
    <s v="colder"/>
    <n v="2"/>
    <x v="1"/>
  </r>
  <r>
    <d v="2011-01-31T00:00:00"/>
    <n v="1"/>
    <n v="0"/>
    <n v="1"/>
    <n v="12"/>
    <b v="0"/>
    <n v="1"/>
    <n v="2"/>
    <n v="0.18"/>
    <n v="0.21210000000000001"/>
    <n v="0.55000000000000004"/>
    <n v="0.1045"/>
    <n v="62"/>
    <n v="68"/>
    <s v="Monday"/>
    <s v="colder"/>
    <n v="6"/>
    <x v="1"/>
  </r>
  <r>
    <d v="2011-01-31T00:00:00"/>
    <n v="1"/>
    <n v="0"/>
    <n v="1"/>
    <n v="13"/>
    <b v="0"/>
    <n v="1"/>
    <n v="2"/>
    <n v="0.16"/>
    <n v="0.2273"/>
    <n v="0.59"/>
    <n v="0"/>
    <n v="52"/>
    <n v="54"/>
    <s v="Monday"/>
    <s v="colder"/>
    <n v="2"/>
    <x v="1"/>
  </r>
  <r>
    <d v="2011-01-31T00:00:00"/>
    <n v="1"/>
    <n v="0"/>
    <n v="1"/>
    <n v="14"/>
    <b v="0"/>
    <n v="1"/>
    <n v="2"/>
    <n v="0.18"/>
    <n v="0.19700000000000001"/>
    <n v="0.55000000000000004"/>
    <n v="0.1343"/>
    <n v="85"/>
    <n v="86"/>
    <s v="Monday"/>
    <s v="colder"/>
    <n v="1"/>
    <x v="1"/>
  </r>
  <r>
    <d v="2011-01-31T00:00:00"/>
    <n v="1"/>
    <n v="0"/>
    <n v="1"/>
    <n v="15"/>
    <b v="0"/>
    <n v="1"/>
    <n v="2"/>
    <n v="0.16"/>
    <n v="0.18179999999999999"/>
    <n v="0.59"/>
    <n v="0.1343"/>
    <n v="41"/>
    <n v="44"/>
    <s v="Monday"/>
    <s v="colder"/>
    <n v="3"/>
    <x v="1"/>
  </r>
  <r>
    <d v="2011-01-31T00:00:00"/>
    <n v="1"/>
    <n v="0"/>
    <n v="1"/>
    <n v="16"/>
    <b v="0"/>
    <n v="1"/>
    <n v="2"/>
    <n v="0.16"/>
    <n v="0.18179999999999999"/>
    <n v="0.56000000000000005"/>
    <n v="0.19400000000000001"/>
    <n v="83"/>
    <n v="86"/>
    <s v="Monday"/>
    <s v="colder"/>
    <n v="3"/>
    <x v="1"/>
  </r>
  <r>
    <d v="2011-01-31T00:00:00"/>
    <n v="1"/>
    <n v="0"/>
    <n v="1"/>
    <n v="17"/>
    <b v="0"/>
    <n v="1"/>
    <n v="2"/>
    <n v="0.16"/>
    <n v="0.1515"/>
    <n v="0.59"/>
    <n v="0.19400000000000001"/>
    <n v="155"/>
    <n v="161"/>
    <s v="Monday"/>
    <s v="colder"/>
    <n v="6"/>
    <x v="1"/>
  </r>
  <r>
    <d v="2011-01-31T00:00:00"/>
    <n v="1"/>
    <n v="0"/>
    <n v="1"/>
    <n v="18"/>
    <b v="0"/>
    <n v="1"/>
    <n v="2"/>
    <n v="0.16"/>
    <n v="0.1515"/>
    <n v="0.55000000000000004"/>
    <n v="0.22389999999999999"/>
    <n v="153"/>
    <n v="156"/>
    <s v="Monday"/>
    <s v="colder"/>
    <n v="3"/>
    <x v="1"/>
  </r>
  <r>
    <d v="2011-01-31T00:00:00"/>
    <n v="1"/>
    <n v="0"/>
    <n v="1"/>
    <n v="19"/>
    <b v="0"/>
    <n v="1"/>
    <n v="1"/>
    <n v="0.3"/>
    <n v="0.31819999999999998"/>
    <n v="0.61"/>
    <n v="0.1045"/>
    <n v="108"/>
    <n v="111"/>
    <s v="Monday"/>
    <s v="cold"/>
    <n v="3"/>
    <x v="0"/>
  </r>
  <r>
    <d v="2011-01-31T00:00:00"/>
    <n v="1"/>
    <n v="0"/>
    <n v="1"/>
    <n v="20"/>
    <b v="0"/>
    <n v="1"/>
    <n v="3"/>
    <n v="0.16"/>
    <n v="0.16669999999999999"/>
    <n v="0.59"/>
    <n v="0.16420000000000001"/>
    <n v="78"/>
    <n v="78"/>
    <s v="Monday"/>
    <s v="colder"/>
    <n v="0"/>
    <x v="2"/>
  </r>
  <r>
    <d v="2011-01-31T00:00:00"/>
    <n v="1"/>
    <n v="0"/>
    <n v="1"/>
    <n v="21"/>
    <b v="0"/>
    <n v="1"/>
    <n v="3"/>
    <n v="0.16"/>
    <n v="0.19700000000000001"/>
    <n v="0.59"/>
    <n v="8.9599999999999999E-2"/>
    <n v="53"/>
    <n v="56"/>
    <s v="Monday"/>
    <s v="colder"/>
    <n v="3"/>
    <x v="2"/>
  </r>
  <r>
    <d v="2011-01-31T00:00:00"/>
    <n v="1"/>
    <n v="0"/>
    <n v="1"/>
    <n v="22"/>
    <b v="0"/>
    <n v="1"/>
    <n v="2"/>
    <n v="0.16"/>
    <n v="0.18179999999999999"/>
    <n v="0.59"/>
    <n v="0.1045"/>
    <n v="34"/>
    <n v="34"/>
    <s v="Monday"/>
    <s v="colder"/>
    <n v="0"/>
    <x v="1"/>
  </r>
  <r>
    <d v="2011-01-31T00:00:00"/>
    <n v="1"/>
    <n v="0"/>
    <n v="1"/>
    <n v="23"/>
    <b v="0"/>
    <n v="1"/>
    <n v="2"/>
    <n v="0.16"/>
    <n v="0.19700000000000001"/>
    <n v="0.64"/>
    <n v="8.9599999999999999E-2"/>
    <n v="15"/>
    <n v="17"/>
    <s v="Monday"/>
    <s v="colder"/>
    <n v="2"/>
    <x v="1"/>
  </r>
  <r>
    <d v="2011-02-01T00:00:00"/>
    <n v="1"/>
    <n v="0"/>
    <n v="2"/>
    <n v="0"/>
    <b v="0"/>
    <n v="2"/>
    <n v="2"/>
    <n v="0.16"/>
    <n v="0.18179999999999999"/>
    <n v="0.64"/>
    <n v="0.1045"/>
    <n v="6"/>
    <n v="8"/>
    <s v="Tuesday"/>
    <s v="colder"/>
    <n v="2"/>
    <x v="1"/>
  </r>
  <r>
    <d v="2011-02-01T00:00:00"/>
    <n v="1"/>
    <n v="0"/>
    <n v="2"/>
    <n v="1"/>
    <b v="0"/>
    <n v="2"/>
    <n v="2"/>
    <n v="0.16"/>
    <n v="0.18179999999999999"/>
    <n v="0.69"/>
    <n v="0.1045"/>
    <n v="3"/>
    <n v="3"/>
    <s v="Tuesday"/>
    <s v="colder"/>
    <n v="0"/>
    <x v="1"/>
  </r>
  <r>
    <d v="2011-02-01T00:00:00"/>
    <n v="1"/>
    <n v="0"/>
    <n v="2"/>
    <n v="2"/>
    <b v="0"/>
    <n v="2"/>
    <n v="2"/>
    <n v="0.16"/>
    <n v="0.2273"/>
    <n v="0.69"/>
    <n v="0"/>
    <n v="2"/>
    <n v="2"/>
    <s v="Tuesday"/>
    <s v="colder"/>
    <n v="0"/>
    <x v="1"/>
  </r>
  <r>
    <d v="2011-02-01T00:00:00"/>
    <n v="1"/>
    <n v="0"/>
    <n v="2"/>
    <n v="3"/>
    <b v="0"/>
    <n v="2"/>
    <n v="2"/>
    <n v="0.16"/>
    <n v="0.2273"/>
    <n v="0.69"/>
    <n v="0"/>
    <n v="2"/>
    <n v="2"/>
    <s v="Tuesday"/>
    <s v="colder"/>
    <n v="0"/>
    <x v="1"/>
  </r>
  <r>
    <d v="2011-02-01T00:00:00"/>
    <n v="1"/>
    <n v="0"/>
    <n v="2"/>
    <n v="5"/>
    <b v="0"/>
    <n v="2"/>
    <n v="3"/>
    <n v="0.14000000000000001"/>
    <n v="0.21210000000000001"/>
    <n v="0.93"/>
    <n v="0"/>
    <n v="3"/>
    <n v="3"/>
    <s v="Tuesday"/>
    <s v="colder"/>
    <n v="0"/>
    <x v="2"/>
  </r>
  <r>
    <d v="2011-02-01T00:00:00"/>
    <n v="1"/>
    <n v="0"/>
    <n v="2"/>
    <n v="6"/>
    <b v="0"/>
    <n v="2"/>
    <n v="3"/>
    <n v="0.14000000000000001"/>
    <n v="0.21210000000000001"/>
    <n v="0.93"/>
    <n v="0"/>
    <n v="22"/>
    <n v="22"/>
    <s v="Tuesday"/>
    <s v="colder"/>
    <n v="0"/>
    <x v="2"/>
  </r>
  <r>
    <d v="2011-02-01T00:00:00"/>
    <n v="1"/>
    <n v="0"/>
    <n v="2"/>
    <n v="7"/>
    <b v="0"/>
    <n v="2"/>
    <n v="3"/>
    <n v="0.16"/>
    <n v="0.2273"/>
    <n v="0.93"/>
    <n v="0"/>
    <n v="52"/>
    <n v="52"/>
    <s v="Tuesday"/>
    <s v="colder"/>
    <n v="0"/>
    <x v="2"/>
  </r>
  <r>
    <d v="2011-02-01T00:00:00"/>
    <n v="1"/>
    <n v="0"/>
    <n v="2"/>
    <n v="8"/>
    <b v="0"/>
    <n v="2"/>
    <n v="3"/>
    <n v="0.16"/>
    <n v="0.2273"/>
    <n v="0.93"/>
    <n v="0"/>
    <n v="132"/>
    <n v="135"/>
    <s v="Tuesday"/>
    <s v="colder"/>
    <n v="3"/>
    <x v="2"/>
  </r>
  <r>
    <d v="2011-02-01T00:00:00"/>
    <n v="1"/>
    <n v="0"/>
    <n v="2"/>
    <n v="9"/>
    <b v="0"/>
    <n v="2"/>
    <n v="2"/>
    <n v="0.16"/>
    <n v="0.2273"/>
    <n v="0.93"/>
    <n v="0"/>
    <n v="114"/>
    <n v="116"/>
    <s v="Tuesday"/>
    <s v="colder"/>
    <n v="2"/>
    <x v="1"/>
  </r>
  <r>
    <d v="2011-02-01T00:00:00"/>
    <n v="1"/>
    <n v="0"/>
    <n v="2"/>
    <n v="10"/>
    <b v="0"/>
    <n v="2"/>
    <n v="2"/>
    <n v="0.16"/>
    <n v="0.2273"/>
    <n v="0.93"/>
    <n v="0"/>
    <n v="47"/>
    <n v="47"/>
    <s v="Tuesday"/>
    <s v="colder"/>
    <n v="0"/>
    <x v="1"/>
  </r>
  <r>
    <d v="2011-02-01T00:00:00"/>
    <n v="1"/>
    <n v="0"/>
    <n v="2"/>
    <n v="11"/>
    <b v="0"/>
    <n v="2"/>
    <n v="2"/>
    <n v="0.18"/>
    <n v="0.2424"/>
    <n v="0.86"/>
    <n v="0"/>
    <n v="49"/>
    <n v="51"/>
    <s v="Tuesday"/>
    <s v="colder"/>
    <n v="2"/>
    <x v="1"/>
  </r>
  <r>
    <d v="2011-02-01T00:00:00"/>
    <n v="1"/>
    <n v="0"/>
    <n v="2"/>
    <n v="12"/>
    <b v="0"/>
    <n v="2"/>
    <n v="2"/>
    <n v="0.2"/>
    <n v="0.2576"/>
    <n v="0.86"/>
    <n v="0"/>
    <n v="53"/>
    <n v="55"/>
    <s v="Tuesday"/>
    <s v="colder"/>
    <n v="2"/>
    <x v="1"/>
  </r>
  <r>
    <d v="2011-02-01T00:00:00"/>
    <n v="1"/>
    <n v="0"/>
    <n v="2"/>
    <n v="13"/>
    <b v="0"/>
    <n v="2"/>
    <n v="2"/>
    <n v="0.2"/>
    <n v="0.2576"/>
    <n v="0.86"/>
    <n v="0"/>
    <n v="49"/>
    <n v="52"/>
    <s v="Tuesday"/>
    <s v="colder"/>
    <n v="3"/>
    <x v="1"/>
  </r>
  <r>
    <d v="2011-02-01T00:00:00"/>
    <n v="1"/>
    <n v="0"/>
    <n v="2"/>
    <n v="14"/>
    <b v="0"/>
    <n v="2"/>
    <n v="2"/>
    <n v="0.22"/>
    <n v="0.2576"/>
    <n v="0.8"/>
    <n v="8.9599999999999999E-2"/>
    <n v="49"/>
    <n v="54"/>
    <s v="Tuesday"/>
    <s v="colder"/>
    <n v="5"/>
    <x v="1"/>
  </r>
  <r>
    <d v="2011-02-01T00:00:00"/>
    <n v="1"/>
    <n v="0"/>
    <n v="2"/>
    <n v="15"/>
    <b v="0"/>
    <n v="2"/>
    <n v="2"/>
    <n v="0.24"/>
    <n v="0.28789999999999999"/>
    <n v="0.75"/>
    <n v="0"/>
    <n v="45"/>
    <n v="52"/>
    <s v="Tuesday"/>
    <s v="cold"/>
    <n v="7"/>
    <x v="1"/>
  </r>
  <r>
    <d v="2011-02-01T00:00:00"/>
    <n v="1"/>
    <n v="0"/>
    <n v="2"/>
    <n v="16"/>
    <b v="0"/>
    <n v="2"/>
    <n v="2"/>
    <n v="0.24"/>
    <n v="0.2424"/>
    <n v="0.75"/>
    <n v="0.1343"/>
    <n v="61"/>
    <n v="64"/>
    <s v="Tuesday"/>
    <s v="cold"/>
    <n v="3"/>
    <x v="1"/>
  </r>
  <r>
    <d v="2011-02-01T00:00:00"/>
    <n v="1"/>
    <n v="0"/>
    <n v="2"/>
    <n v="17"/>
    <b v="0"/>
    <n v="2"/>
    <n v="2"/>
    <n v="0.24"/>
    <n v="0.28789999999999999"/>
    <n v="0.75"/>
    <n v="0"/>
    <n v="172"/>
    <n v="176"/>
    <s v="Tuesday"/>
    <s v="cold"/>
    <n v="4"/>
    <x v="1"/>
  </r>
  <r>
    <d v="2011-02-01T00:00:00"/>
    <n v="1"/>
    <n v="0"/>
    <n v="2"/>
    <n v="18"/>
    <b v="0"/>
    <n v="2"/>
    <n v="2"/>
    <n v="0.24"/>
    <n v="0.2576"/>
    <n v="0.81"/>
    <n v="0.1045"/>
    <n v="165"/>
    <n v="168"/>
    <s v="Tuesday"/>
    <s v="cold"/>
    <n v="3"/>
    <x v="1"/>
  </r>
  <r>
    <d v="2011-02-01T00:00:00"/>
    <n v="1"/>
    <n v="0"/>
    <n v="2"/>
    <n v="19"/>
    <b v="0"/>
    <n v="2"/>
    <n v="2"/>
    <n v="0.24"/>
    <n v="0.2424"/>
    <n v="0.81"/>
    <n v="0.1343"/>
    <n v="105"/>
    <n v="108"/>
    <s v="Tuesday"/>
    <s v="cold"/>
    <n v="3"/>
    <x v="1"/>
  </r>
  <r>
    <d v="2011-02-01T00:00:00"/>
    <n v="1"/>
    <n v="0"/>
    <n v="2"/>
    <n v="20"/>
    <b v="0"/>
    <n v="2"/>
    <n v="2"/>
    <n v="0.22"/>
    <n v="0.2273"/>
    <n v="0.87"/>
    <n v="0.1343"/>
    <n v="69"/>
    <n v="74"/>
    <s v="Tuesday"/>
    <s v="colder"/>
    <n v="5"/>
    <x v="1"/>
  </r>
  <r>
    <d v="2011-02-01T00:00:00"/>
    <n v="1"/>
    <n v="0"/>
    <n v="2"/>
    <n v="21"/>
    <b v="0"/>
    <n v="2"/>
    <n v="2"/>
    <n v="0.22"/>
    <n v="0.2273"/>
    <n v="0.87"/>
    <n v="0.1343"/>
    <n v="64"/>
    <n v="64"/>
    <s v="Tuesday"/>
    <s v="colder"/>
    <n v="0"/>
    <x v="1"/>
  </r>
  <r>
    <d v="2011-02-01T00:00:00"/>
    <n v="1"/>
    <n v="0"/>
    <n v="2"/>
    <n v="22"/>
    <b v="0"/>
    <n v="2"/>
    <n v="2"/>
    <n v="0.22"/>
    <n v="0.2576"/>
    <n v="0.87"/>
    <n v="8.9599999999999999E-2"/>
    <n v="34"/>
    <n v="36"/>
    <s v="Tuesday"/>
    <s v="colder"/>
    <n v="2"/>
    <x v="1"/>
  </r>
  <r>
    <d v="2011-02-01T00:00:00"/>
    <n v="1"/>
    <n v="0"/>
    <n v="2"/>
    <n v="23"/>
    <b v="0"/>
    <n v="2"/>
    <n v="3"/>
    <n v="0.2"/>
    <n v="0.19700000000000001"/>
    <n v="0.93"/>
    <n v="0.19400000000000001"/>
    <n v="15"/>
    <n v="16"/>
    <s v="Tuesday"/>
    <s v="colder"/>
    <n v="1"/>
    <x v="2"/>
  </r>
  <r>
    <d v="2011-02-02T00:00:00"/>
    <n v="1"/>
    <n v="0"/>
    <n v="2"/>
    <n v="0"/>
    <b v="0"/>
    <n v="3"/>
    <n v="3"/>
    <n v="0.22"/>
    <n v="0.2424"/>
    <n v="0.93"/>
    <n v="0.1045"/>
    <n v="2"/>
    <n v="2"/>
    <s v="Wednesday"/>
    <s v="colder"/>
    <n v="0"/>
    <x v="2"/>
  </r>
  <r>
    <d v="2011-02-02T00:00:00"/>
    <n v="1"/>
    <n v="0"/>
    <n v="2"/>
    <n v="1"/>
    <b v="0"/>
    <n v="3"/>
    <n v="3"/>
    <n v="0.22"/>
    <n v="0.2273"/>
    <n v="0.93"/>
    <n v="0.19400000000000001"/>
    <n v="3"/>
    <n v="3"/>
    <s v="Wednesday"/>
    <s v="colder"/>
    <n v="0"/>
    <x v="2"/>
  </r>
  <r>
    <d v="2011-02-02T00:00:00"/>
    <n v="1"/>
    <n v="0"/>
    <n v="2"/>
    <n v="2"/>
    <b v="0"/>
    <n v="3"/>
    <n v="3"/>
    <n v="0.22"/>
    <n v="0.2273"/>
    <n v="0.93"/>
    <n v="0.1343"/>
    <n v="0"/>
    <n v="4"/>
    <s v="Wednesday"/>
    <s v="colder"/>
    <n v="4"/>
    <x v="2"/>
  </r>
  <r>
    <d v="2011-02-02T00:00:00"/>
    <n v="1"/>
    <n v="0"/>
    <n v="2"/>
    <n v="3"/>
    <b v="0"/>
    <n v="3"/>
    <n v="3"/>
    <n v="0.22"/>
    <n v="0.2273"/>
    <n v="0.93"/>
    <n v="0.1343"/>
    <n v="1"/>
    <n v="1"/>
    <s v="Wednesday"/>
    <s v="colder"/>
    <n v="0"/>
    <x v="2"/>
  </r>
  <r>
    <d v="2011-02-02T00:00:00"/>
    <n v="1"/>
    <n v="0"/>
    <n v="2"/>
    <n v="4"/>
    <b v="0"/>
    <n v="3"/>
    <n v="3"/>
    <n v="0.22"/>
    <n v="0.21210000000000001"/>
    <n v="0.93"/>
    <n v="0.28360000000000002"/>
    <n v="1"/>
    <n v="1"/>
    <s v="Wednesday"/>
    <s v="colder"/>
    <n v="0"/>
    <x v="2"/>
  </r>
  <r>
    <d v="2011-02-02T00:00:00"/>
    <n v="1"/>
    <n v="0"/>
    <n v="2"/>
    <n v="5"/>
    <b v="0"/>
    <n v="3"/>
    <n v="3"/>
    <n v="0.22"/>
    <n v="0.2424"/>
    <n v="0.93"/>
    <n v="0.1045"/>
    <n v="3"/>
    <n v="3"/>
    <s v="Wednesday"/>
    <s v="colder"/>
    <n v="0"/>
    <x v="2"/>
  </r>
  <r>
    <d v="2011-02-02T00:00:00"/>
    <n v="1"/>
    <n v="0"/>
    <n v="2"/>
    <n v="6"/>
    <b v="0"/>
    <n v="3"/>
    <n v="3"/>
    <n v="0.22"/>
    <n v="0.2424"/>
    <n v="0.93"/>
    <n v="0.1045"/>
    <n v="17"/>
    <n v="18"/>
    <s v="Wednesday"/>
    <s v="colder"/>
    <n v="1"/>
    <x v="2"/>
  </r>
  <r>
    <d v="2011-02-02T00:00:00"/>
    <n v="1"/>
    <n v="0"/>
    <n v="2"/>
    <n v="7"/>
    <b v="0"/>
    <n v="3"/>
    <n v="3"/>
    <n v="0.22"/>
    <n v="0.21210000000000001"/>
    <n v="0.93"/>
    <n v="0.22389999999999999"/>
    <n v="48"/>
    <n v="49"/>
    <s v="Wednesday"/>
    <s v="colder"/>
    <n v="1"/>
    <x v="2"/>
  </r>
  <r>
    <d v="2011-02-02T00:00:00"/>
    <n v="1"/>
    <n v="0"/>
    <n v="2"/>
    <n v="8"/>
    <b v="0"/>
    <n v="3"/>
    <n v="3"/>
    <n v="0.22"/>
    <n v="0.21210000000000001"/>
    <n v="0.93"/>
    <n v="0.22389999999999999"/>
    <n v="154"/>
    <n v="155"/>
    <s v="Wednesday"/>
    <s v="colder"/>
    <n v="1"/>
    <x v="2"/>
  </r>
  <r>
    <d v="2011-02-02T00:00:00"/>
    <n v="1"/>
    <n v="0"/>
    <n v="2"/>
    <n v="9"/>
    <b v="0"/>
    <n v="3"/>
    <n v="2"/>
    <n v="0.24"/>
    <n v="0.2576"/>
    <n v="0.93"/>
    <n v="8.9599999999999999E-2"/>
    <n v="119"/>
    <n v="123"/>
    <s v="Wednesday"/>
    <s v="cold"/>
    <n v="4"/>
    <x v="1"/>
  </r>
  <r>
    <d v="2011-02-02T00:00:00"/>
    <n v="1"/>
    <n v="0"/>
    <n v="2"/>
    <n v="10"/>
    <b v="0"/>
    <n v="3"/>
    <n v="2"/>
    <n v="0.22"/>
    <n v="0.2727"/>
    <n v="1"/>
    <n v="0"/>
    <n v="59"/>
    <n v="61"/>
    <s v="Wednesday"/>
    <s v="colder"/>
    <n v="2"/>
    <x v="1"/>
  </r>
  <r>
    <d v="2011-02-02T00:00:00"/>
    <n v="1"/>
    <n v="0"/>
    <n v="2"/>
    <n v="11"/>
    <b v="0"/>
    <n v="3"/>
    <n v="2"/>
    <n v="0.24"/>
    <n v="0.2273"/>
    <n v="0.93"/>
    <n v="0.19400000000000001"/>
    <n v="47"/>
    <n v="52"/>
    <s v="Wednesday"/>
    <s v="cold"/>
    <n v="5"/>
    <x v="1"/>
  </r>
  <r>
    <d v="2011-02-02T00:00:00"/>
    <n v="1"/>
    <n v="0"/>
    <n v="2"/>
    <n v="12"/>
    <b v="0"/>
    <n v="3"/>
    <n v="2"/>
    <n v="0.24"/>
    <n v="0.2273"/>
    <n v="0.93"/>
    <n v="0.22389999999999999"/>
    <n v="61"/>
    <n v="64"/>
    <s v="Wednesday"/>
    <s v="cold"/>
    <n v="3"/>
    <x v="1"/>
  </r>
  <r>
    <d v="2011-02-02T00:00:00"/>
    <n v="1"/>
    <n v="0"/>
    <n v="2"/>
    <n v="13"/>
    <b v="0"/>
    <n v="3"/>
    <n v="1"/>
    <n v="0.34"/>
    <n v="0.33329999999999999"/>
    <n v="0.93"/>
    <n v="0.16420000000000001"/>
    <n v="74"/>
    <n v="75"/>
    <s v="Wednesday"/>
    <s v="cold"/>
    <n v="1"/>
    <x v="0"/>
  </r>
  <r>
    <d v="2011-02-02T00:00:00"/>
    <n v="1"/>
    <n v="0"/>
    <n v="2"/>
    <n v="14"/>
    <b v="0"/>
    <n v="3"/>
    <n v="1"/>
    <n v="0.38"/>
    <n v="0.39389999999999997"/>
    <n v="0.82"/>
    <n v="0.3881"/>
    <n v="61"/>
    <n v="63"/>
    <s v="Wednesday"/>
    <s v="cold"/>
    <n v="2"/>
    <x v="0"/>
  </r>
  <r>
    <d v="2011-02-02T00:00:00"/>
    <n v="1"/>
    <n v="0"/>
    <n v="2"/>
    <n v="15"/>
    <b v="0"/>
    <n v="3"/>
    <n v="1"/>
    <n v="0.38"/>
    <n v="0.39389999999999997"/>
    <n v="0.76"/>
    <n v="0.32840000000000003"/>
    <n v="66"/>
    <n v="76"/>
    <s v="Wednesday"/>
    <s v="cold"/>
    <n v="10"/>
    <x v="0"/>
  </r>
  <r>
    <d v="2011-02-02T00:00:00"/>
    <n v="1"/>
    <n v="0"/>
    <n v="2"/>
    <n v="16"/>
    <b v="0"/>
    <n v="3"/>
    <n v="1"/>
    <n v="0.36"/>
    <n v="0.33329999999999999"/>
    <n v="0.71"/>
    <n v="0.29849999999999999"/>
    <n v="95"/>
    <n v="103"/>
    <s v="Wednesday"/>
    <s v="cold"/>
    <n v="8"/>
    <x v="0"/>
  </r>
  <r>
    <d v="2011-02-02T00:00:00"/>
    <n v="1"/>
    <n v="0"/>
    <n v="2"/>
    <n v="17"/>
    <b v="0"/>
    <n v="3"/>
    <n v="1"/>
    <n v="0.36"/>
    <n v="0.31819999999999998"/>
    <n v="0.53"/>
    <n v="0.52239999999999998"/>
    <n v="183"/>
    <n v="190"/>
    <s v="Wednesday"/>
    <s v="cold"/>
    <n v="7"/>
    <x v="0"/>
  </r>
  <r>
    <d v="2011-02-02T00:00:00"/>
    <n v="1"/>
    <n v="0"/>
    <n v="2"/>
    <n v="18"/>
    <b v="0"/>
    <n v="3"/>
    <n v="1"/>
    <n v="0.34"/>
    <n v="0.28789999999999999"/>
    <n v="0.42"/>
    <n v="0.55220000000000002"/>
    <n v="175"/>
    <n v="182"/>
    <s v="Wednesday"/>
    <s v="cold"/>
    <n v="7"/>
    <x v="0"/>
  </r>
  <r>
    <d v="2011-02-02T00:00:00"/>
    <n v="1"/>
    <n v="0"/>
    <n v="2"/>
    <n v="19"/>
    <b v="0"/>
    <n v="3"/>
    <n v="1"/>
    <n v="0.28000000000000003"/>
    <n v="0.2424"/>
    <n v="0.45"/>
    <n v="0.49249999999999999"/>
    <n v="88"/>
    <n v="91"/>
    <s v="Wednesday"/>
    <s v="cold"/>
    <n v="3"/>
    <x v="0"/>
  </r>
  <r>
    <d v="2011-02-02T00:00:00"/>
    <n v="1"/>
    <n v="0"/>
    <n v="2"/>
    <n v="20"/>
    <b v="0"/>
    <n v="3"/>
    <n v="1"/>
    <n v="0.24"/>
    <n v="0.19700000000000001"/>
    <n v="0.48"/>
    <n v="0.55220000000000002"/>
    <n v="71"/>
    <n v="75"/>
    <s v="Wednesday"/>
    <s v="cold"/>
    <n v="4"/>
    <x v="0"/>
  </r>
  <r>
    <d v="2011-02-02T00:00:00"/>
    <n v="1"/>
    <n v="0"/>
    <n v="2"/>
    <n v="21"/>
    <b v="0"/>
    <n v="3"/>
    <n v="1"/>
    <n v="0.22"/>
    <n v="0.19700000000000001"/>
    <n v="0.47"/>
    <n v="0.32840000000000003"/>
    <n v="62"/>
    <n v="63"/>
    <s v="Wednesday"/>
    <s v="colder"/>
    <n v="1"/>
    <x v="0"/>
  </r>
  <r>
    <d v="2011-02-02T00:00:00"/>
    <n v="1"/>
    <n v="0"/>
    <n v="2"/>
    <n v="22"/>
    <b v="0"/>
    <n v="3"/>
    <n v="1"/>
    <n v="0.22"/>
    <n v="0.21210000000000001"/>
    <n v="0.44"/>
    <n v="0.25369999999999998"/>
    <n v="35"/>
    <n v="40"/>
    <s v="Wednesday"/>
    <s v="colder"/>
    <n v="5"/>
    <x v="0"/>
  </r>
  <r>
    <d v="2011-02-02T00:00:00"/>
    <n v="1"/>
    <n v="0"/>
    <n v="2"/>
    <n v="23"/>
    <b v="0"/>
    <n v="3"/>
    <n v="1"/>
    <n v="0.2"/>
    <n v="0.16669999999999999"/>
    <n v="0.44"/>
    <n v="0.44779999999999998"/>
    <n v="29"/>
    <n v="32"/>
    <s v="Wednesday"/>
    <s v="colder"/>
    <n v="3"/>
    <x v="0"/>
  </r>
  <r>
    <d v="2011-02-03T00:00:00"/>
    <n v="1"/>
    <n v="0"/>
    <n v="2"/>
    <n v="0"/>
    <b v="0"/>
    <n v="4"/>
    <n v="1"/>
    <n v="0.2"/>
    <n v="0.16669999999999999"/>
    <n v="0.4"/>
    <n v="0.44779999999999998"/>
    <n v="11"/>
    <n v="12"/>
    <s v="Thursday"/>
    <s v="colder"/>
    <n v="1"/>
    <x v="0"/>
  </r>
  <r>
    <d v="2011-02-03T00:00:00"/>
    <n v="1"/>
    <n v="0"/>
    <n v="2"/>
    <n v="1"/>
    <b v="0"/>
    <n v="4"/>
    <n v="1"/>
    <n v="0.2"/>
    <n v="0.1515"/>
    <n v="0.44"/>
    <n v="0.52239999999999998"/>
    <n v="5"/>
    <n v="5"/>
    <s v="Thursday"/>
    <s v="colder"/>
    <n v="0"/>
    <x v="0"/>
  </r>
  <r>
    <d v="2011-02-03T00:00:00"/>
    <n v="1"/>
    <n v="0"/>
    <n v="2"/>
    <n v="2"/>
    <b v="0"/>
    <n v="4"/>
    <n v="1"/>
    <n v="0.18"/>
    <n v="0.16669999999999999"/>
    <n v="0.43"/>
    <n v="0.25369999999999998"/>
    <n v="2"/>
    <n v="2"/>
    <s v="Thursday"/>
    <s v="colder"/>
    <n v="0"/>
    <x v="0"/>
  </r>
  <r>
    <d v="2011-02-03T00:00:00"/>
    <n v="1"/>
    <n v="0"/>
    <n v="2"/>
    <n v="3"/>
    <b v="0"/>
    <n v="4"/>
    <n v="1"/>
    <n v="0.18"/>
    <n v="0.16669999999999999"/>
    <n v="0.43"/>
    <n v="0.25369999999999998"/>
    <n v="1"/>
    <n v="1"/>
    <s v="Thursday"/>
    <s v="colder"/>
    <n v="0"/>
    <x v="0"/>
  </r>
  <r>
    <d v="2011-02-03T00:00:00"/>
    <n v="1"/>
    <n v="0"/>
    <n v="2"/>
    <n v="5"/>
    <b v="0"/>
    <n v="4"/>
    <n v="1"/>
    <n v="0.16"/>
    <n v="0.13639999999999999"/>
    <n v="0.5"/>
    <n v="0.29849999999999999"/>
    <n v="2"/>
    <n v="2"/>
    <s v="Thursday"/>
    <s v="colder"/>
    <n v="0"/>
    <x v="0"/>
  </r>
  <r>
    <d v="2011-02-03T00:00:00"/>
    <n v="1"/>
    <n v="0"/>
    <n v="2"/>
    <n v="6"/>
    <b v="0"/>
    <n v="4"/>
    <n v="1"/>
    <n v="0.16"/>
    <n v="0.13639999999999999"/>
    <n v="0.43"/>
    <n v="0.35820000000000002"/>
    <n v="39"/>
    <n v="39"/>
    <s v="Thursday"/>
    <s v="colder"/>
    <n v="0"/>
    <x v="0"/>
  </r>
  <r>
    <d v="2011-02-03T00:00:00"/>
    <n v="1"/>
    <n v="0"/>
    <n v="2"/>
    <n v="7"/>
    <b v="0"/>
    <n v="4"/>
    <n v="1"/>
    <n v="0.14000000000000001"/>
    <n v="0.1212"/>
    <n v="0.5"/>
    <n v="0.32840000000000003"/>
    <n v="86"/>
    <n v="87"/>
    <s v="Thursday"/>
    <s v="colder"/>
    <n v="1"/>
    <x v="0"/>
  </r>
  <r>
    <d v="2011-02-03T00:00:00"/>
    <n v="1"/>
    <n v="0"/>
    <n v="2"/>
    <n v="8"/>
    <b v="0"/>
    <n v="4"/>
    <n v="1"/>
    <n v="0.14000000000000001"/>
    <n v="0.1212"/>
    <n v="0.5"/>
    <n v="0.35820000000000002"/>
    <n v="184"/>
    <n v="188"/>
    <s v="Thursday"/>
    <s v="colder"/>
    <n v="4"/>
    <x v="0"/>
  </r>
  <r>
    <d v="2011-02-03T00:00:00"/>
    <n v="1"/>
    <n v="0"/>
    <n v="2"/>
    <n v="9"/>
    <b v="0"/>
    <n v="4"/>
    <n v="1"/>
    <n v="0.16"/>
    <n v="0.13639999999999999"/>
    <n v="0.47"/>
    <n v="0.29849999999999999"/>
    <n v="127"/>
    <n v="133"/>
    <s v="Thursday"/>
    <s v="colder"/>
    <n v="6"/>
    <x v="0"/>
  </r>
  <r>
    <d v="2011-02-03T00:00:00"/>
    <n v="1"/>
    <n v="0"/>
    <n v="2"/>
    <n v="10"/>
    <b v="0"/>
    <n v="4"/>
    <n v="1"/>
    <n v="0.18"/>
    <n v="0.1515"/>
    <n v="0.43"/>
    <n v="0.32840000000000003"/>
    <n v="50"/>
    <n v="52"/>
    <s v="Thursday"/>
    <s v="colder"/>
    <n v="2"/>
    <x v="0"/>
  </r>
  <r>
    <d v="2011-02-03T00:00:00"/>
    <n v="1"/>
    <n v="0"/>
    <n v="2"/>
    <n v="11"/>
    <b v="0"/>
    <n v="4"/>
    <n v="1"/>
    <n v="0.18"/>
    <n v="0.13639999999999999"/>
    <n v="0.43"/>
    <n v="0.44779999999999998"/>
    <n v="55"/>
    <n v="64"/>
    <s v="Thursday"/>
    <s v="colder"/>
    <n v="9"/>
    <x v="0"/>
  </r>
  <r>
    <d v="2011-02-03T00:00:00"/>
    <n v="1"/>
    <n v="0"/>
    <n v="2"/>
    <n v="12"/>
    <b v="0"/>
    <n v="4"/>
    <n v="1"/>
    <n v="0.2"/>
    <n v="0.18179999999999999"/>
    <n v="0.4"/>
    <n v="0.35820000000000002"/>
    <n v="67"/>
    <n v="69"/>
    <s v="Thursday"/>
    <s v="colder"/>
    <n v="2"/>
    <x v="0"/>
  </r>
  <r>
    <d v="2011-02-03T00:00:00"/>
    <n v="1"/>
    <n v="0"/>
    <n v="2"/>
    <n v="13"/>
    <b v="0"/>
    <n v="4"/>
    <n v="1"/>
    <n v="0.2"/>
    <n v="0.16669999999999999"/>
    <n v="0.4"/>
    <n v="0.41789999999999999"/>
    <n v="47"/>
    <n v="51"/>
    <s v="Thursday"/>
    <s v="colder"/>
    <n v="4"/>
    <x v="0"/>
  </r>
  <r>
    <d v="2011-02-03T00:00:00"/>
    <n v="1"/>
    <n v="0"/>
    <n v="2"/>
    <n v="14"/>
    <b v="0"/>
    <n v="4"/>
    <n v="1"/>
    <n v="0.22"/>
    <n v="0.19700000000000001"/>
    <n v="0.37"/>
    <n v="0.3881"/>
    <n v="43"/>
    <n v="47"/>
    <s v="Thursday"/>
    <s v="colder"/>
    <n v="4"/>
    <x v="0"/>
  </r>
  <r>
    <d v="2011-02-03T00:00:00"/>
    <n v="1"/>
    <n v="0"/>
    <n v="2"/>
    <n v="15"/>
    <b v="0"/>
    <n v="4"/>
    <n v="1"/>
    <n v="0.22"/>
    <n v="0.19700000000000001"/>
    <n v="0.37"/>
    <n v="0.32840000000000003"/>
    <n v="56"/>
    <n v="60"/>
    <s v="Thursday"/>
    <s v="colder"/>
    <n v="4"/>
    <x v="0"/>
  </r>
  <r>
    <d v="2011-02-03T00:00:00"/>
    <n v="1"/>
    <n v="0"/>
    <n v="2"/>
    <n v="16"/>
    <b v="0"/>
    <n v="4"/>
    <n v="1"/>
    <n v="0.22"/>
    <n v="0.21210000000000001"/>
    <n v="0.37"/>
    <n v="0.25369999999999998"/>
    <n v="73"/>
    <n v="78"/>
    <s v="Thursday"/>
    <s v="colder"/>
    <n v="5"/>
    <x v="0"/>
  </r>
  <r>
    <d v="2011-02-03T00:00:00"/>
    <n v="1"/>
    <n v="0"/>
    <n v="2"/>
    <n v="17"/>
    <b v="0"/>
    <n v="4"/>
    <n v="1"/>
    <n v="0.2"/>
    <n v="0.19700000000000001"/>
    <n v="0.4"/>
    <n v="0.19400000000000001"/>
    <n v="170"/>
    <n v="175"/>
    <s v="Thursday"/>
    <s v="colder"/>
    <n v="5"/>
    <x v="0"/>
  </r>
  <r>
    <d v="2011-02-03T00:00:00"/>
    <n v="1"/>
    <n v="0"/>
    <n v="2"/>
    <n v="18"/>
    <b v="0"/>
    <n v="4"/>
    <n v="1"/>
    <n v="0.2"/>
    <n v="0.21210000000000001"/>
    <n v="0.4"/>
    <n v="0.16420000000000001"/>
    <n v="145"/>
    <n v="147"/>
    <s v="Thursday"/>
    <s v="colder"/>
    <n v="2"/>
    <x v="0"/>
  </r>
  <r>
    <d v="2011-02-03T00:00:00"/>
    <n v="1"/>
    <n v="0"/>
    <n v="2"/>
    <n v="19"/>
    <b v="0"/>
    <n v="4"/>
    <n v="1"/>
    <n v="0.2"/>
    <n v="0.2576"/>
    <n v="0.4"/>
    <n v="0"/>
    <n v="92"/>
    <n v="96"/>
    <s v="Thursday"/>
    <s v="colder"/>
    <n v="4"/>
    <x v="0"/>
  </r>
  <r>
    <d v="2011-02-03T00:00:00"/>
    <n v="1"/>
    <n v="0"/>
    <n v="2"/>
    <n v="20"/>
    <b v="0"/>
    <n v="4"/>
    <n v="1"/>
    <n v="0.2"/>
    <n v="0.2273"/>
    <n v="0.47"/>
    <n v="8.9599999999999999E-2"/>
    <n v="108"/>
    <n v="109"/>
    <s v="Thursday"/>
    <s v="colder"/>
    <n v="1"/>
    <x v="0"/>
  </r>
  <r>
    <d v="2011-02-03T00:00:00"/>
    <n v="1"/>
    <n v="0"/>
    <n v="2"/>
    <n v="21"/>
    <b v="0"/>
    <n v="4"/>
    <n v="1"/>
    <n v="0.18"/>
    <n v="0.21210000000000001"/>
    <n v="0.55000000000000004"/>
    <n v="0.1045"/>
    <n v="53"/>
    <n v="54"/>
    <s v="Thursday"/>
    <s v="colder"/>
    <n v="1"/>
    <x v="0"/>
  </r>
  <r>
    <d v="2011-02-03T00:00:00"/>
    <n v="1"/>
    <n v="0"/>
    <n v="2"/>
    <n v="22"/>
    <b v="0"/>
    <n v="4"/>
    <n v="1"/>
    <n v="0.18"/>
    <n v="0.21210000000000001"/>
    <n v="0.51"/>
    <n v="8.9599999999999999E-2"/>
    <n v="39"/>
    <n v="41"/>
    <s v="Thursday"/>
    <s v="colder"/>
    <n v="2"/>
    <x v="0"/>
  </r>
  <r>
    <d v="2011-02-03T00:00:00"/>
    <n v="1"/>
    <n v="0"/>
    <n v="2"/>
    <n v="23"/>
    <b v="0"/>
    <n v="4"/>
    <n v="1"/>
    <n v="0.2"/>
    <n v="0.2273"/>
    <n v="0.47"/>
    <n v="0.1045"/>
    <n v="34"/>
    <n v="38"/>
    <s v="Thursday"/>
    <s v="colder"/>
    <n v="4"/>
    <x v="0"/>
  </r>
  <r>
    <d v="2011-02-04T00:00:00"/>
    <n v="1"/>
    <n v="0"/>
    <n v="2"/>
    <n v="0"/>
    <b v="0"/>
    <n v="5"/>
    <n v="2"/>
    <n v="0.2"/>
    <n v="0.2576"/>
    <n v="0.44"/>
    <n v="0"/>
    <n v="10"/>
    <n v="13"/>
    <s v="Friday"/>
    <s v="colder"/>
    <n v="3"/>
    <x v="1"/>
  </r>
  <r>
    <d v="2011-02-04T00:00:00"/>
    <n v="1"/>
    <n v="0"/>
    <n v="2"/>
    <n v="1"/>
    <b v="0"/>
    <n v="5"/>
    <n v="2"/>
    <n v="0.16"/>
    <n v="0.2273"/>
    <n v="0.59"/>
    <n v="0"/>
    <n v="7"/>
    <n v="7"/>
    <s v="Friday"/>
    <s v="colder"/>
    <n v="0"/>
    <x v="1"/>
  </r>
  <r>
    <d v="2011-02-04T00:00:00"/>
    <n v="1"/>
    <n v="0"/>
    <n v="2"/>
    <n v="2"/>
    <b v="0"/>
    <n v="5"/>
    <n v="2"/>
    <n v="0.14000000000000001"/>
    <n v="0.16669999999999999"/>
    <n v="0.63"/>
    <n v="0.1045"/>
    <n v="1"/>
    <n v="1"/>
    <s v="Friday"/>
    <s v="colder"/>
    <n v="0"/>
    <x v="1"/>
  </r>
  <r>
    <d v="2011-02-04T00:00:00"/>
    <n v="1"/>
    <n v="0"/>
    <n v="2"/>
    <n v="3"/>
    <b v="0"/>
    <n v="5"/>
    <n v="2"/>
    <n v="0.14000000000000001"/>
    <n v="0.16669999999999999"/>
    <n v="0.63"/>
    <n v="0.1045"/>
    <n v="1"/>
    <n v="1"/>
    <s v="Friday"/>
    <s v="colder"/>
    <n v="0"/>
    <x v="1"/>
  </r>
  <r>
    <d v="2011-02-04T00:00:00"/>
    <n v="1"/>
    <n v="0"/>
    <n v="2"/>
    <n v="5"/>
    <b v="0"/>
    <n v="5"/>
    <n v="2"/>
    <n v="0.14000000000000001"/>
    <n v="0.1515"/>
    <n v="0.63"/>
    <n v="0.1343"/>
    <n v="7"/>
    <n v="7"/>
    <s v="Friday"/>
    <s v="colder"/>
    <n v="0"/>
    <x v="1"/>
  </r>
  <r>
    <d v="2011-02-04T00:00:00"/>
    <n v="1"/>
    <n v="0"/>
    <n v="2"/>
    <n v="6"/>
    <b v="0"/>
    <n v="5"/>
    <n v="2"/>
    <n v="0.16"/>
    <n v="0.2273"/>
    <n v="0.55000000000000004"/>
    <n v="0"/>
    <n v="26"/>
    <n v="28"/>
    <s v="Friday"/>
    <s v="colder"/>
    <n v="2"/>
    <x v="1"/>
  </r>
  <r>
    <d v="2011-02-04T00:00:00"/>
    <n v="1"/>
    <n v="0"/>
    <n v="2"/>
    <n v="7"/>
    <b v="0"/>
    <n v="5"/>
    <n v="1"/>
    <n v="0.14000000000000001"/>
    <n v="0.21210000000000001"/>
    <n v="0.59"/>
    <n v="0"/>
    <n v="87"/>
    <n v="87"/>
    <s v="Friday"/>
    <s v="colder"/>
    <n v="0"/>
    <x v="0"/>
  </r>
  <r>
    <d v="2011-02-04T00:00:00"/>
    <n v="1"/>
    <n v="0"/>
    <n v="2"/>
    <n v="8"/>
    <b v="0"/>
    <n v="5"/>
    <n v="1"/>
    <n v="0.14000000000000001"/>
    <n v="0.1515"/>
    <n v="0.74"/>
    <n v="0.1343"/>
    <n v="217"/>
    <n v="220"/>
    <s v="Friday"/>
    <s v="colder"/>
    <n v="3"/>
    <x v="0"/>
  </r>
  <r>
    <d v="2011-02-04T00:00:00"/>
    <n v="1"/>
    <n v="0"/>
    <n v="2"/>
    <n v="9"/>
    <b v="0"/>
    <n v="5"/>
    <n v="2"/>
    <n v="0.16"/>
    <n v="0.18179999999999999"/>
    <n v="0.8"/>
    <n v="0.1343"/>
    <n v="124"/>
    <n v="127"/>
    <s v="Friday"/>
    <s v="colder"/>
    <n v="3"/>
    <x v="1"/>
  </r>
  <r>
    <d v="2011-02-04T00:00:00"/>
    <n v="1"/>
    <n v="0"/>
    <n v="2"/>
    <n v="10"/>
    <b v="0"/>
    <n v="5"/>
    <n v="2"/>
    <n v="0.2"/>
    <n v="0.21210000000000001"/>
    <n v="0.51"/>
    <n v="0.1343"/>
    <n v="46"/>
    <n v="51"/>
    <s v="Friday"/>
    <s v="colder"/>
    <n v="5"/>
    <x v="1"/>
  </r>
  <r>
    <d v="2011-02-04T00:00:00"/>
    <n v="1"/>
    <n v="0"/>
    <n v="2"/>
    <n v="11"/>
    <b v="0"/>
    <n v="5"/>
    <n v="1"/>
    <n v="0.22"/>
    <n v="0.2273"/>
    <n v="0.51"/>
    <n v="0.16420000000000001"/>
    <n v="61"/>
    <n v="64"/>
    <s v="Friday"/>
    <s v="colder"/>
    <n v="3"/>
    <x v="0"/>
  </r>
  <r>
    <d v="2011-02-04T00:00:00"/>
    <n v="1"/>
    <n v="0"/>
    <n v="2"/>
    <n v="12"/>
    <b v="0"/>
    <n v="5"/>
    <n v="2"/>
    <n v="0.24"/>
    <n v="0.2424"/>
    <n v="0.48"/>
    <n v="0.16420000000000001"/>
    <n v="78"/>
    <n v="86"/>
    <s v="Friday"/>
    <s v="cold"/>
    <n v="8"/>
    <x v="1"/>
  </r>
  <r>
    <d v="2011-02-04T00:00:00"/>
    <n v="1"/>
    <n v="0"/>
    <n v="2"/>
    <n v="13"/>
    <b v="0"/>
    <n v="5"/>
    <n v="2"/>
    <n v="0.26"/>
    <n v="0.2576"/>
    <n v="0.5"/>
    <n v="0.22389999999999999"/>
    <n v="73"/>
    <n v="82"/>
    <s v="Friday"/>
    <s v="cold"/>
    <n v="9"/>
    <x v="1"/>
  </r>
  <r>
    <d v="2011-02-04T00:00:00"/>
    <n v="1"/>
    <n v="0"/>
    <n v="2"/>
    <n v="14"/>
    <b v="0"/>
    <n v="5"/>
    <n v="2"/>
    <n v="0.28000000000000003"/>
    <n v="0.2727"/>
    <n v="0.45"/>
    <n v="0.16420000000000001"/>
    <n v="76"/>
    <n v="91"/>
    <s v="Friday"/>
    <s v="cold"/>
    <n v="15"/>
    <x v="1"/>
  </r>
  <r>
    <d v="2011-02-04T00:00:00"/>
    <n v="1"/>
    <n v="0"/>
    <n v="2"/>
    <n v="15"/>
    <b v="0"/>
    <n v="5"/>
    <n v="2"/>
    <n v="0.28000000000000003"/>
    <n v="0.2727"/>
    <n v="0.48"/>
    <n v="0.25369999999999998"/>
    <n v="81"/>
    <n v="90"/>
    <s v="Friday"/>
    <s v="cold"/>
    <n v="9"/>
    <x v="1"/>
  </r>
  <r>
    <d v="2011-02-04T00:00:00"/>
    <n v="1"/>
    <n v="0"/>
    <n v="2"/>
    <n v="16"/>
    <b v="0"/>
    <n v="5"/>
    <n v="2"/>
    <n v="0.3"/>
    <n v="0.28789999999999999"/>
    <n v="0.42"/>
    <n v="0.22389999999999999"/>
    <n v="91"/>
    <n v="99"/>
    <s v="Friday"/>
    <s v="cold"/>
    <n v="8"/>
    <x v="1"/>
  </r>
  <r>
    <d v="2011-02-04T00:00:00"/>
    <n v="1"/>
    <n v="0"/>
    <n v="2"/>
    <n v="17"/>
    <b v="0"/>
    <n v="5"/>
    <n v="2"/>
    <n v="0.26"/>
    <n v="0.2727"/>
    <n v="0.56000000000000005"/>
    <n v="0.1343"/>
    <n v="195"/>
    <n v="205"/>
    <s v="Friday"/>
    <s v="cold"/>
    <n v="10"/>
    <x v="1"/>
  </r>
  <r>
    <d v="2011-02-04T00:00:00"/>
    <n v="1"/>
    <n v="0"/>
    <n v="2"/>
    <n v="18"/>
    <b v="0"/>
    <n v="5"/>
    <n v="2"/>
    <n v="0.24"/>
    <n v="0.2576"/>
    <n v="0.6"/>
    <n v="0.1045"/>
    <n v="152"/>
    <n v="155"/>
    <s v="Friday"/>
    <s v="cold"/>
    <n v="3"/>
    <x v="1"/>
  </r>
  <r>
    <d v="2011-02-04T00:00:00"/>
    <n v="1"/>
    <n v="0"/>
    <n v="2"/>
    <n v="19"/>
    <b v="0"/>
    <n v="5"/>
    <n v="2"/>
    <n v="0.24"/>
    <n v="0.2424"/>
    <n v="0.65"/>
    <n v="0.1343"/>
    <n v="102"/>
    <n v="103"/>
    <s v="Friday"/>
    <s v="cold"/>
    <n v="1"/>
    <x v="1"/>
  </r>
  <r>
    <d v="2011-02-04T00:00:00"/>
    <n v="1"/>
    <n v="0"/>
    <n v="2"/>
    <n v="20"/>
    <b v="0"/>
    <n v="5"/>
    <n v="2"/>
    <n v="0.24"/>
    <n v="0.2424"/>
    <n v="0.65"/>
    <n v="0.16420000000000001"/>
    <n v="69"/>
    <n v="71"/>
    <s v="Friday"/>
    <s v="cold"/>
    <n v="2"/>
    <x v="1"/>
  </r>
  <r>
    <d v="2011-02-04T00:00:00"/>
    <n v="1"/>
    <n v="0"/>
    <n v="2"/>
    <n v="21"/>
    <b v="0"/>
    <n v="5"/>
    <n v="2"/>
    <n v="0.24"/>
    <n v="0.2424"/>
    <n v="0.7"/>
    <n v="0.16420000000000001"/>
    <n v="41"/>
    <n v="43"/>
    <s v="Friday"/>
    <s v="cold"/>
    <n v="2"/>
    <x v="1"/>
  </r>
  <r>
    <d v="2011-02-04T00:00:00"/>
    <n v="1"/>
    <n v="0"/>
    <n v="2"/>
    <n v="22"/>
    <b v="0"/>
    <n v="5"/>
    <n v="2"/>
    <n v="0.24"/>
    <n v="0.2424"/>
    <n v="0.65"/>
    <n v="0.16420000000000001"/>
    <n v="45"/>
    <n v="46"/>
    <s v="Friday"/>
    <s v="cold"/>
    <n v="1"/>
    <x v="1"/>
  </r>
  <r>
    <d v="2011-02-04T00:00:00"/>
    <n v="1"/>
    <n v="0"/>
    <n v="2"/>
    <n v="23"/>
    <b v="0"/>
    <n v="5"/>
    <n v="2"/>
    <n v="0.24"/>
    <n v="0.2424"/>
    <n v="0.7"/>
    <n v="0.1343"/>
    <n v="30"/>
    <n v="31"/>
    <s v="Friday"/>
    <s v="cold"/>
    <n v="1"/>
    <x v="1"/>
  </r>
  <r>
    <d v="2011-02-05T00:00:00"/>
    <n v="1"/>
    <n v="0"/>
    <n v="2"/>
    <n v="0"/>
    <b v="0"/>
    <n v="6"/>
    <n v="2"/>
    <n v="0.24"/>
    <n v="0.2424"/>
    <n v="0.7"/>
    <n v="0.16420000000000001"/>
    <n v="36"/>
    <n v="39"/>
    <s v="Saturday"/>
    <s v="cold"/>
    <n v="3"/>
    <x v="1"/>
  </r>
  <r>
    <d v="2011-02-05T00:00:00"/>
    <n v="1"/>
    <n v="0"/>
    <n v="2"/>
    <n v="1"/>
    <b v="0"/>
    <n v="6"/>
    <n v="2"/>
    <n v="0.24"/>
    <n v="0.2424"/>
    <n v="0.65"/>
    <n v="0.16420000000000001"/>
    <n v="17"/>
    <n v="18"/>
    <s v="Saturday"/>
    <s v="cold"/>
    <n v="1"/>
    <x v="1"/>
  </r>
  <r>
    <d v="2011-02-05T00:00:00"/>
    <n v="1"/>
    <n v="0"/>
    <n v="2"/>
    <n v="2"/>
    <b v="0"/>
    <n v="6"/>
    <n v="2"/>
    <n v="0.24"/>
    <n v="0.2424"/>
    <n v="0.75"/>
    <n v="0.16420000000000001"/>
    <n v="12"/>
    <n v="17"/>
    <s v="Saturday"/>
    <s v="cold"/>
    <n v="5"/>
    <x v="1"/>
  </r>
  <r>
    <d v="2011-02-05T00:00:00"/>
    <n v="1"/>
    <n v="0"/>
    <n v="2"/>
    <n v="3"/>
    <b v="0"/>
    <n v="6"/>
    <n v="2"/>
    <n v="0.24"/>
    <n v="0.2424"/>
    <n v="0.75"/>
    <n v="0.16420000000000001"/>
    <n v="10"/>
    <n v="11"/>
    <s v="Saturday"/>
    <s v="cold"/>
    <n v="1"/>
    <x v="1"/>
  </r>
  <r>
    <d v="2011-02-05T00:00:00"/>
    <n v="1"/>
    <n v="0"/>
    <n v="2"/>
    <n v="4"/>
    <b v="0"/>
    <n v="6"/>
    <n v="3"/>
    <n v="0.22"/>
    <n v="0.2273"/>
    <n v="0.93"/>
    <n v="0.1343"/>
    <n v="8"/>
    <n v="8"/>
    <s v="Saturday"/>
    <s v="colder"/>
    <n v="0"/>
    <x v="2"/>
  </r>
  <r>
    <d v="2011-02-05T00:00:00"/>
    <n v="1"/>
    <n v="0"/>
    <n v="2"/>
    <n v="5"/>
    <b v="0"/>
    <n v="6"/>
    <n v="3"/>
    <n v="0.2"/>
    <n v="0.2273"/>
    <n v="1"/>
    <n v="8.9599999999999999E-2"/>
    <n v="9"/>
    <n v="9"/>
    <s v="Saturday"/>
    <s v="colder"/>
    <n v="0"/>
    <x v="2"/>
  </r>
  <r>
    <d v="2011-02-05T00:00:00"/>
    <n v="1"/>
    <n v="0"/>
    <n v="2"/>
    <n v="6"/>
    <b v="0"/>
    <n v="6"/>
    <n v="3"/>
    <n v="0.2"/>
    <n v="0.2576"/>
    <n v="1"/>
    <n v="0"/>
    <n v="4"/>
    <n v="4"/>
    <s v="Saturday"/>
    <s v="colder"/>
    <n v="0"/>
    <x v="2"/>
  </r>
  <r>
    <d v="2011-02-05T00:00:00"/>
    <n v="1"/>
    <n v="0"/>
    <n v="2"/>
    <n v="7"/>
    <b v="0"/>
    <n v="6"/>
    <n v="3"/>
    <n v="0.22"/>
    <n v="0.2576"/>
    <n v="0.93"/>
    <n v="8.9599999999999999E-2"/>
    <n v="4"/>
    <n v="4"/>
    <s v="Saturday"/>
    <s v="colder"/>
    <n v="0"/>
    <x v="2"/>
  </r>
  <r>
    <d v="2011-02-05T00:00:00"/>
    <n v="1"/>
    <n v="0"/>
    <n v="2"/>
    <n v="8"/>
    <b v="0"/>
    <n v="6"/>
    <n v="3"/>
    <n v="0.2"/>
    <n v="0.2273"/>
    <n v="1"/>
    <n v="8.9599999999999999E-2"/>
    <n v="10"/>
    <n v="10"/>
    <s v="Saturday"/>
    <s v="colder"/>
    <n v="0"/>
    <x v="2"/>
  </r>
  <r>
    <d v="2011-02-05T00:00:00"/>
    <n v="1"/>
    <n v="0"/>
    <n v="2"/>
    <n v="9"/>
    <b v="0"/>
    <n v="6"/>
    <n v="3"/>
    <n v="0.2"/>
    <n v="0.2273"/>
    <n v="1"/>
    <n v="8.9599999999999999E-2"/>
    <n v="17"/>
    <n v="20"/>
    <s v="Saturday"/>
    <s v="colder"/>
    <n v="3"/>
    <x v="2"/>
  </r>
  <r>
    <d v="2011-02-05T00:00:00"/>
    <n v="1"/>
    <n v="0"/>
    <n v="2"/>
    <n v="10"/>
    <b v="0"/>
    <n v="6"/>
    <n v="3"/>
    <n v="0.2"/>
    <n v="0.21210000000000001"/>
    <n v="1"/>
    <n v="0.1343"/>
    <n v="31"/>
    <n v="34"/>
    <s v="Saturday"/>
    <s v="colder"/>
    <n v="3"/>
    <x v="2"/>
  </r>
  <r>
    <d v="2011-02-05T00:00:00"/>
    <n v="1"/>
    <n v="0"/>
    <n v="2"/>
    <n v="11"/>
    <b v="0"/>
    <n v="6"/>
    <n v="3"/>
    <n v="0.22"/>
    <n v="0.2273"/>
    <n v="1"/>
    <n v="0.1343"/>
    <n v="46"/>
    <n v="47"/>
    <s v="Saturday"/>
    <s v="colder"/>
    <n v="1"/>
    <x v="2"/>
  </r>
  <r>
    <d v="2011-02-05T00:00:00"/>
    <n v="1"/>
    <n v="0"/>
    <n v="2"/>
    <n v="12"/>
    <b v="0"/>
    <n v="6"/>
    <n v="3"/>
    <n v="0.22"/>
    <n v="0.2273"/>
    <n v="1"/>
    <n v="0.16420000000000001"/>
    <n v="42"/>
    <n v="52"/>
    <s v="Saturday"/>
    <s v="colder"/>
    <n v="10"/>
    <x v="2"/>
  </r>
  <r>
    <d v="2011-02-05T00:00:00"/>
    <n v="1"/>
    <n v="0"/>
    <n v="2"/>
    <n v="13"/>
    <b v="0"/>
    <n v="6"/>
    <n v="3"/>
    <n v="0.22"/>
    <n v="0.2273"/>
    <n v="1"/>
    <n v="0.16420000000000001"/>
    <n v="62"/>
    <n v="72"/>
    <s v="Saturday"/>
    <s v="colder"/>
    <n v="10"/>
    <x v="2"/>
  </r>
  <r>
    <d v="2011-02-05T00:00:00"/>
    <n v="1"/>
    <n v="0"/>
    <n v="2"/>
    <n v="14"/>
    <b v="0"/>
    <n v="6"/>
    <n v="3"/>
    <n v="0.22"/>
    <n v="0.2727"/>
    <n v="1"/>
    <n v="0"/>
    <n v="50"/>
    <n v="55"/>
    <s v="Saturday"/>
    <s v="colder"/>
    <n v="5"/>
    <x v="2"/>
  </r>
  <r>
    <d v="2011-02-05T00:00:00"/>
    <n v="1"/>
    <n v="0"/>
    <n v="2"/>
    <n v="15"/>
    <b v="0"/>
    <n v="6"/>
    <n v="3"/>
    <n v="0.22"/>
    <n v="0.2727"/>
    <n v="1"/>
    <n v="0"/>
    <n v="49"/>
    <n v="60"/>
    <s v="Saturday"/>
    <s v="colder"/>
    <n v="11"/>
    <x v="2"/>
  </r>
  <r>
    <d v="2011-02-05T00:00:00"/>
    <n v="1"/>
    <n v="0"/>
    <n v="2"/>
    <n v="16"/>
    <b v="0"/>
    <n v="6"/>
    <n v="3"/>
    <n v="0.22"/>
    <n v="0.2273"/>
    <n v="1"/>
    <n v="0.1343"/>
    <n v="63"/>
    <n v="71"/>
    <s v="Saturday"/>
    <s v="colder"/>
    <n v="8"/>
    <x v="2"/>
  </r>
  <r>
    <d v="2011-02-05T00:00:00"/>
    <n v="1"/>
    <n v="0"/>
    <n v="2"/>
    <n v="17"/>
    <b v="0"/>
    <n v="6"/>
    <n v="2"/>
    <n v="0.24"/>
    <n v="0.21210000000000001"/>
    <n v="1"/>
    <n v="0.28360000000000002"/>
    <n v="64"/>
    <n v="78"/>
    <s v="Saturday"/>
    <s v="cold"/>
    <n v="14"/>
    <x v="1"/>
  </r>
  <r>
    <d v="2011-02-05T00:00:00"/>
    <n v="1"/>
    <n v="0"/>
    <n v="2"/>
    <n v="18"/>
    <b v="0"/>
    <n v="6"/>
    <n v="2"/>
    <n v="0.28000000000000003"/>
    <n v="0.2424"/>
    <n v="0.93"/>
    <n v="0.44779999999999998"/>
    <n v="81"/>
    <n v="83"/>
    <s v="Saturday"/>
    <s v="cold"/>
    <n v="2"/>
    <x v="1"/>
  </r>
  <r>
    <d v="2011-02-05T00:00:00"/>
    <n v="1"/>
    <n v="0"/>
    <n v="2"/>
    <n v="19"/>
    <b v="0"/>
    <n v="6"/>
    <n v="2"/>
    <n v="0.28000000000000003"/>
    <n v="0.2424"/>
    <n v="0.93"/>
    <n v="0.44779999999999998"/>
    <n v="78"/>
    <n v="84"/>
    <s v="Saturday"/>
    <s v="cold"/>
    <n v="6"/>
    <x v="1"/>
  </r>
  <r>
    <d v="2011-02-05T00:00:00"/>
    <n v="1"/>
    <n v="0"/>
    <n v="2"/>
    <n v="20"/>
    <b v="0"/>
    <n v="6"/>
    <n v="1"/>
    <n v="0.3"/>
    <n v="0.28789999999999999"/>
    <n v="0.87"/>
    <n v="0.25369999999999998"/>
    <n v="64"/>
    <n v="69"/>
    <s v="Saturday"/>
    <s v="cold"/>
    <n v="5"/>
    <x v="0"/>
  </r>
  <r>
    <d v="2011-02-05T00:00:00"/>
    <n v="1"/>
    <n v="0"/>
    <n v="2"/>
    <n v="21"/>
    <b v="0"/>
    <n v="6"/>
    <n v="1"/>
    <n v="0.26"/>
    <n v="0.2576"/>
    <n v="1"/>
    <n v="0.19400000000000001"/>
    <n v="53"/>
    <n v="56"/>
    <s v="Saturday"/>
    <s v="cold"/>
    <n v="3"/>
    <x v="0"/>
  </r>
  <r>
    <d v="2011-02-05T00:00:00"/>
    <n v="1"/>
    <n v="0"/>
    <n v="2"/>
    <n v="22"/>
    <b v="0"/>
    <n v="6"/>
    <n v="1"/>
    <n v="0.26"/>
    <n v="0.2727"/>
    <n v="0.93"/>
    <n v="0.1343"/>
    <n v="43"/>
    <n v="45"/>
    <s v="Saturday"/>
    <s v="cold"/>
    <n v="2"/>
    <x v="0"/>
  </r>
  <r>
    <d v="2011-02-05T00:00:00"/>
    <n v="1"/>
    <n v="0"/>
    <n v="2"/>
    <n v="23"/>
    <b v="0"/>
    <n v="6"/>
    <n v="1"/>
    <n v="0.26"/>
    <n v="0.2576"/>
    <n v="0.93"/>
    <n v="0.22389999999999999"/>
    <n v="52"/>
    <n v="59"/>
    <s v="Saturday"/>
    <s v="cold"/>
    <n v="7"/>
    <x v="0"/>
  </r>
  <r>
    <d v="2011-02-06T00:00:00"/>
    <n v="1"/>
    <n v="0"/>
    <n v="2"/>
    <n v="0"/>
    <b v="0"/>
    <n v="0"/>
    <n v="1"/>
    <n v="0.26"/>
    <n v="0.2576"/>
    <n v="0.7"/>
    <n v="0.19400000000000001"/>
    <n v="37"/>
    <n v="39"/>
    <s v="Sunday"/>
    <s v="cold"/>
    <n v="2"/>
    <x v="0"/>
  </r>
  <r>
    <d v="2011-02-06T00:00:00"/>
    <n v="1"/>
    <n v="0"/>
    <n v="2"/>
    <n v="1"/>
    <b v="0"/>
    <n v="0"/>
    <n v="1"/>
    <n v="0.26"/>
    <n v="0.2273"/>
    <n v="0.65"/>
    <n v="0.41789999999999999"/>
    <n v="40"/>
    <n v="44"/>
    <s v="Sunday"/>
    <s v="cold"/>
    <n v="4"/>
    <x v="0"/>
  </r>
  <r>
    <d v="2011-02-06T00:00:00"/>
    <n v="1"/>
    <n v="0"/>
    <n v="2"/>
    <n v="2"/>
    <b v="0"/>
    <n v="0"/>
    <n v="1"/>
    <n v="0.26"/>
    <n v="0.2273"/>
    <n v="0.6"/>
    <n v="0.32840000000000003"/>
    <n v="20"/>
    <n v="20"/>
    <s v="Sunday"/>
    <s v="cold"/>
    <n v="0"/>
    <x v="0"/>
  </r>
  <r>
    <d v="2011-02-06T00:00:00"/>
    <n v="1"/>
    <n v="0"/>
    <n v="2"/>
    <n v="3"/>
    <b v="0"/>
    <n v="0"/>
    <n v="1"/>
    <n v="0.26"/>
    <n v="0.28789999999999999"/>
    <n v="0.6"/>
    <n v="8.9599999999999999E-2"/>
    <n v="10"/>
    <n v="13"/>
    <s v="Sunday"/>
    <s v="cold"/>
    <n v="3"/>
    <x v="0"/>
  </r>
  <r>
    <d v="2011-02-06T00:00:00"/>
    <n v="1"/>
    <n v="0"/>
    <n v="2"/>
    <n v="4"/>
    <b v="0"/>
    <n v="0"/>
    <n v="1"/>
    <n v="0.26"/>
    <n v="0.2273"/>
    <n v="0.6"/>
    <n v="0.35820000000000002"/>
    <n v="2"/>
    <n v="2"/>
    <s v="Sunday"/>
    <s v="cold"/>
    <n v="0"/>
    <x v="0"/>
  </r>
  <r>
    <d v="2011-02-06T00:00:00"/>
    <n v="1"/>
    <n v="0"/>
    <n v="2"/>
    <n v="5"/>
    <b v="0"/>
    <n v="0"/>
    <n v="1"/>
    <n v="0.26"/>
    <n v="0.2576"/>
    <n v="0.6"/>
    <n v="0.22389999999999999"/>
    <n v="1"/>
    <n v="1"/>
    <s v="Sunday"/>
    <s v="cold"/>
    <n v="0"/>
    <x v="0"/>
  </r>
  <r>
    <d v="2011-02-06T00:00:00"/>
    <n v="1"/>
    <n v="0"/>
    <n v="2"/>
    <n v="6"/>
    <b v="0"/>
    <n v="0"/>
    <n v="1"/>
    <n v="0.26"/>
    <n v="0.2576"/>
    <n v="0.6"/>
    <n v="0.22389999999999999"/>
    <n v="1"/>
    <n v="1"/>
    <s v="Sunday"/>
    <s v="cold"/>
    <n v="0"/>
    <x v="0"/>
  </r>
  <r>
    <d v="2011-02-06T00:00:00"/>
    <n v="1"/>
    <n v="0"/>
    <n v="2"/>
    <n v="7"/>
    <b v="0"/>
    <n v="0"/>
    <n v="1"/>
    <n v="0.24"/>
    <n v="0.2424"/>
    <n v="0.65"/>
    <n v="0.16420000000000001"/>
    <n v="8"/>
    <n v="8"/>
    <s v="Sunday"/>
    <s v="cold"/>
    <n v="0"/>
    <x v="0"/>
  </r>
  <r>
    <d v="2011-02-06T00:00:00"/>
    <n v="1"/>
    <n v="0"/>
    <n v="2"/>
    <n v="8"/>
    <b v="0"/>
    <n v="0"/>
    <n v="1"/>
    <n v="0.24"/>
    <n v="0.2576"/>
    <n v="0.65"/>
    <n v="0.1045"/>
    <n v="21"/>
    <n v="23"/>
    <s v="Sunday"/>
    <s v="cold"/>
    <n v="2"/>
    <x v="0"/>
  </r>
  <r>
    <d v="2011-02-06T00:00:00"/>
    <n v="1"/>
    <n v="0"/>
    <n v="2"/>
    <n v="9"/>
    <b v="0"/>
    <n v="0"/>
    <n v="1"/>
    <n v="0.28000000000000003"/>
    <n v="0.28789999999999999"/>
    <n v="0.56000000000000005"/>
    <n v="0.1045"/>
    <n v="38"/>
    <n v="45"/>
    <s v="Sunday"/>
    <s v="cold"/>
    <n v="7"/>
    <x v="0"/>
  </r>
  <r>
    <d v="2011-02-06T00:00:00"/>
    <n v="1"/>
    <n v="0"/>
    <n v="2"/>
    <n v="10"/>
    <b v="0"/>
    <n v="0"/>
    <n v="1"/>
    <n v="0.3"/>
    <n v="0.28789999999999999"/>
    <n v="0.52"/>
    <n v="0.25369999999999998"/>
    <n v="74"/>
    <n v="89"/>
    <s v="Sunday"/>
    <s v="cold"/>
    <n v="15"/>
    <x v="0"/>
  </r>
  <r>
    <d v="2011-02-06T00:00:00"/>
    <n v="1"/>
    <n v="0"/>
    <n v="2"/>
    <n v="11"/>
    <b v="0"/>
    <n v="0"/>
    <n v="1"/>
    <n v="0.32"/>
    <n v="0.30299999999999999"/>
    <n v="0.49"/>
    <n v="0.25369999999999998"/>
    <n v="89"/>
    <n v="117"/>
    <s v="Sunday"/>
    <s v="cold"/>
    <n v="28"/>
    <x v="0"/>
  </r>
  <r>
    <d v="2011-02-06T00:00:00"/>
    <n v="1"/>
    <n v="0"/>
    <n v="2"/>
    <n v="12"/>
    <b v="0"/>
    <n v="0"/>
    <n v="1"/>
    <n v="0.34"/>
    <n v="0.33329999999999999"/>
    <n v="0.46"/>
    <n v="0"/>
    <n v="126"/>
    <n v="174"/>
    <s v="Sunday"/>
    <s v="cold"/>
    <n v="48"/>
    <x v="0"/>
  </r>
  <r>
    <d v="2011-02-06T00:00:00"/>
    <n v="1"/>
    <n v="0"/>
    <n v="2"/>
    <n v="13"/>
    <b v="0"/>
    <n v="0"/>
    <n v="1"/>
    <n v="0.34"/>
    <n v="0.36359999999999998"/>
    <n v="0.46"/>
    <n v="0"/>
    <n v="135"/>
    <n v="182"/>
    <s v="Sunday"/>
    <s v="cold"/>
    <n v="47"/>
    <x v="0"/>
  </r>
  <r>
    <d v="2011-02-06T00:00:00"/>
    <n v="1"/>
    <n v="0"/>
    <n v="2"/>
    <n v="14"/>
    <b v="0"/>
    <n v="0"/>
    <n v="1"/>
    <n v="0.34"/>
    <n v="0.34849999999999998"/>
    <n v="0.46"/>
    <n v="8.9599999999999999E-2"/>
    <n v="114"/>
    <n v="161"/>
    <s v="Sunday"/>
    <s v="cold"/>
    <n v="47"/>
    <x v="0"/>
  </r>
  <r>
    <d v="2011-02-06T00:00:00"/>
    <n v="1"/>
    <n v="0"/>
    <n v="2"/>
    <n v="15"/>
    <b v="0"/>
    <n v="0"/>
    <n v="1"/>
    <n v="0.34"/>
    <n v="0.34849999999999998"/>
    <n v="0.46"/>
    <n v="8.9599999999999999E-2"/>
    <n v="130"/>
    <n v="182"/>
    <s v="Sunday"/>
    <s v="cold"/>
    <n v="52"/>
    <x v="0"/>
  </r>
  <r>
    <d v="2011-02-06T00:00:00"/>
    <n v="1"/>
    <n v="0"/>
    <n v="2"/>
    <n v="16"/>
    <b v="0"/>
    <n v="0"/>
    <n v="1"/>
    <n v="0.34"/>
    <n v="0.34849999999999998"/>
    <n v="0.49"/>
    <n v="0.1045"/>
    <n v="115"/>
    <n v="157"/>
    <s v="Sunday"/>
    <s v="cold"/>
    <n v="42"/>
    <x v="0"/>
  </r>
  <r>
    <d v="2011-02-06T00:00:00"/>
    <n v="1"/>
    <n v="0"/>
    <n v="2"/>
    <n v="17"/>
    <b v="0"/>
    <n v="0"/>
    <n v="1"/>
    <n v="0.34"/>
    <n v="0.36359999999999998"/>
    <n v="0.46"/>
    <n v="0"/>
    <n v="97"/>
    <n v="121"/>
    <s v="Sunday"/>
    <s v="cold"/>
    <n v="24"/>
    <x v="0"/>
  </r>
  <r>
    <d v="2011-02-06T00:00:00"/>
    <n v="1"/>
    <n v="0"/>
    <n v="2"/>
    <n v="18"/>
    <b v="0"/>
    <n v="0"/>
    <n v="1"/>
    <n v="0.3"/>
    <n v="0.30299999999999999"/>
    <n v="0.56000000000000005"/>
    <n v="0.16420000000000001"/>
    <n v="65"/>
    <n v="78"/>
    <s v="Sunday"/>
    <s v="cold"/>
    <n v="13"/>
    <x v="0"/>
  </r>
  <r>
    <d v="2011-02-06T00:00:00"/>
    <n v="1"/>
    <n v="0"/>
    <n v="2"/>
    <n v="19"/>
    <b v="0"/>
    <n v="0"/>
    <n v="1"/>
    <n v="0.28000000000000003"/>
    <n v="0.28789999999999999"/>
    <n v="0.61"/>
    <n v="0.1343"/>
    <n v="20"/>
    <n v="21"/>
    <s v="Sunday"/>
    <s v="cold"/>
    <n v="1"/>
    <x v="0"/>
  </r>
  <r>
    <d v="2011-02-06T00:00:00"/>
    <n v="1"/>
    <n v="0"/>
    <n v="2"/>
    <n v="20"/>
    <b v="0"/>
    <n v="0"/>
    <n v="1"/>
    <n v="0.28000000000000003"/>
    <n v="0.28789999999999999"/>
    <n v="0.61"/>
    <n v="0.1045"/>
    <n v="21"/>
    <n v="26"/>
    <s v="Sunday"/>
    <s v="cold"/>
    <n v="5"/>
    <x v="0"/>
  </r>
  <r>
    <d v="2011-02-06T00:00:00"/>
    <n v="1"/>
    <n v="0"/>
    <n v="2"/>
    <n v="21"/>
    <b v="0"/>
    <n v="0"/>
    <n v="1"/>
    <n v="0.26"/>
    <n v="0.30299999999999999"/>
    <n v="0.6"/>
    <n v="0"/>
    <n v="22"/>
    <n v="27"/>
    <s v="Sunday"/>
    <s v="cold"/>
    <n v="5"/>
    <x v="0"/>
  </r>
  <r>
    <d v="2011-02-06T00:00:00"/>
    <n v="1"/>
    <n v="0"/>
    <n v="2"/>
    <n v="22"/>
    <b v="0"/>
    <n v="0"/>
    <n v="1"/>
    <n v="0.26"/>
    <n v="0.30299999999999999"/>
    <n v="0.6"/>
    <n v="0"/>
    <n v="57"/>
    <n v="62"/>
    <s v="Sunday"/>
    <s v="cold"/>
    <n v="5"/>
    <x v="0"/>
  </r>
  <r>
    <d v="2011-02-06T00:00:00"/>
    <n v="1"/>
    <n v="0"/>
    <n v="2"/>
    <n v="23"/>
    <b v="0"/>
    <n v="0"/>
    <n v="1"/>
    <n v="0.24"/>
    <n v="0.28789999999999999"/>
    <n v="0.65"/>
    <n v="0"/>
    <n v="26"/>
    <n v="30"/>
    <s v="Sunday"/>
    <s v="cold"/>
    <n v="4"/>
    <x v="0"/>
  </r>
  <r>
    <d v="2011-02-07T00:00:00"/>
    <n v="1"/>
    <n v="0"/>
    <n v="2"/>
    <n v="0"/>
    <b v="0"/>
    <n v="1"/>
    <n v="1"/>
    <n v="0.24"/>
    <n v="0.28789999999999999"/>
    <n v="0.65"/>
    <n v="0"/>
    <n v="14"/>
    <n v="15"/>
    <s v="Monday"/>
    <s v="cold"/>
    <n v="1"/>
    <x v="0"/>
  </r>
  <r>
    <d v="2011-02-07T00:00:00"/>
    <n v="1"/>
    <n v="0"/>
    <n v="2"/>
    <n v="1"/>
    <b v="0"/>
    <n v="1"/>
    <n v="1"/>
    <n v="0.22"/>
    <n v="0.2727"/>
    <n v="0.75"/>
    <n v="0"/>
    <n v="4"/>
    <n v="5"/>
    <s v="Monday"/>
    <s v="colder"/>
    <n v="1"/>
    <x v="0"/>
  </r>
  <r>
    <d v="2011-02-07T00:00:00"/>
    <n v="1"/>
    <n v="0"/>
    <n v="2"/>
    <n v="2"/>
    <b v="0"/>
    <n v="1"/>
    <n v="1"/>
    <n v="0.2"/>
    <n v="0.2576"/>
    <n v="0.8"/>
    <n v="0"/>
    <n v="3"/>
    <n v="3"/>
    <s v="Monday"/>
    <s v="colder"/>
    <n v="0"/>
    <x v="0"/>
  </r>
  <r>
    <d v="2011-02-07T00:00:00"/>
    <n v="1"/>
    <n v="0"/>
    <n v="2"/>
    <n v="3"/>
    <b v="0"/>
    <n v="1"/>
    <n v="1"/>
    <n v="0.2"/>
    <n v="0.2576"/>
    <n v="0.86"/>
    <n v="0"/>
    <n v="1"/>
    <n v="1"/>
    <s v="Monday"/>
    <s v="colder"/>
    <n v="0"/>
    <x v="0"/>
  </r>
  <r>
    <d v="2011-02-07T00:00:00"/>
    <n v="1"/>
    <n v="0"/>
    <n v="2"/>
    <n v="4"/>
    <b v="0"/>
    <n v="1"/>
    <n v="1"/>
    <n v="0.2"/>
    <n v="0.2576"/>
    <n v="0.86"/>
    <n v="0"/>
    <n v="1"/>
    <n v="2"/>
    <s v="Monday"/>
    <s v="colder"/>
    <n v="1"/>
    <x v="0"/>
  </r>
  <r>
    <d v="2011-02-07T00:00:00"/>
    <n v="1"/>
    <n v="0"/>
    <n v="2"/>
    <n v="5"/>
    <b v="0"/>
    <n v="1"/>
    <n v="1"/>
    <n v="0.2"/>
    <n v="0.2576"/>
    <n v="0.86"/>
    <n v="0"/>
    <n v="9"/>
    <n v="10"/>
    <s v="Monday"/>
    <s v="colder"/>
    <n v="1"/>
    <x v="0"/>
  </r>
  <r>
    <d v="2011-02-07T00:00:00"/>
    <n v="1"/>
    <n v="0"/>
    <n v="2"/>
    <n v="6"/>
    <b v="0"/>
    <n v="1"/>
    <n v="1"/>
    <n v="0.18"/>
    <n v="0.2424"/>
    <n v="0.93"/>
    <n v="0"/>
    <n v="29"/>
    <n v="30"/>
    <s v="Monday"/>
    <s v="colder"/>
    <n v="1"/>
    <x v="0"/>
  </r>
  <r>
    <d v="2011-02-07T00:00:00"/>
    <n v="1"/>
    <n v="0"/>
    <n v="2"/>
    <n v="7"/>
    <b v="0"/>
    <n v="1"/>
    <n v="1"/>
    <n v="0.18"/>
    <n v="0.2424"/>
    <n v="0.86"/>
    <n v="0"/>
    <n v="89"/>
    <n v="95"/>
    <s v="Monday"/>
    <s v="colder"/>
    <n v="6"/>
    <x v="0"/>
  </r>
  <r>
    <d v="2011-02-07T00:00:00"/>
    <n v="1"/>
    <n v="0"/>
    <n v="2"/>
    <n v="8"/>
    <b v="0"/>
    <n v="1"/>
    <n v="2"/>
    <n v="0.16"/>
    <n v="0.2273"/>
    <n v="1"/>
    <n v="0"/>
    <n v="223"/>
    <n v="230"/>
    <s v="Monday"/>
    <s v="colder"/>
    <n v="7"/>
    <x v="1"/>
  </r>
  <r>
    <d v="2011-02-07T00:00:00"/>
    <n v="1"/>
    <n v="0"/>
    <n v="2"/>
    <n v="9"/>
    <b v="0"/>
    <n v="1"/>
    <n v="1"/>
    <n v="0.22"/>
    <n v="0.2727"/>
    <n v="0.8"/>
    <n v="0"/>
    <n v="115"/>
    <n v="118"/>
    <s v="Monday"/>
    <s v="colder"/>
    <n v="3"/>
    <x v="0"/>
  </r>
  <r>
    <d v="2011-02-07T00:00:00"/>
    <n v="1"/>
    <n v="0"/>
    <n v="2"/>
    <n v="10"/>
    <b v="0"/>
    <n v="1"/>
    <n v="1"/>
    <n v="0.24"/>
    <n v="0.2576"/>
    <n v="0.75"/>
    <n v="0.1045"/>
    <n v="49"/>
    <n v="55"/>
    <s v="Monday"/>
    <s v="cold"/>
    <n v="6"/>
    <x v="0"/>
  </r>
  <r>
    <d v="2011-02-07T00:00:00"/>
    <n v="1"/>
    <n v="0"/>
    <n v="2"/>
    <n v="11"/>
    <b v="0"/>
    <n v="1"/>
    <n v="1"/>
    <n v="0.3"/>
    <n v="0.31819999999999998"/>
    <n v="0.65"/>
    <n v="8.9599999999999999E-2"/>
    <n v="36"/>
    <n v="47"/>
    <s v="Monday"/>
    <s v="cold"/>
    <n v="11"/>
    <x v="0"/>
  </r>
  <r>
    <d v="2011-02-07T00:00:00"/>
    <n v="1"/>
    <n v="0"/>
    <n v="2"/>
    <n v="12"/>
    <b v="0"/>
    <n v="1"/>
    <n v="2"/>
    <n v="0.32"/>
    <n v="0.34849999999999998"/>
    <n v="0.62"/>
    <n v="0"/>
    <n v="59"/>
    <n v="66"/>
    <s v="Monday"/>
    <s v="cold"/>
    <n v="7"/>
    <x v="1"/>
  </r>
  <r>
    <d v="2011-02-07T00:00:00"/>
    <n v="1"/>
    <n v="0"/>
    <n v="2"/>
    <n v="13"/>
    <b v="0"/>
    <n v="1"/>
    <n v="2"/>
    <n v="0.36"/>
    <n v="0.36359999999999998"/>
    <n v="0.56999999999999995"/>
    <n v="8.9599999999999999E-2"/>
    <n v="54"/>
    <n v="64"/>
    <s v="Monday"/>
    <s v="cold"/>
    <n v="10"/>
    <x v="1"/>
  </r>
  <r>
    <d v="2011-02-07T00:00:00"/>
    <n v="1"/>
    <n v="0"/>
    <n v="2"/>
    <n v="14"/>
    <b v="0"/>
    <n v="1"/>
    <n v="2"/>
    <n v="0.36"/>
    <n v="0.36359999999999998"/>
    <n v="0.56999999999999995"/>
    <n v="8.9599999999999999E-2"/>
    <n v="52"/>
    <n v="60"/>
    <s v="Monday"/>
    <s v="cold"/>
    <n v="8"/>
    <x v="1"/>
  </r>
  <r>
    <d v="2011-02-07T00:00:00"/>
    <n v="1"/>
    <n v="0"/>
    <n v="2"/>
    <n v="15"/>
    <b v="0"/>
    <n v="1"/>
    <n v="2"/>
    <n v="0.38"/>
    <n v="0.39389999999999997"/>
    <n v="0.54"/>
    <n v="8.9599999999999999E-2"/>
    <n v="46"/>
    <n v="50"/>
    <s v="Monday"/>
    <s v="cold"/>
    <n v="4"/>
    <x v="1"/>
  </r>
  <r>
    <d v="2011-02-07T00:00:00"/>
    <n v="1"/>
    <n v="0"/>
    <n v="2"/>
    <n v="16"/>
    <b v="0"/>
    <n v="1"/>
    <n v="2"/>
    <n v="0.36"/>
    <n v="0.34849999999999998"/>
    <n v="0.56999999999999995"/>
    <n v="0.1343"/>
    <n v="98"/>
    <n v="114"/>
    <s v="Monday"/>
    <s v="cold"/>
    <n v="16"/>
    <x v="1"/>
  </r>
  <r>
    <d v="2011-02-07T00:00:00"/>
    <n v="1"/>
    <n v="0"/>
    <n v="2"/>
    <n v="17"/>
    <b v="0"/>
    <n v="1"/>
    <n v="2"/>
    <n v="0.32"/>
    <n v="0.31819999999999998"/>
    <n v="0.7"/>
    <n v="0.16420000000000001"/>
    <n v="207"/>
    <n v="216"/>
    <s v="Monday"/>
    <s v="cold"/>
    <n v="9"/>
    <x v="1"/>
  </r>
  <r>
    <d v="2011-02-07T00:00:00"/>
    <n v="1"/>
    <n v="0"/>
    <n v="2"/>
    <n v="18"/>
    <b v="0"/>
    <n v="1"/>
    <n v="2"/>
    <n v="0.34"/>
    <n v="0.33329999999999999"/>
    <n v="0.66"/>
    <n v="0.1343"/>
    <n v="170"/>
    <n v="175"/>
    <s v="Monday"/>
    <s v="cold"/>
    <n v="5"/>
    <x v="1"/>
  </r>
  <r>
    <d v="2011-02-07T00:00:00"/>
    <n v="1"/>
    <n v="0"/>
    <n v="2"/>
    <n v="19"/>
    <b v="0"/>
    <n v="1"/>
    <n v="2"/>
    <n v="0.32"/>
    <n v="0.34849999999999998"/>
    <n v="0.7"/>
    <n v="0"/>
    <n v="123"/>
    <n v="128"/>
    <s v="Monday"/>
    <s v="cold"/>
    <n v="5"/>
    <x v="1"/>
  </r>
  <r>
    <d v="2011-02-07T00:00:00"/>
    <n v="1"/>
    <n v="0"/>
    <n v="2"/>
    <n v="20"/>
    <b v="0"/>
    <n v="1"/>
    <n v="2"/>
    <n v="0.32"/>
    <n v="0.33329999999999999"/>
    <n v="0.7"/>
    <n v="0.1045"/>
    <n v="82"/>
    <n v="88"/>
    <s v="Monday"/>
    <s v="cold"/>
    <n v="6"/>
    <x v="1"/>
  </r>
  <r>
    <d v="2011-02-07T00:00:00"/>
    <n v="1"/>
    <n v="0"/>
    <n v="2"/>
    <n v="21"/>
    <b v="0"/>
    <n v="1"/>
    <n v="1"/>
    <n v="0.32"/>
    <n v="0.34849999999999998"/>
    <n v="0.7"/>
    <n v="0"/>
    <n v="75"/>
    <n v="78"/>
    <s v="Monday"/>
    <s v="cold"/>
    <n v="3"/>
    <x v="0"/>
  </r>
  <r>
    <d v="2011-02-07T00:00:00"/>
    <n v="1"/>
    <n v="0"/>
    <n v="2"/>
    <n v="22"/>
    <b v="0"/>
    <n v="1"/>
    <n v="1"/>
    <n v="0.28000000000000003"/>
    <n v="0.30299999999999999"/>
    <n v="0.81"/>
    <n v="8.9599999999999999E-2"/>
    <n v="34"/>
    <n v="37"/>
    <s v="Monday"/>
    <s v="cold"/>
    <n v="3"/>
    <x v="0"/>
  </r>
  <r>
    <d v="2011-02-07T00:00:00"/>
    <n v="1"/>
    <n v="0"/>
    <n v="2"/>
    <n v="23"/>
    <b v="0"/>
    <n v="1"/>
    <n v="2"/>
    <n v="0.3"/>
    <n v="0.33329999999999999"/>
    <n v="0.81"/>
    <n v="0"/>
    <n v="19"/>
    <n v="25"/>
    <s v="Monday"/>
    <s v="cold"/>
    <n v="6"/>
    <x v="1"/>
  </r>
  <r>
    <d v="2011-02-08T00:00:00"/>
    <n v="1"/>
    <n v="0"/>
    <n v="2"/>
    <n v="0"/>
    <b v="0"/>
    <n v="2"/>
    <n v="2"/>
    <n v="0.28000000000000003"/>
    <n v="0.31819999999999998"/>
    <n v="0.87"/>
    <n v="0"/>
    <n v="6"/>
    <n v="10"/>
    <s v="Tuesday"/>
    <s v="cold"/>
    <n v="4"/>
    <x v="1"/>
  </r>
  <r>
    <d v="2011-02-08T00:00:00"/>
    <n v="1"/>
    <n v="0"/>
    <n v="2"/>
    <n v="1"/>
    <b v="0"/>
    <n v="2"/>
    <n v="2"/>
    <n v="0.28000000000000003"/>
    <n v="0.31819999999999998"/>
    <n v="0.87"/>
    <n v="0"/>
    <n v="4"/>
    <n v="4"/>
    <s v="Tuesday"/>
    <s v="cold"/>
    <n v="0"/>
    <x v="1"/>
  </r>
  <r>
    <d v="2011-02-08T00:00:00"/>
    <n v="1"/>
    <n v="0"/>
    <n v="2"/>
    <n v="2"/>
    <b v="0"/>
    <n v="2"/>
    <n v="2"/>
    <n v="0.26"/>
    <n v="0.2727"/>
    <n v="0.93"/>
    <n v="0.1045"/>
    <n v="1"/>
    <n v="2"/>
    <s v="Tuesday"/>
    <s v="cold"/>
    <n v="1"/>
    <x v="1"/>
  </r>
  <r>
    <d v="2011-02-08T00:00:00"/>
    <n v="1"/>
    <n v="0"/>
    <n v="2"/>
    <n v="3"/>
    <b v="0"/>
    <n v="2"/>
    <n v="3"/>
    <n v="0.28000000000000003"/>
    <n v="0.2727"/>
    <n v="0.93"/>
    <n v="0.16420000000000001"/>
    <n v="1"/>
    <n v="1"/>
    <s v="Tuesday"/>
    <s v="cold"/>
    <n v="0"/>
    <x v="2"/>
  </r>
  <r>
    <d v="2011-02-08T00:00:00"/>
    <n v="1"/>
    <n v="0"/>
    <n v="2"/>
    <n v="4"/>
    <b v="0"/>
    <n v="2"/>
    <n v="1"/>
    <n v="0.26"/>
    <n v="0.2576"/>
    <n v="0.93"/>
    <n v="0.16420000000000001"/>
    <n v="3"/>
    <n v="3"/>
    <s v="Tuesday"/>
    <s v="cold"/>
    <n v="0"/>
    <x v="0"/>
  </r>
  <r>
    <d v="2011-02-08T00:00:00"/>
    <n v="1"/>
    <n v="0"/>
    <n v="2"/>
    <n v="5"/>
    <b v="0"/>
    <n v="2"/>
    <n v="1"/>
    <n v="0.26"/>
    <n v="0.2273"/>
    <n v="0.81"/>
    <n v="0.32840000000000003"/>
    <n v="2"/>
    <n v="2"/>
    <s v="Tuesday"/>
    <s v="cold"/>
    <n v="0"/>
    <x v="0"/>
  </r>
  <r>
    <d v="2011-02-08T00:00:00"/>
    <n v="1"/>
    <n v="0"/>
    <n v="2"/>
    <n v="6"/>
    <b v="0"/>
    <n v="2"/>
    <n v="1"/>
    <n v="0.26"/>
    <n v="0.2273"/>
    <n v="0.7"/>
    <n v="0.32840000000000003"/>
    <n v="39"/>
    <n v="39"/>
    <s v="Tuesday"/>
    <s v="cold"/>
    <n v="0"/>
    <x v="0"/>
  </r>
  <r>
    <d v="2011-02-08T00:00:00"/>
    <n v="1"/>
    <n v="0"/>
    <n v="2"/>
    <n v="7"/>
    <b v="0"/>
    <n v="2"/>
    <n v="1"/>
    <n v="0.24"/>
    <n v="0.19700000000000001"/>
    <n v="0.65"/>
    <n v="0.41789999999999999"/>
    <n v="97"/>
    <n v="100"/>
    <s v="Tuesday"/>
    <s v="cold"/>
    <n v="3"/>
    <x v="0"/>
  </r>
  <r>
    <d v="2011-02-08T00:00:00"/>
    <n v="1"/>
    <n v="0"/>
    <n v="2"/>
    <n v="8"/>
    <b v="0"/>
    <n v="2"/>
    <n v="1"/>
    <n v="0.24"/>
    <n v="0.19700000000000001"/>
    <n v="0.56000000000000005"/>
    <n v="0.49249999999999999"/>
    <n v="236"/>
    <n v="243"/>
    <s v="Tuesday"/>
    <s v="cold"/>
    <n v="7"/>
    <x v="0"/>
  </r>
  <r>
    <d v="2011-02-08T00:00:00"/>
    <n v="1"/>
    <n v="0"/>
    <n v="2"/>
    <n v="9"/>
    <b v="0"/>
    <n v="2"/>
    <n v="1"/>
    <n v="0.24"/>
    <n v="0.19700000000000001"/>
    <n v="0.52"/>
    <n v="0.49249999999999999"/>
    <n v="128"/>
    <n v="135"/>
    <s v="Tuesday"/>
    <s v="cold"/>
    <n v="7"/>
    <x v="0"/>
  </r>
  <r>
    <d v="2011-02-08T00:00:00"/>
    <n v="1"/>
    <n v="0"/>
    <n v="2"/>
    <n v="10"/>
    <b v="0"/>
    <n v="2"/>
    <n v="1"/>
    <n v="0.22"/>
    <n v="0.18179999999999999"/>
    <n v="0.47"/>
    <n v="0.55220000000000002"/>
    <n v="44"/>
    <n v="48"/>
    <s v="Tuesday"/>
    <s v="colder"/>
    <n v="4"/>
    <x v="0"/>
  </r>
  <r>
    <d v="2011-02-08T00:00:00"/>
    <n v="1"/>
    <n v="0"/>
    <n v="2"/>
    <n v="11"/>
    <b v="0"/>
    <n v="2"/>
    <n v="1"/>
    <n v="0.22"/>
    <n v="0.18179999999999999"/>
    <n v="0.47"/>
    <n v="0.4627"/>
    <n v="49"/>
    <n v="50"/>
    <s v="Tuesday"/>
    <s v="colder"/>
    <n v="1"/>
    <x v="0"/>
  </r>
  <r>
    <d v="2011-02-08T00:00:00"/>
    <n v="1"/>
    <n v="0"/>
    <n v="2"/>
    <n v="12"/>
    <b v="0"/>
    <n v="2"/>
    <n v="1"/>
    <n v="0.24"/>
    <n v="0.19700000000000001"/>
    <n v="0.38"/>
    <n v="0.49249999999999999"/>
    <n v="63"/>
    <n v="65"/>
    <s v="Tuesday"/>
    <s v="cold"/>
    <n v="2"/>
    <x v="0"/>
  </r>
  <r>
    <d v="2011-02-08T00:00:00"/>
    <n v="1"/>
    <n v="0"/>
    <n v="2"/>
    <n v="13"/>
    <b v="0"/>
    <n v="2"/>
    <n v="2"/>
    <n v="0.24"/>
    <n v="0.19700000000000001"/>
    <n v="0.32"/>
    <n v="0.44779999999999998"/>
    <n v="48"/>
    <n v="50"/>
    <s v="Tuesday"/>
    <s v="cold"/>
    <n v="2"/>
    <x v="1"/>
  </r>
  <r>
    <d v="2011-02-08T00:00:00"/>
    <n v="1"/>
    <n v="0"/>
    <n v="2"/>
    <n v="14"/>
    <b v="0"/>
    <n v="2"/>
    <n v="1"/>
    <n v="0.22"/>
    <n v="0.19700000000000001"/>
    <n v="0.37"/>
    <n v="0.41789999999999999"/>
    <n v="61"/>
    <n v="64"/>
    <s v="Tuesday"/>
    <s v="colder"/>
    <n v="3"/>
    <x v="0"/>
  </r>
  <r>
    <d v="2011-02-08T00:00:00"/>
    <n v="1"/>
    <n v="0"/>
    <n v="2"/>
    <n v="15"/>
    <b v="0"/>
    <n v="2"/>
    <n v="1"/>
    <n v="0.22"/>
    <n v="0.19700000000000001"/>
    <n v="0.35"/>
    <n v="0.3881"/>
    <n v="45"/>
    <n v="51"/>
    <s v="Tuesday"/>
    <s v="colder"/>
    <n v="6"/>
    <x v="0"/>
  </r>
  <r>
    <d v="2011-02-08T00:00:00"/>
    <n v="1"/>
    <n v="0"/>
    <n v="2"/>
    <n v="16"/>
    <b v="0"/>
    <n v="2"/>
    <n v="1"/>
    <n v="0.22"/>
    <n v="0.18179999999999999"/>
    <n v="0.35"/>
    <n v="0.52239999999999998"/>
    <n v="79"/>
    <n v="83"/>
    <s v="Tuesday"/>
    <s v="colder"/>
    <n v="4"/>
    <x v="0"/>
  </r>
  <r>
    <d v="2011-02-08T00:00:00"/>
    <n v="1"/>
    <n v="0"/>
    <n v="2"/>
    <n v="17"/>
    <b v="0"/>
    <n v="2"/>
    <n v="1"/>
    <n v="0.22"/>
    <n v="0.18179999999999999"/>
    <n v="0.32"/>
    <n v="0.58209999999999995"/>
    <n v="172"/>
    <n v="176"/>
    <s v="Tuesday"/>
    <s v="colder"/>
    <n v="4"/>
    <x v="0"/>
  </r>
  <r>
    <d v="2011-02-08T00:00:00"/>
    <n v="1"/>
    <n v="0"/>
    <n v="2"/>
    <n v="18"/>
    <b v="0"/>
    <n v="2"/>
    <n v="1"/>
    <n v="0.2"/>
    <n v="0.18179999999999999"/>
    <n v="0.32"/>
    <n v="0.3881"/>
    <n v="151"/>
    <n v="152"/>
    <s v="Tuesday"/>
    <s v="colder"/>
    <n v="1"/>
    <x v="0"/>
  </r>
  <r>
    <d v="2011-02-08T00:00:00"/>
    <n v="1"/>
    <n v="0"/>
    <n v="2"/>
    <n v="19"/>
    <b v="0"/>
    <n v="2"/>
    <n v="1"/>
    <n v="0.16"/>
    <n v="0.1212"/>
    <n v="0.4"/>
    <n v="0.4627"/>
    <n v="100"/>
    <n v="101"/>
    <s v="Tuesday"/>
    <s v="colder"/>
    <n v="1"/>
    <x v="0"/>
  </r>
  <r>
    <d v="2011-02-08T00:00:00"/>
    <n v="1"/>
    <n v="0"/>
    <n v="2"/>
    <n v="20"/>
    <b v="0"/>
    <n v="2"/>
    <n v="1"/>
    <n v="0.16"/>
    <n v="0.13639999999999999"/>
    <n v="0.4"/>
    <n v="0.32840000000000003"/>
    <n v="53"/>
    <n v="56"/>
    <s v="Tuesday"/>
    <s v="colder"/>
    <n v="3"/>
    <x v="0"/>
  </r>
  <r>
    <d v="2011-02-08T00:00:00"/>
    <n v="1"/>
    <n v="0"/>
    <n v="2"/>
    <n v="21"/>
    <b v="0"/>
    <n v="2"/>
    <n v="1"/>
    <n v="0.14000000000000001"/>
    <n v="0.1061"/>
    <n v="0.33"/>
    <n v="0.4627"/>
    <n v="46"/>
    <n v="54"/>
    <s v="Tuesday"/>
    <s v="colder"/>
    <n v="8"/>
    <x v="0"/>
  </r>
  <r>
    <d v="2011-02-08T00:00:00"/>
    <n v="1"/>
    <n v="0"/>
    <n v="2"/>
    <n v="22"/>
    <b v="0"/>
    <n v="2"/>
    <n v="1"/>
    <n v="0.12"/>
    <n v="0.1061"/>
    <n v="0.33"/>
    <n v="0.35820000000000002"/>
    <n v="29"/>
    <n v="29"/>
    <s v="Tuesday"/>
    <s v="colder"/>
    <n v="0"/>
    <x v="0"/>
  </r>
  <r>
    <d v="2011-02-08T00:00:00"/>
    <n v="1"/>
    <n v="0"/>
    <n v="2"/>
    <n v="23"/>
    <b v="0"/>
    <n v="2"/>
    <n v="1"/>
    <n v="0.12"/>
    <n v="0.1061"/>
    <n v="0.33"/>
    <n v="0.32840000000000003"/>
    <n v="9"/>
    <n v="12"/>
    <s v="Tuesday"/>
    <s v="colder"/>
    <n v="3"/>
    <x v="0"/>
  </r>
  <r>
    <d v="2011-02-09T00:00:00"/>
    <n v="1"/>
    <n v="0"/>
    <n v="2"/>
    <n v="0"/>
    <b v="0"/>
    <n v="3"/>
    <n v="1"/>
    <n v="0.1"/>
    <n v="7.5800000000000006E-2"/>
    <n v="0.36"/>
    <n v="0.35820000000000002"/>
    <n v="17"/>
    <n v="17"/>
    <s v="Wednesday"/>
    <s v="colder"/>
    <n v="0"/>
    <x v="0"/>
  </r>
  <r>
    <d v="2011-02-09T00:00:00"/>
    <n v="1"/>
    <n v="0"/>
    <n v="2"/>
    <n v="1"/>
    <b v="0"/>
    <n v="3"/>
    <n v="1"/>
    <n v="0.1"/>
    <n v="0.1061"/>
    <n v="0.36"/>
    <n v="0.22389999999999999"/>
    <n v="7"/>
    <n v="7"/>
    <s v="Wednesday"/>
    <s v="colder"/>
    <n v="0"/>
    <x v="0"/>
  </r>
  <r>
    <d v="2011-02-09T00:00:00"/>
    <n v="1"/>
    <n v="0"/>
    <n v="2"/>
    <n v="2"/>
    <b v="0"/>
    <n v="3"/>
    <n v="1"/>
    <n v="0.08"/>
    <n v="7.5800000000000006E-2"/>
    <n v="0.38"/>
    <n v="0.28360000000000002"/>
    <n v="2"/>
    <n v="3"/>
    <s v="Wednesday"/>
    <s v="colder"/>
    <n v="1"/>
    <x v="0"/>
  </r>
  <r>
    <d v="2011-02-09T00:00:00"/>
    <n v="1"/>
    <n v="0"/>
    <n v="2"/>
    <n v="3"/>
    <b v="0"/>
    <n v="3"/>
    <n v="1"/>
    <n v="0.06"/>
    <n v="7.5800000000000006E-2"/>
    <n v="0.45"/>
    <n v="0.1343"/>
    <n v="2"/>
    <n v="2"/>
    <s v="Wednesday"/>
    <s v="colder"/>
    <n v="0"/>
    <x v="0"/>
  </r>
  <r>
    <d v="2011-02-09T00:00:00"/>
    <n v="1"/>
    <n v="0"/>
    <n v="2"/>
    <n v="5"/>
    <b v="0"/>
    <n v="3"/>
    <n v="1"/>
    <n v="0.06"/>
    <n v="0.1061"/>
    <n v="0.45"/>
    <n v="0.1045"/>
    <n v="7"/>
    <n v="7"/>
    <s v="Wednesday"/>
    <s v="colder"/>
    <n v="0"/>
    <x v="0"/>
  </r>
  <r>
    <d v="2011-02-09T00:00:00"/>
    <n v="1"/>
    <n v="0"/>
    <n v="2"/>
    <n v="6"/>
    <b v="0"/>
    <n v="3"/>
    <n v="1"/>
    <n v="0.06"/>
    <n v="0.1515"/>
    <n v="0.45"/>
    <n v="0"/>
    <n v="43"/>
    <n v="43"/>
    <s v="Wednesday"/>
    <s v="colder"/>
    <n v="0"/>
    <x v="0"/>
  </r>
  <r>
    <d v="2011-02-09T00:00:00"/>
    <n v="1"/>
    <n v="0"/>
    <n v="2"/>
    <n v="7"/>
    <b v="0"/>
    <n v="3"/>
    <n v="1"/>
    <n v="0.06"/>
    <n v="0.1061"/>
    <n v="0.49"/>
    <n v="0.1045"/>
    <n v="95"/>
    <n v="99"/>
    <s v="Wednesday"/>
    <s v="colder"/>
    <n v="4"/>
    <x v="0"/>
  </r>
  <r>
    <d v="2011-02-09T00:00:00"/>
    <n v="1"/>
    <n v="0"/>
    <n v="2"/>
    <n v="8"/>
    <b v="0"/>
    <n v="3"/>
    <n v="1"/>
    <n v="0.1"/>
    <n v="0.13639999999999999"/>
    <n v="0.42"/>
    <n v="0"/>
    <n v="198"/>
    <n v="199"/>
    <s v="Wednesday"/>
    <s v="colder"/>
    <n v="1"/>
    <x v="0"/>
  </r>
  <r>
    <d v="2011-02-09T00:00:00"/>
    <n v="1"/>
    <n v="0"/>
    <n v="2"/>
    <n v="9"/>
    <b v="0"/>
    <n v="3"/>
    <n v="1"/>
    <n v="0.12"/>
    <n v="0.13639999999999999"/>
    <n v="0.39"/>
    <n v="0.16420000000000001"/>
    <n v="119"/>
    <n v="123"/>
    <s v="Wednesday"/>
    <s v="colder"/>
    <n v="4"/>
    <x v="0"/>
  </r>
  <r>
    <d v="2011-02-09T00:00:00"/>
    <n v="1"/>
    <n v="0"/>
    <n v="2"/>
    <n v="10"/>
    <b v="0"/>
    <n v="3"/>
    <n v="1"/>
    <n v="0.14000000000000001"/>
    <n v="0.18179999999999999"/>
    <n v="0.36"/>
    <n v="0"/>
    <n v="51"/>
    <n v="59"/>
    <s v="Wednesday"/>
    <s v="colder"/>
    <n v="8"/>
    <x v="0"/>
  </r>
  <r>
    <d v="2011-02-09T00:00:00"/>
    <n v="1"/>
    <n v="0"/>
    <n v="2"/>
    <n v="11"/>
    <b v="0"/>
    <n v="3"/>
    <n v="2"/>
    <n v="0.14000000000000001"/>
    <n v="0.1515"/>
    <n v="0.43"/>
    <n v="0.16420000000000001"/>
    <n v="40"/>
    <n v="41"/>
    <s v="Wednesday"/>
    <s v="colder"/>
    <n v="1"/>
    <x v="1"/>
  </r>
  <r>
    <d v="2011-02-09T00:00:00"/>
    <n v="1"/>
    <n v="0"/>
    <n v="2"/>
    <n v="12"/>
    <b v="0"/>
    <n v="3"/>
    <n v="2"/>
    <n v="0.18"/>
    <n v="0.18179999999999999"/>
    <n v="0.4"/>
    <n v="0.22389999999999999"/>
    <n v="57"/>
    <n v="61"/>
    <s v="Wednesday"/>
    <s v="colder"/>
    <n v="4"/>
    <x v="1"/>
  </r>
  <r>
    <d v="2011-02-09T00:00:00"/>
    <n v="1"/>
    <n v="0"/>
    <n v="2"/>
    <n v="13"/>
    <b v="0"/>
    <n v="3"/>
    <n v="1"/>
    <n v="0.18"/>
    <n v="0.16669999999999999"/>
    <n v="0.4"/>
    <n v="0.25369999999999998"/>
    <n v="67"/>
    <n v="69"/>
    <s v="Wednesday"/>
    <s v="colder"/>
    <n v="2"/>
    <x v="0"/>
  </r>
  <r>
    <d v="2011-02-09T00:00:00"/>
    <n v="1"/>
    <n v="0"/>
    <n v="2"/>
    <n v="14"/>
    <b v="0"/>
    <n v="3"/>
    <n v="1"/>
    <n v="0.2"/>
    <n v="0.18179999999999999"/>
    <n v="0.34"/>
    <n v="0.29849999999999999"/>
    <n v="56"/>
    <n v="58"/>
    <s v="Wednesday"/>
    <s v="colder"/>
    <n v="2"/>
    <x v="0"/>
  </r>
  <r>
    <d v="2011-02-09T00:00:00"/>
    <n v="1"/>
    <n v="0"/>
    <n v="2"/>
    <n v="15"/>
    <b v="0"/>
    <n v="3"/>
    <n v="2"/>
    <n v="0.2"/>
    <n v="0.18179999999999999"/>
    <n v="0.34"/>
    <n v="0.28360000000000002"/>
    <n v="61"/>
    <n v="64"/>
    <s v="Wednesday"/>
    <s v="colder"/>
    <n v="3"/>
    <x v="1"/>
  </r>
  <r>
    <d v="2011-02-09T00:00:00"/>
    <n v="1"/>
    <n v="0"/>
    <n v="2"/>
    <n v="16"/>
    <b v="0"/>
    <n v="3"/>
    <n v="2"/>
    <n v="0.2"/>
    <n v="0.19700000000000001"/>
    <n v="0.37"/>
    <n v="0.25369999999999998"/>
    <n v="72"/>
    <n v="79"/>
    <s v="Wednesday"/>
    <s v="colder"/>
    <n v="7"/>
    <x v="1"/>
  </r>
  <r>
    <d v="2011-02-09T00:00:00"/>
    <n v="1"/>
    <n v="0"/>
    <n v="2"/>
    <n v="17"/>
    <b v="0"/>
    <n v="3"/>
    <n v="2"/>
    <n v="0.2"/>
    <n v="0.19700000000000001"/>
    <n v="0.34"/>
    <n v="0.25369999999999998"/>
    <n v="157"/>
    <n v="166"/>
    <s v="Wednesday"/>
    <s v="colder"/>
    <n v="9"/>
    <x v="1"/>
  </r>
  <r>
    <d v="2011-02-09T00:00:00"/>
    <n v="1"/>
    <n v="0"/>
    <n v="2"/>
    <n v="18"/>
    <b v="0"/>
    <n v="3"/>
    <n v="2"/>
    <n v="0.18"/>
    <n v="0.16669999999999999"/>
    <n v="0.47"/>
    <n v="0.29849999999999999"/>
    <n v="168"/>
    <n v="170"/>
    <s v="Wednesday"/>
    <s v="colder"/>
    <n v="2"/>
    <x v="1"/>
  </r>
  <r>
    <d v="2011-02-09T00:00:00"/>
    <n v="1"/>
    <n v="0"/>
    <n v="2"/>
    <n v="19"/>
    <b v="0"/>
    <n v="3"/>
    <n v="3"/>
    <n v="0.14000000000000001"/>
    <n v="0.1212"/>
    <n v="0.86"/>
    <n v="0.25369999999999998"/>
    <n v="87"/>
    <n v="88"/>
    <s v="Wednesday"/>
    <s v="colder"/>
    <n v="1"/>
    <x v="2"/>
  </r>
  <r>
    <d v="2011-02-09T00:00:00"/>
    <n v="1"/>
    <n v="0"/>
    <n v="2"/>
    <n v="20"/>
    <b v="0"/>
    <n v="3"/>
    <n v="3"/>
    <n v="0.14000000000000001"/>
    <n v="0.1515"/>
    <n v="0.86"/>
    <n v="0.16420000000000001"/>
    <n v="84"/>
    <n v="84"/>
    <s v="Wednesday"/>
    <s v="colder"/>
    <n v="0"/>
    <x v="2"/>
  </r>
  <r>
    <d v="2011-02-09T00:00:00"/>
    <n v="1"/>
    <n v="0"/>
    <n v="2"/>
    <n v="21"/>
    <b v="0"/>
    <n v="3"/>
    <n v="2"/>
    <n v="0.14000000000000001"/>
    <n v="0.1515"/>
    <n v="0.86"/>
    <n v="0.16420000000000001"/>
    <n v="83"/>
    <n v="83"/>
    <s v="Wednesday"/>
    <s v="colder"/>
    <n v="0"/>
    <x v="1"/>
  </r>
  <r>
    <d v="2011-02-09T00:00:00"/>
    <n v="1"/>
    <n v="0"/>
    <n v="2"/>
    <n v="22"/>
    <b v="0"/>
    <n v="3"/>
    <n v="3"/>
    <n v="0.16"/>
    <n v="0.16669999999999999"/>
    <n v="0.8"/>
    <n v="0.16420000000000001"/>
    <n v="42"/>
    <n v="46"/>
    <s v="Wednesday"/>
    <s v="colder"/>
    <n v="4"/>
    <x v="2"/>
  </r>
  <r>
    <d v="2011-02-09T00:00:00"/>
    <n v="1"/>
    <n v="0"/>
    <n v="2"/>
    <n v="23"/>
    <b v="0"/>
    <n v="3"/>
    <n v="3"/>
    <n v="0.16"/>
    <n v="0.1515"/>
    <n v="0.8"/>
    <n v="0.19400000000000001"/>
    <n v="37"/>
    <n v="37"/>
    <s v="Wednesday"/>
    <s v="colder"/>
    <n v="0"/>
    <x v="2"/>
  </r>
  <r>
    <d v="2011-02-10T00:00:00"/>
    <n v="1"/>
    <n v="0"/>
    <n v="2"/>
    <n v="0"/>
    <b v="0"/>
    <n v="4"/>
    <n v="3"/>
    <n v="0.14000000000000001"/>
    <n v="0.13639999999999999"/>
    <n v="0.86"/>
    <n v="0.19400000000000001"/>
    <n v="16"/>
    <n v="16"/>
    <s v="Thursday"/>
    <s v="colder"/>
    <n v="0"/>
    <x v="2"/>
  </r>
  <r>
    <d v="2011-02-10T00:00:00"/>
    <n v="1"/>
    <n v="0"/>
    <n v="2"/>
    <n v="1"/>
    <b v="0"/>
    <n v="4"/>
    <n v="3"/>
    <n v="0.14000000000000001"/>
    <n v="0.1515"/>
    <n v="0.8"/>
    <n v="0.1343"/>
    <n v="7"/>
    <n v="7"/>
    <s v="Thursday"/>
    <s v="colder"/>
    <n v="0"/>
    <x v="2"/>
  </r>
  <r>
    <d v="2011-02-10T00:00:00"/>
    <n v="1"/>
    <n v="0"/>
    <n v="2"/>
    <n v="2"/>
    <b v="0"/>
    <n v="4"/>
    <n v="3"/>
    <n v="0.14000000000000001"/>
    <n v="0.1515"/>
    <n v="0.8"/>
    <n v="0.1343"/>
    <n v="3"/>
    <n v="3"/>
    <s v="Thursday"/>
    <s v="colder"/>
    <n v="0"/>
    <x v="2"/>
  </r>
  <r>
    <d v="2011-02-10T00:00:00"/>
    <n v="1"/>
    <n v="0"/>
    <n v="2"/>
    <n v="4"/>
    <b v="0"/>
    <n v="4"/>
    <n v="2"/>
    <n v="0.14000000000000001"/>
    <n v="0.13639999999999999"/>
    <n v="0.59"/>
    <n v="0.22389999999999999"/>
    <n v="1"/>
    <n v="1"/>
    <s v="Thursday"/>
    <s v="colder"/>
    <n v="0"/>
    <x v="1"/>
  </r>
  <r>
    <d v="2011-02-10T00:00:00"/>
    <n v="1"/>
    <n v="0"/>
    <n v="2"/>
    <n v="5"/>
    <b v="0"/>
    <n v="4"/>
    <n v="2"/>
    <n v="0.12"/>
    <n v="0.1212"/>
    <n v="0.5"/>
    <n v="0.22389999999999999"/>
    <n v="6"/>
    <n v="6"/>
    <s v="Thursday"/>
    <s v="colder"/>
    <n v="0"/>
    <x v="1"/>
  </r>
  <r>
    <d v="2011-02-10T00:00:00"/>
    <n v="1"/>
    <n v="0"/>
    <n v="2"/>
    <n v="6"/>
    <b v="0"/>
    <n v="4"/>
    <n v="2"/>
    <n v="0.12"/>
    <n v="0.1212"/>
    <n v="0.54"/>
    <n v="0.28360000000000002"/>
    <n v="26"/>
    <n v="26"/>
    <s v="Thursday"/>
    <s v="colder"/>
    <n v="0"/>
    <x v="1"/>
  </r>
  <r>
    <d v="2011-02-10T00:00:00"/>
    <n v="1"/>
    <n v="0"/>
    <n v="2"/>
    <n v="7"/>
    <b v="0"/>
    <n v="4"/>
    <n v="1"/>
    <n v="0.1"/>
    <n v="7.5800000000000006E-2"/>
    <n v="0.5"/>
    <n v="0.41789999999999999"/>
    <n v="99"/>
    <n v="99"/>
    <s v="Thursday"/>
    <s v="colder"/>
    <n v="0"/>
    <x v="0"/>
  </r>
  <r>
    <d v="2011-02-10T00:00:00"/>
    <n v="1"/>
    <n v="0"/>
    <n v="2"/>
    <n v="8"/>
    <b v="0"/>
    <n v="4"/>
    <n v="1"/>
    <n v="0.1"/>
    <n v="7.5800000000000006E-2"/>
    <n v="0.49"/>
    <n v="0.32840000000000003"/>
    <n v="173"/>
    <n v="178"/>
    <s v="Thursday"/>
    <s v="colder"/>
    <n v="5"/>
    <x v="0"/>
  </r>
  <r>
    <d v="2011-02-10T00:00:00"/>
    <n v="1"/>
    <n v="0"/>
    <n v="2"/>
    <n v="9"/>
    <b v="0"/>
    <n v="4"/>
    <n v="1"/>
    <n v="0.12"/>
    <n v="0.1061"/>
    <n v="0.42"/>
    <n v="0.35820000000000002"/>
    <n v="121"/>
    <n v="122"/>
    <s v="Thursday"/>
    <s v="colder"/>
    <n v="1"/>
    <x v="0"/>
  </r>
  <r>
    <d v="2011-02-10T00:00:00"/>
    <n v="1"/>
    <n v="0"/>
    <n v="2"/>
    <n v="10"/>
    <b v="0"/>
    <n v="4"/>
    <n v="1"/>
    <n v="0.12"/>
    <n v="0.1061"/>
    <n v="0.42"/>
    <n v="0.29849999999999999"/>
    <n v="34"/>
    <n v="35"/>
    <s v="Thursday"/>
    <s v="colder"/>
    <n v="1"/>
    <x v="0"/>
  </r>
  <r>
    <d v="2011-02-10T00:00:00"/>
    <n v="1"/>
    <n v="0"/>
    <n v="2"/>
    <n v="11"/>
    <b v="0"/>
    <n v="4"/>
    <n v="1"/>
    <n v="0.14000000000000001"/>
    <n v="0.1212"/>
    <n v="0.39"/>
    <n v="0.35820000000000002"/>
    <n v="44"/>
    <n v="45"/>
    <s v="Thursday"/>
    <s v="colder"/>
    <n v="1"/>
    <x v="0"/>
  </r>
  <r>
    <d v="2011-02-10T00:00:00"/>
    <n v="1"/>
    <n v="0"/>
    <n v="2"/>
    <n v="12"/>
    <b v="0"/>
    <n v="4"/>
    <n v="1"/>
    <n v="0.16"/>
    <n v="0.13639999999999999"/>
    <n v="0.34"/>
    <n v="0.3881"/>
    <n v="65"/>
    <n v="69"/>
    <s v="Thursday"/>
    <s v="colder"/>
    <n v="4"/>
    <x v="0"/>
  </r>
  <r>
    <d v="2011-02-10T00:00:00"/>
    <n v="1"/>
    <n v="0"/>
    <n v="2"/>
    <n v="13"/>
    <b v="0"/>
    <n v="4"/>
    <n v="1"/>
    <n v="0.18"/>
    <n v="0.16669999999999999"/>
    <n v="0.28999999999999998"/>
    <n v="0.29849999999999999"/>
    <n v="59"/>
    <n v="62"/>
    <s v="Thursday"/>
    <s v="colder"/>
    <n v="3"/>
    <x v="0"/>
  </r>
  <r>
    <d v="2011-02-10T00:00:00"/>
    <n v="1"/>
    <n v="0"/>
    <n v="2"/>
    <n v="14"/>
    <b v="0"/>
    <n v="4"/>
    <n v="1"/>
    <n v="0.2"/>
    <n v="0.18179999999999999"/>
    <n v="0.27"/>
    <n v="0.28360000000000002"/>
    <n v="42"/>
    <n v="48"/>
    <s v="Thursday"/>
    <s v="colder"/>
    <n v="6"/>
    <x v="0"/>
  </r>
  <r>
    <d v="2011-02-10T00:00:00"/>
    <n v="1"/>
    <n v="0"/>
    <n v="2"/>
    <n v="15"/>
    <b v="0"/>
    <n v="4"/>
    <n v="1"/>
    <n v="0.2"/>
    <n v="0.19700000000000001"/>
    <n v="0.25"/>
    <n v="0.25369999999999998"/>
    <n v="50"/>
    <n v="50"/>
    <s v="Thursday"/>
    <s v="colder"/>
    <n v="0"/>
    <x v="0"/>
  </r>
  <r>
    <d v="2011-02-10T00:00:00"/>
    <n v="1"/>
    <n v="0"/>
    <n v="2"/>
    <n v="16"/>
    <b v="0"/>
    <n v="4"/>
    <n v="1"/>
    <n v="0.2"/>
    <n v="0.18179999999999999"/>
    <n v="0.27"/>
    <n v="0.29849999999999999"/>
    <n v="76"/>
    <n v="80"/>
    <s v="Thursday"/>
    <s v="colder"/>
    <n v="4"/>
    <x v="0"/>
  </r>
  <r>
    <d v="2011-02-10T00:00:00"/>
    <n v="1"/>
    <n v="0"/>
    <n v="2"/>
    <n v="17"/>
    <b v="0"/>
    <n v="4"/>
    <n v="1"/>
    <n v="0.18"/>
    <n v="0.18179999999999999"/>
    <n v="0.26"/>
    <n v="0.19400000000000001"/>
    <n v="159"/>
    <n v="165"/>
    <s v="Thursday"/>
    <s v="colder"/>
    <n v="6"/>
    <x v="0"/>
  </r>
  <r>
    <d v="2011-02-10T00:00:00"/>
    <n v="1"/>
    <n v="0"/>
    <n v="2"/>
    <n v="18"/>
    <b v="0"/>
    <n v="4"/>
    <n v="1"/>
    <n v="0.16"/>
    <n v="0.18179999999999999"/>
    <n v="0.28000000000000003"/>
    <n v="0.1343"/>
    <n v="157"/>
    <n v="160"/>
    <s v="Thursday"/>
    <s v="colder"/>
    <n v="3"/>
    <x v="0"/>
  </r>
  <r>
    <d v="2011-02-10T00:00:00"/>
    <n v="1"/>
    <n v="0"/>
    <n v="2"/>
    <n v="19"/>
    <b v="0"/>
    <n v="4"/>
    <n v="1"/>
    <n v="0.14000000000000001"/>
    <n v="0.16669999999999999"/>
    <n v="0.28000000000000003"/>
    <n v="0.1045"/>
    <n v="110"/>
    <n v="112"/>
    <s v="Thursday"/>
    <s v="colder"/>
    <n v="2"/>
    <x v="0"/>
  </r>
  <r>
    <d v="2011-02-10T00:00:00"/>
    <n v="1"/>
    <n v="0"/>
    <n v="2"/>
    <n v="20"/>
    <b v="0"/>
    <n v="4"/>
    <n v="1"/>
    <n v="0.14000000000000001"/>
    <n v="0.18179999999999999"/>
    <n v="0.31"/>
    <n v="8.9599999999999999E-2"/>
    <n v="93"/>
    <n v="97"/>
    <s v="Thursday"/>
    <s v="colder"/>
    <n v="4"/>
    <x v="0"/>
  </r>
  <r>
    <d v="2011-02-10T00:00:00"/>
    <n v="1"/>
    <n v="0"/>
    <n v="2"/>
    <n v="21"/>
    <b v="0"/>
    <n v="4"/>
    <n v="1"/>
    <n v="0.14000000000000001"/>
    <n v="0.21210000000000001"/>
    <n v="0.39"/>
    <n v="0"/>
    <n v="70"/>
    <n v="72"/>
    <s v="Thursday"/>
    <s v="colder"/>
    <n v="2"/>
    <x v="0"/>
  </r>
  <r>
    <d v="2011-02-10T00:00:00"/>
    <n v="1"/>
    <n v="0"/>
    <n v="2"/>
    <n v="22"/>
    <b v="0"/>
    <n v="4"/>
    <n v="1"/>
    <n v="0.12"/>
    <n v="0.19700000000000001"/>
    <n v="0.39"/>
    <n v="0"/>
    <n v="47"/>
    <n v="51"/>
    <s v="Thursday"/>
    <s v="colder"/>
    <n v="4"/>
    <x v="0"/>
  </r>
  <r>
    <d v="2011-02-10T00:00:00"/>
    <n v="1"/>
    <n v="0"/>
    <n v="2"/>
    <n v="23"/>
    <b v="0"/>
    <n v="4"/>
    <n v="1"/>
    <n v="0.12"/>
    <n v="0.1515"/>
    <n v="0.42"/>
    <n v="0.1045"/>
    <n v="33"/>
    <n v="34"/>
    <s v="Thursday"/>
    <s v="colder"/>
    <n v="1"/>
    <x v="0"/>
  </r>
  <r>
    <d v="2011-02-11T00:00:00"/>
    <n v="1"/>
    <n v="0"/>
    <n v="2"/>
    <n v="0"/>
    <b v="0"/>
    <n v="5"/>
    <n v="1"/>
    <n v="0.1"/>
    <n v="0.13639999999999999"/>
    <n v="0.49"/>
    <n v="0.1045"/>
    <n v="12"/>
    <n v="14"/>
    <s v="Friday"/>
    <s v="colder"/>
    <n v="2"/>
    <x v="0"/>
  </r>
  <r>
    <d v="2011-02-11T00:00:00"/>
    <n v="1"/>
    <n v="0"/>
    <n v="2"/>
    <n v="1"/>
    <b v="0"/>
    <n v="5"/>
    <n v="1"/>
    <n v="0.1"/>
    <n v="0.13639999999999999"/>
    <n v="0.54"/>
    <n v="8.9599999999999999E-2"/>
    <n v="6"/>
    <n v="7"/>
    <s v="Friday"/>
    <s v="colder"/>
    <n v="1"/>
    <x v="0"/>
  </r>
  <r>
    <d v="2011-02-11T00:00:00"/>
    <n v="1"/>
    <n v="0"/>
    <n v="2"/>
    <n v="2"/>
    <b v="0"/>
    <n v="5"/>
    <n v="1"/>
    <n v="0.1"/>
    <n v="0.13639999999999999"/>
    <n v="0.54"/>
    <n v="8.9599999999999999E-2"/>
    <n v="3"/>
    <n v="3"/>
    <s v="Friday"/>
    <s v="colder"/>
    <n v="0"/>
    <x v="0"/>
  </r>
  <r>
    <d v="2011-02-11T00:00:00"/>
    <n v="1"/>
    <n v="0"/>
    <n v="2"/>
    <n v="5"/>
    <b v="0"/>
    <n v="5"/>
    <n v="1"/>
    <n v="0.08"/>
    <n v="0.1212"/>
    <n v="0.63"/>
    <n v="8.9599999999999999E-2"/>
    <n v="4"/>
    <n v="4"/>
    <s v="Friday"/>
    <s v="colder"/>
    <n v="0"/>
    <x v="0"/>
  </r>
  <r>
    <d v="2011-02-11T00:00:00"/>
    <n v="1"/>
    <n v="0"/>
    <n v="2"/>
    <n v="6"/>
    <b v="0"/>
    <n v="5"/>
    <n v="1"/>
    <n v="0.1"/>
    <n v="0.18179999999999999"/>
    <n v="0.68"/>
    <n v="0"/>
    <n v="23"/>
    <n v="24"/>
    <s v="Friday"/>
    <s v="colder"/>
    <n v="1"/>
    <x v="0"/>
  </r>
  <r>
    <d v="2011-02-11T00:00:00"/>
    <n v="1"/>
    <n v="0"/>
    <n v="2"/>
    <n v="7"/>
    <b v="0"/>
    <n v="5"/>
    <n v="1"/>
    <n v="0.08"/>
    <n v="0.16669999999999999"/>
    <n v="0.73"/>
    <n v="0"/>
    <n v="73"/>
    <n v="74"/>
    <s v="Friday"/>
    <s v="colder"/>
    <n v="1"/>
    <x v="0"/>
  </r>
  <r>
    <d v="2011-02-11T00:00:00"/>
    <n v="1"/>
    <n v="0"/>
    <n v="2"/>
    <n v="8"/>
    <b v="0"/>
    <n v="5"/>
    <n v="1"/>
    <n v="0.1"/>
    <n v="0.1212"/>
    <n v="0.74"/>
    <n v="0.16420000000000001"/>
    <n v="212"/>
    <n v="216"/>
    <s v="Friday"/>
    <s v="colder"/>
    <n v="4"/>
    <x v="0"/>
  </r>
  <r>
    <d v="2011-02-11T00:00:00"/>
    <n v="1"/>
    <n v="0"/>
    <n v="2"/>
    <n v="9"/>
    <b v="0"/>
    <n v="5"/>
    <n v="1"/>
    <n v="0.12"/>
    <n v="0.1212"/>
    <n v="0.74"/>
    <n v="0.22389999999999999"/>
    <n v="132"/>
    <n v="140"/>
    <s v="Friday"/>
    <s v="colder"/>
    <n v="8"/>
    <x v="0"/>
  </r>
  <r>
    <d v="2011-02-11T00:00:00"/>
    <n v="1"/>
    <n v="0"/>
    <n v="2"/>
    <n v="10"/>
    <b v="0"/>
    <n v="5"/>
    <n v="1"/>
    <n v="0.14000000000000001"/>
    <n v="0.13639999999999999"/>
    <n v="0.69"/>
    <n v="0.19400000000000001"/>
    <n v="39"/>
    <n v="44"/>
    <s v="Friday"/>
    <s v="colder"/>
    <n v="5"/>
    <x v="0"/>
  </r>
  <r>
    <d v="2011-02-11T00:00:00"/>
    <n v="1"/>
    <n v="0"/>
    <n v="2"/>
    <n v="11"/>
    <b v="0"/>
    <n v="5"/>
    <n v="1"/>
    <n v="0.22"/>
    <n v="0.2273"/>
    <n v="0.47"/>
    <n v="0.1343"/>
    <n v="52"/>
    <n v="64"/>
    <s v="Friday"/>
    <s v="colder"/>
    <n v="12"/>
    <x v="0"/>
  </r>
  <r>
    <d v="2011-02-11T00:00:00"/>
    <n v="1"/>
    <n v="0"/>
    <n v="2"/>
    <n v="12"/>
    <b v="0"/>
    <n v="5"/>
    <n v="1"/>
    <n v="0.22"/>
    <n v="0.2273"/>
    <n v="0.47"/>
    <n v="0.1343"/>
    <n v="64"/>
    <n v="71"/>
    <s v="Friday"/>
    <s v="colder"/>
    <n v="7"/>
    <x v="0"/>
  </r>
  <r>
    <d v="2011-02-11T00:00:00"/>
    <n v="1"/>
    <n v="0"/>
    <n v="2"/>
    <n v="13"/>
    <b v="0"/>
    <n v="5"/>
    <n v="1"/>
    <n v="0.24"/>
    <n v="0.2273"/>
    <n v="0.35"/>
    <n v="0.19400000000000001"/>
    <n v="89"/>
    <n v="110"/>
    <s v="Friday"/>
    <s v="cold"/>
    <n v="21"/>
    <x v="0"/>
  </r>
  <r>
    <d v="2011-02-11T00:00:00"/>
    <n v="1"/>
    <n v="0"/>
    <n v="2"/>
    <n v="14"/>
    <b v="0"/>
    <n v="5"/>
    <n v="1"/>
    <n v="0.3"/>
    <n v="0.28789999999999999"/>
    <n v="0.26"/>
    <n v="0.25369999999999998"/>
    <n v="67"/>
    <n v="84"/>
    <s v="Friday"/>
    <s v="cold"/>
    <n v="17"/>
    <x v="0"/>
  </r>
  <r>
    <d v="2011-02-11T00:00:00"/>
    <n v="1"/>
    <n v="0"/>
    <n v="2"/>
    <n v="15"/>
    <b v="0"/>
    <n v="5"/>
    <n v="1"/>
    <n v="0.32"/>
    <n v="0.31819999999999998"/>
    <n v="0.21"/>
    <n v="0.16420000000000001"/>
    <n v="62"/>
    <n v="74"/>
    <s v="Friday"/>
    <s v="cold"/>
    <n v="12"/>
    <x v="0"/>
  </r>
  <r>
    <d v="2011-02-11T00:00:00"/>
    <n v="1"/>
    <n v="0"/>
    <n v="2"/>
    <n v="16"/>
    <b v="0"/>
    <n v="5"/>
    <n v="1"/>
    <n v="0.3"/>
    <n v="0.28789999999999999"/>
    <n v="0.28000000000000003"/>
    <n v="0.19400000000000001"/>
    <n v="111"/>
    <n v="125"/>
    <s v="Friday"/>
    <s v="cold"/>
    <n v="14"/>
    <x v="0"/>
  </r>
  <r>
    <d v="2011-02-11T00:00:00"/>
    <n v="1"/>
    <n v="0"/>
    <n v="2"/>
    <n v="17"/>
    <b v="0"/>
    <n v="5"/>
    <n v="1"/>
    <n v="0.3"/>
    <n v="0.33329999999999999"/>
    <n v="0.24"/>
    <n v="0"/>
    <n v="193"/>
    <n v="211"/>
    <s v="Friday"/>
    <s v="cold"/>
    <n v="18"/>
    <x v="0"/>
  </r>
  <r>
    <d v="2011-02-11T00:00:00"/>
    <n v="1"/>
    <n v="0"/>
    <n v="2"/>
    <n v="18"/>
    <b v="0"/>
    <n v="5"/>
    <n v="1"/>
    <n v="0.28000000000000003"/>
    <n v="0.31819999999999998"/>
    <n v="0.28000000000000003"/>
    <n v="0"/>
    <n v="165"/>
    <n v="174"/>
    <s v="Friday"/>
    <s v="cold"/>
    <n v="9"/>
    <x v="0"/>
  </r>
  <r>
    <d v="2011-02-11T00:00:00"/>
    <n v="1"/>
    <n v="0"/>
    <n v="2"/>
    <n v="19"/>
    <b v="0"/>
    <n v="5"/>
    <n v="1"/>
    <n v="0.26"/>
    <n v="0.30299999999999999"/>
    <n v="0.33"/>
    <n v="0"/>
    <n v="94"/>
    <n v="101"/>
    <s v="Friday"/>
    <s v="cold"/>
    <n v="7"/>
    <x v="0"/>
  </r>
  <r>
    <d v="2011-02-11T00:00:00"/>
    <n v="1"/>
    <n v="0"/>
    <n v="2"/>
    <n v="20"/>
    <b v="0"/>
    <n v="5"/>
    <n v="1"/>
    <n v="0.22"/>
    <n v="0.2273"/>
    <n v="0.55000000000000004"/>
    <n v="0.1343"/>
    <n v="61"/>
    <n v="63"/>
    <s v="Friday"/>
    <s v="colder"/>
    <n v="2"/>
    <x v="0"/>
  </r>
  <r>
    <d v="2011-02-11T00:00:00"/>
    <n v="1"/>
    <n v="0"/>
    <n v="2"/>
    <n v="21"/>
    <b v="0"/>
    <n v="5"/>
    <n v="1"/>
    <n v="0.2"/>
    <n v="0.21210000000000001"/>
    <n v="0.59"/>
    <n v="0.1343"/>
    <n v="46"/>
    <n v="47"/>
    <s v="Friday"/>
    <s v="colder"/>
    <n v="1"/>
    <x v="0"/>
  </r>
  <r>
    <d v="2011-02-11T00:00:00"/>
    <n v="1"/>
    <n v="0"/>
    <n v="2"/>
    <n v="22"/>
    <b v="0"/>
    <n v="5"/>
    <n v="1"/>
    <n v="0.2"/>
    <n v="0.2273"/>
    <n v="0.64"/>
    <n v="8.9599999999999999E-2"/>
    <n v="41"/>
    <n v="43"/>
    <s v="Friday"/>
    <s v="colder"/>
    <n v="2"/>
    <x v="0"/>
  </r>
  <r>
    <d v="2011-02-11T00:00:00"/>
    <n v="1"/>
    <n v="0"/>
    <n v="2"/>
    <n v="23"/>
    <b v="0"/>
    <n v="5"/>
    <n v="1"/>
    <n v="0.18"/>
    <n v="0.2424"/>
    <n v="0.69"/>
    <n v="0"/>
    <n v="48"/>
    <n v="53"/>
    <s v="Friday"/>
    <s v="colder"/>
    <n v="5"/>
    <x v="0"/>
  </r>
  <r>
    <d v="2011-02-12T00:00:00"/>
    <n v="1"/>
    <n v="0"/>
    <n v="2"/>
    <n v="0"/>
    <b v="0"/>
    <n v="6"/>
    <n v="1"/>
    <n v="0.16"/>
    <n v="0.19700000000000001"/>
    <n v="0.69"/>
    <n v="8.9599999999999999E-2"/>
    <n v="27"/>
    <n v="30"/>
    <s v="Saturday"/>
    <s v="colder"/>
    <n v="3"/>
    <x v="0"/>
  </r>
  <r>
    <d v="2011-02-12T00:00:00"/>
    <n v="1"/>
    <n v="0"/>
    <n v="2"/>
    <n v="1"/>
    <b v="0"/>
    <n v="6"/>
    <n v="1"/>
    <n v="0.14000000000000001"/>
    <n v="0.21210000000000001"/>
    <n v="0.86"/>
    <n v="0"/>
    <n v="22"/>
    <n v="24"/>
    <s v="Saturday"/>
    <s v="colder"/>
    <n v="2"/>
    <x v="0"/>
  </r>
  <r>
    <d v="2011-02-12T00:00:00"/>
    <n v="1"/>
    <n v="0"/>
    <n v="2"/>
    <n v="2"/>
    <b v="0"/>
    <n v="6"/>
    <n v="1"/>
    <n v="0.14000000000000001"/>
    <n v="0.21210000000000001"/>
    <n v="0.8"/>
    <n v="0"/>
    <n v="13"/>
    <n v="15"/>
    <s v="Saturday"/>
    <s v="colder"/>
    <n v="2"/>
    <x v="0"/>
  </r>
  <r>
    <d v="2011-02-12T00:00:00"/>
    <n v="1"/>
    <n v="0"/>
    <n v="2"/>
    <n v="3"/>
    <b v="0"/>
    <n v="6"/>
    <n v="1"/>
    <n v="0.12"/>
    <n v="0.19700000000000001"/>
    <n v="0.8"/>
    <n v="0"/>
    <n v="7"/>
    <n v="10"/>
    <s v="Saturday"/>
    <s v="colder"/>
    <n v="3"/>
    <x v="0"/>
  </r>
  <r>
    <d v="2011-02-12T00:00:00"/>
    <n v="1"/>
    <n v="0"/>
    <n v="2"/>
    <n v="4"/>
    <b v="0"/>
    <n v="6"/>
    <n v="1"/>
    <n v="0.12"/>
    <n v="0.16669999999999999"/>
    <n v="0.74"/>
    <n v="8.9599999999999999E-2"/>
    <n v="4"/>
    <n v="4"/>
    <s v="Saturday"/>
    <s v="colder"/>
    <n v="0"/>
    <x v="0"/>
  </r>
  <r>
    <d v="2011-02-12T00:00:00"/>
    <n v="1"/>
    <n v="0"/>
    <n v="2"/>
    <n v="5"/>
    <b v="0"/>
    <n v="6"/>
    <n v="1"/>
    <n v="0.12"/>
    <n v="0.16669999999999999"/>
    <n v="0.74"/>
    <n v="8.9599999999999999E-2"/>
    <n v="1"/>
    <n v="1"/>
    <s v="Saturday"/>
    <s v="colder"/>
    <n v="0"/>
    <x v="0"/>
  </r>
  <r>
    <d v="2011-02-12T00:00:00"/>
    <n v="1"/>
    <n v="0"/>
    <n v="2"/>
    <n v="6"/>
    <b v="0"/>
    <n v="6"/>
    <n v="1"/>
    <n v="0.12"/>
    <n v="0.13639999999999999"/>
    <n v="0.93"/>
    <n v="0.19400000000000001"/>
    <n v="1"/>
    <n v="2"/>
    <s v="Saturday"/>
    <s v="colder"/>
    <n v="1"/>
    <x v="0"/>
  </r>
  <r>
    <d v="2011-02-12T00:00:00"/>
    <n v="1"/>
    <n v="0"/>
    <n v="2"/>
    <n v="7"/>
    <b v="0"/>
    <n v="6"/>
    <n v="1"/>
    <n v="0.12"/>
    <n v="0.1515"/>
    <n v="0.8"/>
    <n v="0.1045"/>
    <n v="9"/>
    <n v="11"/>
    <s v="Saturday"/>
    <s v="colder"/>
    <n v="2"/>
    <x v="0"/>
  </r>
  <r>
    <d v="2011-02-12T00:00:00"/>
    <n v="1"/>
    <n v="0"/>
    <n v="2"/>
    <n v="8"/>
    <b v="0"/>
    <n v="6"/>
    <n v="1"/>
    <n v="0.14000000000000001"/>
    <n v="0.1515"/>
    <n v="0.86"/>
    <n v="0.1343"/>
    <n v="28"/>
    <n v="30"/>
    <s v="Saturday"/>
    <s v="colder"/>
    <n v="2"/>
    <x v="0"/>
  </r>
  <r>
    <d v="2011-02-12T00:00:00"/>
    <n v="1"/>
    <n v="0"/>
    <n v="2"/>
    <n v="9"/>
    <b v="0"/>
    <n v="6"/>
    <n v="1"/>
    <n v="0.16"/>
    <n v="0.18179999999999999"/>
    <n v="0.64"/>
    <n v="0.1343"/>
    <n v="38"/>
    <n v="43"/>
    <s v="Saturday"/>
    <s v="colder"/>
    <n v="5"/>
    <x v="0"/>
  </r>
  <r>
    <d v="2011-02-12T00:00:00"/>
    <n v="1"/>
    <n v="0"/>
    <n v="2"/>
    <n v="10"/>
    <b v="0"/>
    <n v="6"/>
    <n v="1"/>
    <n v="0.22"/>
    <n v="0.21210000000000001"/>
    <n v="0.41"/>
    <n v="0.25369999999999998"/>
    <n v="71"/>
    <n v="84"/>
    <s v="Saturday"/>
    <s v="colder"/>
    <n v="13"/>
    <x v="0"/>
  </r>
  <r>
    <d v="2011-02-12T00:00:00"/>
    <n v="1"/>
    <n v="0"/>
    <n v="2"/>
    <n v="11"/>
    <b v="0"/>
    <n v="6"/>
    <n v="1"/>
    <n v="0.3"/>
    <n v="0.2727"/>
    <n v="0.28000000000000003"/>
    <n v="0.32840000000000003"/>
    <n v="84"/>
    <n v="114"/>
    <s v="Saturday"/>
    <s v="cold"/>
    <n v="30"/>
    <x v="0"/>
  </r>
  <r>
    <d v="2011-02-12T00:00:00"/>
    <n v="1"/>
    <n v="0"/>
    <n v="2"/>
    <n v="12"/>
    <b v="0"/>
    <n v="6"/>
    <n v="1"/>
    <n v="0.3"/>
    <n v="0.2727"/>
    <n v="0.39"/>
    <n v="0.4627"/>
    <n v="93"/>
    <n v="120"/>
    <s v="Saturday"/>
    <s v="cold"/>
    <n v="27"/>
    <x v="0"/>
  </r>
  <r>
    <d v="2011-02-12T00:00:00"/>
    <n v="1"/>
    <n v="0"/>
    <n v="2"/>
    <n v="13"/>
    <b v="0"/>
    <n v="6"/>
    <n v="1"/>
    <n v="0.3"/>
    <n v="0.2727"/>
    <n v="0.39"/>
    <n v="0.41789999999999999"/>
    <n v="103"/>
    <n v="135"/>
    <s v="Saturday"/>
    <s v="cold"/>
    <n v="32"/>
    <x v="0"/>
  </r>
  <r>
    <d v="2011-02-12T00:00:00"/>
    <n v="1"/>
    <n v="0"/>
    <n v="2"/>
    <n v="14"/>
    <b v="0"/>
    <n v="6"/>
    <n v="1"/>
    <n v="0.34"/>
    <n v="0.31819999999999998"/>
    <n v="0.31"/>
    <n v="0.28360000000000002"/>
    <n v="90"/>
    <n v="120"/>
    <s v="Saturday"/>
    <s v="cold"/>
    <n v="30"/>
    <x v="0"/>
  </r>
  <r>
    <d v="2011-02-12T00:00:00"/>
    <n v="1"/>
    <n v="0"/>
    <n v="2"/>
    <n v="15"/>
    <b v="0"/>
    <n v="6"/>
    <n v="1"/>
    <n v="0.34"/>
    <n v="0.30299999999999999"/>
    <n v="0.28999999999999998"/>
    <n v="0.41789999999999999"/>
    <n v="127"/>
    <n v="174"/>
    <s v="Saturday"/>
    <s v="cold"/>
    <n v="47"/>
    <x v="0"/>
  </r>
  <r>
    <d v="2011-02-12T00:00:00"/>
    <n v="1"/>
    <n v="0"/>
    <n v="2"/>
    <n v="16"/>
    <b v="0"/>
    <n v="6"/>
    <n v="1"/>
    <n v="0.34"/>
    <n v="0.30299999999999999"/>
    <n v="0.28999999999999998"/>
    <n v="0.41789999999999999"/>
    <n v="103"/>
    <n v="145"/>
    <s v="Saturday"/>
    <s v="cold"/>
    <n v="42"/>
    <x v="0"/>
  </r>
  <r>
    <d v="2011-02-12T00:00:00"/>
    <n v="1"/>
    <n v="0"/>
    <n v="2"/>
    <n v="17"/>
    <b v="0"/>
    <n v="6"/>
    <n v="1"/>
    <n v="0.32"/>
    <n v="0.28789999999999999"/>
    <n v="0.31"/>
    <n v="0.52239999999999998"/>
    <n v="113"/>
    <n v="137"/>
    <s v="Saturday"/>
    <s v="cold"/>
    <n v="24"/>
    <x v="0"/>
  </r>
  <r>
    <d v="2011-02-12T00:00:00"/>
    <n v="1"/>
    <n v="0"/>
    <n v="2"/>
    <n v="18"/>
    <b v="0"/>
    <n v="6"/>
    <n v="1"/>
    <n v="0.28000000000000003"/>
    <n v="0.2576"/>
    <n v="0.38"/>
    <n v="0.32840000000000003"/>
    <n v="60"/>
    <n v="64"/>
    <s v="Saturday"/>
    <s v="cold"/>
    <n v="4"/>
    <x v="0"/>
  </r>
  <r>
    <d v="2011-02-12T00:00:00"/>
    <n v="1"/>
    <n v="0"/>
    <n v="2"/>
    <n v="19"/>
    <b v="0"/>
    <n v="6"/>
    <n v="1"/>
    <n v="0.28000000000000003"/>
    <n v="0.2727"/>
    <n v="0.38"/>
    <n v="0.16420000000000001"/>
    <n v="39"/>
    <n v="41"/>
    <s v="Saturday"/>
    <s v="cold"/>
    <n v="2"/>
    <x v="0"/>
  </r>
  <r>
    <d v="2011-02-12T00:00:00"/>
    <n v="1"/>
    <n v="0"/>
    <n v="2"/>
    <n v="20"/>
    <b v="0"/>
    <n v="6"/>
    <n v="1"/>
    <n v="0.26"/>
    <n v="0.2576"/>
    <n v="0.41"/>
    <n v="0.22389999999999999"/>
    <n v="39"/>
    <n v="40"/>
    <s v="Saturday"/>
    <s v="cold"/>
    <n v="1"/>
    <x v="0"/>
  </r>
  <r>
    <d v="2011-02-12T00:00:00"/>
    <n v="1"/>
    <n v="0"/>
    <n v="2"/>
    <n v="21"/>
    <b v="0"/>
    <n v="6"/>
    <n v="1"/>
    <n v="0.26"/>
    <n v="0.30299999999999999"/>
    <n v="0.41"/>
    <n v="0"/>
    <n v="42"/>
    <n v="51"/>
    <s v="Saturday"/>
    <s v="cold"/>
    <n v="9"/>
    <x v="0"/>
  </r>
  <r>
    <d v="2011-02-12T00:00:00"/>
    <n v="1"/>
    <n v="0"/>
    <n v="2"/>
    <n v="22"/>
    <b v="0"/>
    <n v="6"/>
    <n v="1"/>
    <n v="0.24"/>
    <n v="0.2576"/>
    <n v="0.44"/>
    <n v="8.9599999999999999E-2"/>
    <n v="39"/>
    <n v="45"/>
    <s v="Saturday"/>
    <s v="cold"/>
    <n v="6"/>
    <x v="0"/>
  </r>
  <r>
    <d v="2011-02-12T00:00:00"/>
    <n v="1"/>
    <n v="0"/>
    <n v="2"/>
    <n v="23"/>
    <b v="0"/>
    <n v="6"/>
    <n v="1"/>
    <n v="0.22"/>
    <n v="0.2273"/>
    <n v="0.51"/>
    <n v="0.1343"/>
    <n v="31"/>
    <n v="32"/>
    <s v="Saturday"/>
    <s v="colder"/>
    <n v="1"/>
    <x v="0"/>
  </r>
  <r>
    <d v="2011-02-13T00:00:00"/>
    <n v="1"/>
    <n v="0"/>
    <n v="2"/>
    <n v="0"/>
    <b v="0"/>
    <n v="0"/>
    <n v="1"/>
    <n v="0.2"/>
    <n v="0.2273"/>
    <n v="0.64"/>
    <n v="0.1045"/>
    <n v="34"/>
    <n v="39"/>
    <s v="Sunday"/>
    <s v="colder"/>
    <n v="5"/>
    <x v="0"/>
  </r>
  <r>
    <d v="2011-02-13T00:00:00"/>
    <n v="1"/>
    <n v="0"/>
    <n v="2"/>
    <n v="1"/>
    <b v="0"/>
    <n v="0"/>
    <n v="1"/>
    <n v="0.2"/>
    <n v="0.2273"/>
    <n v="0.59"/>
    <n v="8.9599999999999999E-2"/>
    <n v="23"/>
    <n v="24"/>
    <s v="Sunday"/>
    <s v="colder"/>
    <n v="1"/>
    <x v="0"/>
  </r>
  <r>
    <d v="2011-02-13T00:00:00"/>
    <n v="1"/>
    <n v="0"/>
    <n v="2"/>
    <n v="2"/>
    <b v="0"/>
    <n v="0"/>
    <n v="2"/>
    <n v="0.2"/>
    <n v="0.2273"/>
    <n v="0.75"/>
    <n v="8.9599999999999999E-2"/>
    <n v="19"/>
    <n v="20"/>
    <s v="Sunday"/>
    <s v="colder"/>
    <n v="1"/>
    <x v="1"/>
  </r>
  <r>
    <d v="2011-02-13T00:00:00"/>
    <n v="1"/>
    <n v="0"/>
    <n v="2"/>
    <n v="3"/>
    <b v="0"/>
    <n v="0"/>
    <n v="2"/>
    <n v="0.2"/>
    <n v="0.2273"/>
    <n v="0.69"/>
    <n v="0.1045"/>
    <n v="8"/>
    <n v="12"/>
    <s v="Sunday"/>
    <s v="colder"/>
    <n v="4"/>
    <x v="1"/>
  </r>
  <r>
    <d v="2011-02-13T00:00:00"/>
    <n v="1"/>
    <n v="0"/>
    <n v="2"/>
    <n v="4"/>
    <b v="0"/>
    <n v="0"/>
    <n v="2"/>
    <n v="0.2"/>
    <n v="0.21210000000000001"/>
    <n v="0.69"/>
    <n v="0.16420000000000001"/>
    <n v="2"/>
    <n v="2"/>
    <s v="Sunday"/>
    <s v="colder"/>
    <n v="0"/>
    <x v="1"/>
  </r>
  <r>
    <d v="2011-02-13T00:00:00"/>
    <n v="1"/>
    <n v="0"/>
    <n v="2"/>
    <n v="6"/>
    <b v="0"/>
    <n v="0"/>
    <n v="2"/>
    <n v="0.2"/>
    <n v="0.21210000000000001"/>
    <n v="0.69"/>
    <n v="0.1343"/>
    <n v="3"/>
    <n v="5"/>
    <s v="Sunday"/>
    <s v="colder"/>
    <n v="2"/>
    <x v="1"/>
  </r>
  <r>
    <d v="2011-02-13T00:00:00"/>
    <n v="1"/>
    <n v="0"/>
    <n v="2"/>
    <n v="7"/>
    <b v="0"/>
    <n v="0"/>
    <n v="2"/>
    <n v="0.22"/>
    <n v="0.2727"/>
    <n v="0.55000000000000004"/>
    <n v="0"/>
    <n v="3"/>
    <n v="3"/>
    <s v="Sunday"/>
    <s v="colder"/>
    <n v="0"/>
    <x v="1"/>
  </r>
  <r>
    <d v="2011-02-13T00:00:00"/>
    <n v="1"/>
    <n v="0"/>
    <n v="2"/>
    <n v="8"/>
    <b v="0"/>
    <n v="0"/>
    <n v="2"/>
    <n v="0.22"/>
    <n v="0.2273"/>
    <n v="0.64"/>
    <n v="0.19400000000000001"/>
    <n v="11"/>
    <n v="12"/>
    <s v="Sunday"/>
    <s v="colder"/>
    <n v="1"/>
    <x v="1"/>
  </r>
  <r>
    <d v="2011-02-13T00:00:00"/>
    <n v="1"/>
    <n v="0"/>
    <n v="2"/>
    <n v="9"/>
    <b v="0"/>
    <n v="0"/>
    <n v="2"/>
    <n v="0.24"/>
    <n v="0.2273"/>
    <n v="0.6"/>
    <n v="0.22389999999999999"/>
    <n v="35"/>
    <n v="47"/>
    <s v="Sunday"/>
    <s v="cold"/>
    <n v="12"/>
    <x v="1"/>
  </r>
  <r>
    <d v="2011-02-13T00:00:00"/>
    <n v="1"/>
    <n v="0"/>
    <n v="2"/>
    <n v="10"/>
    <b v="0"/>
    <n v="0"/>
    <n v="1"/>
    <n v="0.3"/>
    <n v="0.2727"/>
    <n v="0.45"/>
    <n v="0.32840000000000003"/>
    <n v="86"/>
    <n v="105"/>
    <s v="Sunday"/>
    <s v="cold"/>
    <n v="19"/>
    <x v="0"/>
  </r>
  <r>
    <d v="2011-02-13T00:00:00"/>
    <n v="1"/>
    <n v="0"/>
    <n v="2"/>
    <n v="11"/>
    <b v="0"/>
    <n v="0"/>
    <n v="1"/>
    <n v="0.32"/>
    <n v="0.28789999999999999"/>
    <n v="0.39"/>
    <n v="0.44779999999999998"/>
    <n v="86"/>
    <n v="112"/>
    <s v="Sunday"/>
    <s v="cold"/>
    <n v="26"/>
    <x v="0"/>
  </r>
  <r>
    <d v="2011-02-13T00:00:00"/>
    <n v="1"/>
    <n v="0"/>
    <n v="2"/>
    <n v="12"/>
    <b v="0"/>
    <n v="0"/>
    <n v="1"/>
    <n v="0.36"/>
    <n v="0.31819999999999998"/>
    <n v="0.32"/>
    <n v="0.4627"/>
    <n v="94"/>
    <n v="152"/>
    <s v="Sunday"/>
    <s v="cold"/>
    <n v="58"/>
    <x v="0"/>
  </r>
  <r>
    <d v="2011-02-13T00:00:00"/>
    <n v="1"/>
    <n v="0"/>
    <n v="2"/>
    <n v="13"/>
    <b v="0"/>
    <n v="0"/>
    <n v="1"/>
    <n v="0.38"/>
    <n v="0.39389999999999997"/>
    <n v="0.28999999999999998"/>
    <n v="0.35820000000000002"/>
    <n v="92"/>
    <n v="154"/>
    <s v="Sunday"/>
    <s v="cold"/>
    <n v="62"/>
    <x v="0"/>
  </r>
  <r>
    <d v="2011-02-13T00:00:00"/>
    <n v="1"/>
    <n v="0"/>
    <n v="2"/>
    <n v="14"/>
    <b v="0"/>
    <n v="0"/>
    <n v="2"/>
    <n v="0.4"/>
    <n v="0.40910000000000002"/>
    <n v="0.3"/>
    <n v="0.41789999999999999"/>
    <n v="110"/>
    <n v="161"/>
    <s v="Sunday"/>
    <s v="cold"/>
    <n v="51"/>
    <x v="1"/>
  </r>
  <r>
    <d v="2011-02-13T00:00:00"/>
    <n v="1"/>
    <n v="0"/>
    <n v="2"/>
    <n v="15"/>
    <b v="0"/>
    <n v="0"/>
    <n v="2"/>
    <n v="0.4"/>
    <n v="0.40910000000000002"/>
    <n v="0.3"/>
    <n v="0.29849999999999999"/>
    <n v="122"/>
    <n v="162"/>
    <s v="Sunday"/>
    <s v="cold"/>
    <n v="40"/>
    <x v="1"/>
  </r>
  <r>
    <d v="2011-02-13T00:00:00"/>
    <n v="1"/>
    <n v="0"/>
    <n v="2"/>
    <n v="16"/>
    <b v="0"/>
    <n v="0"/>
    <n v="2"/>
    <n v="0.42"/>
    <n v="0.42420000000000002"/>
    <n v="0.28000000000000003"/>
    <n v="0.32840000000000003"/>
    <n v="106"/>
    <n v="134"/>
    <s v="Sunday"/>
    <s v="cold"/>
    <n v="28"/>
    <x v="1"/>
  </r>
  <r>
    <d v="2011-02-13T00:00:00"/>
    <n v="1"/>
    <n v="0"/>
    <n v="2"/>
    <n v="17"/>
    <b v="0"/>
    <n v="0"/>
    <n v="1"/>
    <n v="0.42"/>
    <n v="0.42420000000000002"/>
    <n v="0.28000000000000003"/>
    <n v="0.32840000000000003"/>
    <n v="95"/>
    <n v="125"/>
    <s v="Sunday"/>
    <s v="cold"/>
    <n v="30"/>
    <x v="0"/>
  </r>
  <r>
    <d v="2011-02-13T00:00:00"/>
    <n v="1"/>
    <n v="0"/>
    <n v="2"/>
    <n v="18"/>
    <b v="0"/>
    <n v="0"/>
    <n v="1"/>
    <n v="0.4"/>
    <n v="0.40910000000000002"/>
    <n v="0.32"/>
    <n v="0.29849999999999999"/>
    <n v="78"/>
    <n v="95"/>
    <s v="Sunday"/>
    <s v="cold"/>
    <n v="17"/>
    <x v="0"/>
  </r>
  <r>
    <d v="2011-02-13T00:00:00"/>
    <n v="1"/>
    <n v="0"/>
    <n v="2"/>
    <n v="19"/>
    <b v="0"/>
    <n v="0"/>
    <n v="1"/>
    <n v="0.4"/>
    <n v="0.40910000000000002"/>
    <n v="0.35"/>
    <n v="0.28360000000000002"/>
    <n v="50"/>
    <n v="61"/>
    <s v="Sunday"/>
    <s v="cold"/>
    <n v="11"/>
    <x v="0"/>
  </r>
  <r>
    <d v="2011-02-13T00:00:00"/>
    <n v="1"/>
    <n v="0"/>
    <n v="2"/>
    <n v="20"/>
    <b v="0"/>
    <n v="0"/>
    <n v="1"/>
    <n v="0.4"/>
    <n v="0.40910000000000002"/>
    <n v="0.35"/>
    <n v="0.32840000000000003"/>
    <n v="32"/>
    <n v="47"/>
    <s v="Sunday"/>
    <s v="cold"/>
    <n v="15"/>
    <x v="0"/>
  </r>
  <r>
    <d v="2011-02-13T00:00:00"/>
    <n v="1"/>
    <n v="0"/>
    <n v="2"/>
    <n v="21"/>
    <b v="0"/>
    <n v="0"/>
    <n v="1"/>
    <n v="0.4"/>
    <n v="0.40910000000000002"/>
    <n v="0.35"/>
    <n v="0.35820000000000002"/>
    <n v="45"/>
    <n v="51"/>
    <s v="Sunday"/>
    <s v="cold"/>
    <n v="6"/>
    <x v="0"/>
  </r>
  <r>
    <d v="2011-02-13T00:00:00"/>
    <n v="1"/>
    <n v="0"/>
    <n v="2"/>
    <n v="22"/>
    <b v="0"/>
    <n v="0"/>
    <n v="1"/>
    <n v="0.4"/>
    <n v="0.40910000000000002"/>
    <n v="0.35"/>
    <n v="0.29849999999999999"/>
    <n v="31"/>
    <n v="36"/>
    <s v="Sunday"/>
    <s v="cold"/>
    <n v="5"/>
    <x v="0"/>
  </r>
  <r>
    <d v="2011-02-13T00:00:00"/>
    <n v="1"/>
    <n v="0"/>
    <n v="2"/>
    <n v="23"/>
    <b v="0"/>
    <n v="0"/>
    <n v="1"/>
    <n v="0.4"/>
    <n v="0.40910000000000002"/>
    <n v="0.35"/>
    <n v="0.35820000000000002"/>
    <n v="27"/>
    <n v="30"/>
    <s v="Sunday"/>
    <s v="cold"/>
    <n v="3"/>
    <x v="0"/>
  </r>
  <r>
    <d v="2011-02-14T00:00:00"/>
    <n v="1"/>
    <n v="0"/>
    <n v="2"/>
    <n v="0"/>
    <b v="0"/>
    <n v="1"/>
    <n v="1"/>
    <n v="0.38"/>
    <n v="0.39389999999999997"/>
    <n v="0.37"/>
    <n v="0.35820000000000002"/>
    <n v="8"/>
    <n v="11"/>
    <s v="Monday"/>
    <s v="cold"/>
    <n v="3"/>
    <x v="0"/>
  </r>
  <r>
    <d v="2011-02-14T00:00:00"/>
    <n v="1"/>
    <n v="0"/>
    <n v="2"/>
    <n v="1"/>
    <b v="0"/>
    <n v="1"/>
    <n v="1"/>
    <n v="0.38"/>
    <n v="0.39389999999999997"/>
    <n v="0.37"/>
    <n v="0.35820000000000002"/>
    <n v="6"/>
    <n v="7"/>
    <s v="Monday"/>
    <s v="cold"/>
    <n v="1"/>
    <x v="0"/>
  </r>
  <r>
    <d v="2011-02-14T00:00:00"/>
    <n v="1"/>
    <n v="0"/>
    <n v="2"/>
    <n v="2"/>
    <b v="0"/>
    <n v="1"/>
    <n v="1"/>
    <n v="0.36"/>
    <n v="0.33329999999999999"/>
    <n v="0.4"/>
    <n v="0.29849999999999999"/>
    <n v="2"/>
    <n v="2"/>
    <s v="Monday"/>
    <s v="cold"/>
    <n v="0"/>
    <x v="0"/>
  </r>
  <r>
    <d v="2011-02-14T00:00:00"/>
    <n v="1"/>
    <n v="0"/>
    <n v="2"/>
    <n v="3"/>
    <b v="0"/>
    <n v="1"/>
    <n v="1"/>
    <n v="0.34"/>
    <n v="0.31819999999999998"/>
    <n v="0.46"/>
    <n v="0.22389999999999999"/>
    <n v="1"/>
    <n v="2"/>
    <s v="Monday"/>
    <s v="cold"/>
    <n v="1"/>
    <x v="0"/>
  </r>
  <r>
    <d v="2011-02-14T00:00:00"/>
    <n v="1"/>
    <n v="0"/>
    <n v="2"/>
    <n v="4"/>
    <b v="0"/>
    <n v="1"/>
    <n v="1"/>
    <n v="0.32"/>
    <n v="0.30299999999999999"/>
    <n v="0.53"/>
    <n v="0.28360000000000002"/>
    <n v="2"/>
    <n v="2"/>
    <s v="Monday"/>
    <s v="cold"/>
    <n v="0"/>
    <x v="0"/>
  </r>
  <r>
    <d v="2011-02-14T00:00:00"/>
    <n v="1"/>
    <n v="0"/>
    <n v="2"/>
    <n v="5"/>
    <b v="0"/>
    <n v="1"/>
    <n v="1"/>
    <n v="0.32"/>
    <n v="0.30299999999999999"/>
    <n v="0.53"/>
    <n v="0.28360000000000002"/>
    <n v="3"/>
    <n v="3"/>
    <s v="Monday"/>
    <s v="cold"/>
    <n v="0"/>
    <x v="0"/>
  </r>
  <r>
    <d v="2011-02-14T00:00:00"/>
    <n v="1"/>
    <n v="0"/>
    <n v="2"/>
    <n v="6"/>
    <b v="0"/>
    <n v="1"/>
    <n v="1"/>
    <n v="0.34"/>
    <n v="0.30299999999999999"/>
    <n v="0.46"/>
    <n v="0.29849999999999999"/>
    <n v="25"/>
    <n v="26"/>
    <s v="Monday"/>
    <s v="cold"/>
    <n v="1"/>
    <x v="0"/>
  </r>
  <r>
    <d v="2011-02-14T00:00:00"/>
    <n v="1"/>
    <n v="0"/>
    <n v="2"/>
    <n v="7"/>
    <b v="0"/>
    <n v="1"/>
    <n v="1"/>
    <n v="0.34"/>
    <n v="0.30299999999999999"/>
    <n v="0.46"/>
    <n v="0.29849999999999999"/>
    <n v="96"/>
    <n v="98"/>
    <s v="Monday"/>
    <s v="cold"/>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1B1CCE-DA19-4AC7-8A38-0E1332A8BD2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2:B97"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Average of cnt" fld="15" subtotal="average" baseField="11"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65634-6565-4D59-B7F5-B6EA2417CFDA}" name="week vs c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33:G41" firstHeaderRow="0"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axis="axisRow" showAll="0">
      <items count="8">
        <item x="1"/>
        <item x="2"/>
        <item x="3"/>
        <item x="4"/>
        <item x="5"/>
        <item x="6"/>
        <item x="0"/>
        <item t="default"/>
      </items>
    </pivotField>
  </pivotFields>
  <rowFields count="1">
    <field x="16"/>
  </rowFields>
  <rowItems count="8">
    <i>
      <x/>
    </i>
    <i>
      <x v="1"/>
    </i>
    <i>
      <x v="2"/>
    </i>
    <i>
      <x v="3"/>
    </i>
    <i>
      <x v="4"/>
    </i>
    <i>
      <x v="5"/>
    </i>
    <i>
      <x v="6"/>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chartFormats count="3">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DD28F-3539-4538-896F-C2337E548997}" name="wind vs resit"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3:H24" firstHeaderRow="1" firstDataRow="1" firstDataCol="1"/>
  <pivotFields count="17">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pivotField showAll="0">
      <items count="3">
        <item x="0"/>
        <item x="1"/>
        <item t="default"/>
      </items>
    </pivotField>
    <pivotField showAll="0"/>
    <pivotField showAll="0">
      <items count="3">
        <item x="0"/>
        <item x="1"/>
        <item t="default"/>
      </items>
    </pivotField>
    <pivotField showAll="0">
      <items count="8">
        <item x="1"/>
        <item x="2"/>
        <item x="3"/>
        <item x="4"/>
        <item x="5"/>
        <item x="6"/>
        <item x="0"/>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multipleItemSelectionAllowed="1" showAll="0">
      <items count="65">
        <item x="58"/>
        <item h="1"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1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registered" fld="14" subtotal="average"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5A89D9-33D7-4C7C-AF4F-C2213920450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5:G48" firstHeaderRow="0" firstDataRow="1" firstDataCol="1"/>
  <pivotFields count="17">
    <pivotField numFmtId="164"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dataField="1" showAll="0"/>
    <pivotField dataField="1" showAll="0"/>
    <pivotField showAll="0"/>
    <pivotField axis="axisRow" showAll="0">
      <items count="3">
        <item x="0"/>
        <item x="1"/>
        <item t="default"/>
      </items>
    </pivotField>
    <pivotField dataField="1" showAll="0"/>
  </pivotFields>
  <rowFields count="1">
    <field x="15"/>
  </rowFields>
  <rowItems count="3">
    <i>
      <x/>
    </i>
    <i>
      <x v="1"/>
    </i>
    <i t="grand">
      <x/>
    </i>
  </rowItems>
  <colFields count="1">
    <field x="-2"/>
  </colFields>
  <colItems count="3">
    <i>
      <x/>
    </i>
    <i i="1">
      <x v="1"/>
    </i>
    <i i="2">
      <x v="2"/>
    </i>
  </colItems>
  <dataFields count="3">
    <dataField name="Sum of cnt" fld="13" baseField="0" baseItem="0"/>
    <dataField name="Sum of registered" fld="12" baseField="0" baseItem="0"/>
    <dataField name="Sum of casual" fld="16" baseField="0" baseItem="0"/>
  </dataField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83AB0-16D3-41E0-BBE1-D4C68EDB1B97}" name="abc"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O4:R11" firstHeaderRow="0"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1"/>
        <item x="2"/>
        <item x="3"/>
        <item x="4"/>
        <item x="5"/>
        <item x="6"/>
        <item x="0"/>
      </items>
      <extLst>
        <ext xmlns:x14="http://schemas.microsoft.com/office/spreadsheetml/2009/9/main" uri="{2946ED86-A175-432a-8AC1-64E0C546D7DE}">
          <x14:pivotField fillDownLabels="1"/>
        </ext>
      </extLst>
    </pivotField>
  </pivotFields>
  <rowFields count="1">
    <field x="16"/>
  </rowFields>
  <rowItems count="7">
    <i>
      <x/>
    </i>
    <i>
      <x v="1"/>
    </i>
    <i>
      <x v="2"/>
    </i>
    <i>
      <x v="3"/>
    </i>
    <i>
      <x v="4"/>
    </i>
    <i>
      <x v="5"/>
    </i>
    <i>
      <x v="6"/>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2BAB5-7F45-47CC-93A2-8DEA53D218A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53:G58" firstHeaderRow="0" firstDataRow="1" firstDataCol="1"/>
  <pivotFields count="18">
    <pivotField numFmtId="16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axis="axisRow" showAll="0">
      <items count="5">
        <item x="0"/>
        <item x="1"/>
        <item x="2"/>
        <item x="3"/>
        <item t="default"/>
      </items>
    </pivotField>
  </pivotFields>
  <rowFields count="1">
    <field x="17"/>
  </rowFields>
  <rowItems count="5">
    <i>
      <x/>
    </i>
    <i>
      <x v="1"/>
    </i>
    <i>
      <x v="2"/>
    </i>
    <i>
      <x v="3"/>
    </i>
    <i t="grand">
      <x/>
    </i>
  </rowItems>
  <colFields count="1">
    <field x="-2"/>
  </colFields>
  <colItems count="3">
    <i>
      <x/>
    </i>
    <i i="1">
      <x v="1"/>
    </i>
    <i i="2">
      <x v="2"/>
    </i>
  </colItems>
  <dataFields count="3">
    <dataField name="Sum of cnt" fld="13" baseField="0" baseItem="0"/>
    <dataField name="Sum of registered" fld="12" baseField="0" baseItem="0"/>
    <dataField name="Sum of casual" fld="16" baseField="0" baseItem="0"/>
  </dataFields>
  <chartFormats count="9">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051A1-6AB1-4C6E-B627-8782391B79F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items count="2">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axis="axisRow" showAll="0">
      <items count="8">
        <item x="1"/>
        <item x="2"/>
        <item x="3"/>
        <item x="4"/>
        <item x="5"/>
        <item x="6"/>
        <item x="0"/>
        <item t="default"/>
      </items>
    </pivotField>
  </pivotFields>
  <rowFields count="1">
    <field x="16"/>
  </rowFields>
  <rowItems count="8">
    <i>
      <x/>
    </i>
    <i>
      <x v="1"/>
    </i>
    <i>
      <x v="2"/>
    </i>
    <i>
      <x v="3"/>
    </i>
    <i>
      <x v="4"/>
    </i>
    <i>
      <x v="5"/>
    </i>
    <i>
      <x v="6"/>
    </i>
    <i t="grand">
      <x/>
    </i>
  </rowItems>
  <colItems count="1">
    <i/>
  </colItems>
  <dataFields count="1">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F0E63E-AE66-469B-AFF2-07AC010CD6F2}" name="time vs c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3:E28" firstHeaderRow="1" firstDataRow="1" firstDataCol="1"/>
  <pivotFields count="17">
    <pivotField showAll="0"/>
    <pivotField numFmtId="164"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F3B25BEB-8425-4C4C-BEE5-ADE49C2F9755}" sourceName="holiday">
  <pivotTables>
    <pivotTable tabId="4" name="wind vs resit"/>
    <pivotTable tabId="4" name="time vs cnt"/>
    <pivotTable tabId="4" name="PivotTable2"/>
    <pivotTable tabId="4" name="PivotTable6"/>
    <pivotTable tabId="4" name="week vs cnt"/>
  </pivotTables>
  <data>
    <tabular pivotCacheId="20141507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 xr10:uid="{4FAFB9C2-8EBC-4430-AA4F-5DFAC931DE6A}" cache="Slicer_holiday" caption="holida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00A3B-88D5-4AEC-B7DF-8721CC666735}" name="Table1" displayName="Table1" ref="A1:S1001" headerRowDxfId="47" dataDxfId="46">
  <autoFilter ref="A1:S1001" xr:uid="{DD85C32D-FE28-42ED-8E49-9E76627E131B}"/>
  <sortState xmlns:xlrd2="http://schemas.microsoft.com/office/spreadsheetml/2017/richdata2" ref="A2:R1001">
    <sortCondition ref="A1:A1001"/>
  </sortState>
  <tableColumns count="19">
    <tableColumn id="1" xr3:uid="{39E57B97-E2B0-4C2C-8658-631F38A417C8}" name="instant" totalsRowLabel="Total" dataDxfId="45" totalsRowDxfId="44"/>
    <tableColumn id="2" xr3:uid="{2EE29892-2280-40A9-A65A-E64CA6BE2AA6}" name="dteday" dataDxfId="43" totalsRowDxfId="42"/>
    <tableColumn id="3" xr3:uid="{120800A3-4AE2-4EC5-884C-69F5293AA421}" name="season" dataDxfId="41" totalsRowDxfId="40"/>
    <tableColumn id="4" xr3:uid="{D72671E4-8BE8-42F2-84EC-70483EFB71C1}" name="yr" dataDxfId="39" totalsRowDxfId="38"/>
    <tableColumn id="5" xr3:uid="{427623D4-0C86-4537-BBB2-70780E538557}" name="mnth" dataDxfId="37" totalsRowDxfId="36"/>
    <tableColumn id="6" xr3:uid="{89EAD860-3ACF-4DA6-816E-A25FD958160B}" name="hr" dataDxfId="35" totalsRowDxfId="34"/>
    <tableColumn id="7" xr3:uid="{1AD9338A-AEA2-4735-A2ED-78EAB2DA9065}" name="holiday" dataDxfId="33" totalsRowDxfId="32"/>
    <tableColumn id="8" xr3:uid="{6C72BE34-9B3B-4966-B92A-A0E1B04C43E8}" name="weekday" dataDxfId="31" totalsRowDxfId="30"/>
    <tableColumn id="9" xr3:uid="{CC60190E-0679-4AEE-8C68-1F3C073F9E53}" name="weathersit" dataDxfId="29" totalsRowDxfId="28"/>
    <tableColumn id="10" xr3:uid="{7DE3C7FD-589C-406F-B965-9CBFE0532308}" name="temp" dataDxfId="27" totalsRowDxfId="26"/>
    <tableColumn id="11" xr3:uid="{F25EB555-C503-41C4-ADF0-AA5D05B3C4A5}" name="atemp" dataDxfId="25" totalsRowDxfId="24"/>
    <tableColumn id="12" xr3:uid="{CDCF1B42-D7B0-4748-B5CE-27E994D3CFBA}" name="hum" dataDxfId="23" totalsRowDxfId="22"/>
    <tableColumn id="13" xr3:uid="{549F29A2-6E49-414A-B114-B69721AE259E}" name="windspeed" dataDxfId="21" totalsRowDxfId="20"/>
    <tableColumn id="14" xr3:uid="{BB0480D6-C977-4920-9621-529090B001EB}" name="registered" dataDxfId="19" totalsRowDxfId="18" dataCellStyle="Normal 2"/>
    <tableColumn id="15" xr3:uid="{611E1966-4D29-4A44-AC46-99CB1CA64493}" name="cnt" dataDxfId="17" totalsRowDxfId="16" dataCellStyle="Normal 2"/>
    <tableColumn id="16" xr3:uid="{7B3B64BE-BE98-441B-B65C-B3C364CB726D}" name="week_name" totalsRowFunction="sum" dataDxfId="15" totalsRowDxfId="14" dataCellStyle="Normal 2">
      <calculatedColumnFormula>TEXT(B2,"dddd")</calculatedColumnFormula>
    </tableColumn>
    <tableColumn id="17" xr3:uid="{DE77679A-DD23-40CA-903D-14598E63347E}" name="heat" dataDxfId="13" totalsRowDxfId="12" dataCellStyle="Normal 2">
      <calculatedColumnFormula>IF(Table1[[#This Row],[temp]]&gt;=0.24,"cold","colder")</calculatedColumnFormula>
    </tableColumn>
    <tableColumn id="18" xr3:uid="{DF2F23A2-2640-484C-9145-9D8F819A9B3E}" name="casual" dataDxfId="11" totalsRowDxfId="10" dataCellStyle="Normal 2"/>
    <tableColumn id="19" xr3:uid="{A2CE186E-376F-4EBD-8E25-E58546249BD6}" name="weather" dataDxfId="9" totalsRowDxfId="8">
      <calculatedColumnFormula array="1">_xlfn.IFS(Table1[[#This Row],[weathersit]]=1,"clear sky",Table1[[#This Row],[weathersit]]=2,"mist",Table1[[#This Row],[weathersit]]=3,"partially dark",Table1[[#This Row],[weathersit]]=4,"rain")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48BD08-7EBB-4DFF-BB10-0728C1A76BC9}" name="Table2" displayName="Table2" ref="A1:E764" totalsRowShown="0">
  <autoFilter ref="A1:E764" xr:uid="{AF48BD08-7EBB-4DFF-BB10-0728C1A76BC9}"/>
  <tableColumns count="5">
    <tableColumn id="1" xr3:uid="{8840806A-6A42-40C4-AAA6-D9C4336EE673}" name="dteday" dataDxfId="7"/>
    <tableColumn id="2" xr3:uid="{1374879C-E33D-4AF6-A7EF-3E1B7B186480}" name="cnt"/>
    <tableColumn id="3" xr3:uid="{E97E26F4-1B2B-47C6-98D0-1BC08346C845}" name="Forecast(cnt)">
      <calculatedColumnFormula>_xlfn.FORECAST.ETS(A2,$B$2:$B$611,$A$2:$A$611,1,1)</calculatedColumnFormula>
    </tableColumn>
    <tableColumn id="4" xr3:uid="{D643B542-4A8F-48E0-B148-8F5F8196FC3A}" name="Lower Confidence Bound(cnt)" dataDxfId="6">
      <calculatedColumnFormula>C2-_xlfn.FORECAST.ETS.CONFINT(A2,$B$2:$B$611,$A$2:$A$611,0.95,1,1)</calculatedColumnFormula>
    </tableColumn>
    <tableColumn id="5" xr3:uid="{0FF33264-F0B6-45F1-912B-E48C1AF0ABCE}" name="Upper Confidence Bound(cnt)" dataDxfId="5">
      <calculatedColumnFormula>C2+_xlfn.FORECAST.ETS.CONFINT(A2,$B$2:$B$611,$A$2:$A$611,0.95,1,1)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8F73CF13-1650-407A-BF17-7DE0CFA7F737}" sourceName="dteday">
  <pivotTables>
    <pivotTable tabId="4" name="time vs cnt"/>
    <pivotTable tabId="4" name="PivotTable2"/>
    <pivotTable tabId="4" name="wind vs resit"/>
    <pivotTable tabId="4" name="PivotTable6"/>
    <pivotTable tabId="4" name="week vs cnt"/>
  </pivotTables>
  <state minimalRefreshVersion="6" lastRefreshVersion="6" pivotCacheId="2014150769" filterType="unknown">
    <bounds startDate="2011-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53D6260F-E007-4816-923A-822D1DB6F0F1}" cache="NativeTimeline_dteday" caption="dteday" level="2" selectionLevel="2" scrollPosition="2012-01-0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4395-F299-4CE5-8C57-F2CA398739D4}">
  <sheetPr codeName="Sheet2"/>
  <dimension ref="A1:V1001"/>
  <sheetViews>
    <sheetView zoomScale="68" zoomScaleNormal="82" workbookViewId="0">
      <selection activeCell="X5" sqref="X5"/>
    </sheetView>
  </sheetViews>
  <sheetFormatPr defaultRowHeight="14.4" x14ac:dyDescent="0.3"/>
  <cols>
    <col min="1" max="7" width="12.77734375" style="1" customWidth="1"/>
    <col min="8" max="8" width="17.77734375" style="1" customWidth="1"/>
    <col min="9" max="9" width="19.6640625" style="1" customWidth="1"/>
    <col min="10" max="12" width="12.77734375" style="1" customWidth="1"/>
    <col min="13" max="13" width="13" style="1" customWidth="1"/>
    <col min="14" max="14" width="14.6640625" customWidth="1"/>
    <col min="15" max="16" width="12.77734375" style="1" customWidth="1"/>
    <col min="17" max="17" width="14.5546875" style="1" customWidth="1"/>
    <col min="18" max="18" width="15.6640625" style="1" customWidth="1"/>
    <col min="19" max="19" width="12.77734375" style="1" customWidth="1"/>
    <col min="20" max="16384" width="8.88671875" style="1"/>
  </cols>
  <sheetData>
    <row r="1" spans="1:22" ht="15" customHeight="1" x14ac:dyDescent="0.3">
      <c r="A1" s="2" t="s">
        <v>15</v>
      </c>
      <c r="B1" s="2" t="s">
        <v>14</v>
      </c>
      <c r="C1" s="2" t="s">
        <v>13</v>
      </c>
      <c r="D1" s="2" t="s">
        <v>12</v>
      </c>
      <c r="E1" s="2" t="s">
        <v>11</v>
      </c>
      <c r="F1" s="2" t="s">
        <v>10</v>
      </c>
      <c r="G1" s="2" t="s">
        <v>9</v>
      </c>
      <c r="H1" s="2" t="s">
        <v>8</v>
      </c>
      <c r="I1" s="2" t="s">
        <v>7</v>
      </c>
      <c r="J1" s="2" t="s">
        <v>6</v>
      </c>
      <c r="K1" s="5" t="s">
        <v>5</v>
      </c>
      <c r="L1" s="4" t="s">
        <v>4</v>
      </c>
      <c r="M1" s="4" t="s">
        <v>3</v>
      </c>
      <c r="N1" s="4" t="s">
        <v>1</v>
      </c>
      <c r="O1" s="4" t="s">
        <v>0</v>
      </c>
      <c r="P1" s="4" t="s">
        <v>19</v>
      </c>
      <c r="Q1" s="4" t="s">
        <v>29</v>
      </c>
      <c r="R1" s="4" t="s">
        <v>2</v>
      </c>
      <c r="S1" s="4" t="s">
        <v>35</v>
      </c>
    </row>
    <row r="2" spans="1:22" ht="15" customHeight="1" x14ac:dyDescent="0.3">
      <c r="A2" s="2">
        <v>1</v>
      </c>
      <c r="B2" s="3">
        <v>40544</v>
      </c>
      <c r="C2" s="2">
        <v>1</v>
      </c>
      <c r="D2" s="2">
        <v>0</v>
      </c>
      <c r="E2" s="2">
        <v>1</v>
      </c>
      <c r="F2" s="2">
        <v>0</v>
      </c>
      <c r="G2" s="2" t="b">
        <v>0</v>
      </c>
      <c r="H2" s="2">
        <v>6</v>
      </c>
      <c r="I2" s="2">
        <v>1</v>
      </c>
      <c r="J2" s="2">
        <v>0.24</v>
      </c>
      <c r="K2" s="4">
        <v>0.28789999999999999</v>
      </c>
      <c r="L2" s="4">
        <v>0.81</v>
      </c>
      <c r="M2" s="4">
        <v>0</v>
      </c>
      <c r="N2" s="4">
        <v>13</v>
      </c>
      <c r="O2" s="2">
        <v>16</v>
      </c>
      <c r="P2" s="2" t="str">
        <f t="shared" ref="P2:P65" si="0">TEXT(B2,"dddd")</f>
        <v>Saturday</v>
      </c>
      <c r="Q2" s="2" t="str">
        <f>IF(Table1[[#This Row],[temp]]&gt;=0.24,"cold","colder")</f>
        <v>cold</v>
      </c>
      <c r="R2" s="4">
        <v>3</v>
      </c>
      <c r="S2" s="16" t="str" cm="1">
        <f t="array" ref="S2">_xlfn.IFS(Table1[[#This Row],[weathersit]]=1,"clear sky",Table1[[#This Row],[weathersit]]=2,"mist",Table1[[#This Row],[weathersit]]=3,"partially dark",Table1[[#This Row],[weathersit]]=4,"rain")</f>
        <v>clear sky</v>
      </c>
    </row>
    <row r="3" spans="1:22" ht="15" customHeight="1" x14ac:dyDescent="0.3">
      <c r="A3" s="2">
        <v>2</v>
      </c>
      <c r="B3" s="3">
        <v>40545</v>
      </c>
      <c r="C3" s="2">
        <v>1</v>
      </c>
      <c r="D3" s="2">
        <v>0</v>
      </c>
      <c r="E3" s="2">
        <v>1</v>
      </c>
      <c r="F3" s="2">
        <v>1</v>
      </c>
      <c r="G3" s="2" t="b">
        <v>0</v>
      </c>
      <c r="H3" s="2">
        <v>6</v>
      </c>
      <c r="I3" s="2">
        <v>1</v>
      </c>
      <c r="J3" s="2">
        <v>0.22</v>
      </c>
      <c r="K3" s="4">
        <v>0.2727</v>
      </c>
      <c r="L3" s="4">
        <v>0.8</v>
      </c>
      <c r="M3" s="4">
        <v>0</v>
      </c>
      <c r="N3" s="4">
        <v>32</v>
      </c>
      <c r="O3" s="2">
        <v>40</v>
      </c>
      <c r="P3" s="2" t="str">
        <f t="shared" si="0"/>
        <v>Sunday</v>
      </c>
      <c r="Q3" s="2" t="str">
        <f>IF(Table1[[#This Row],[temp]]&gt;=0.24,"cold","colder")</f>
        <v>colder</v>
      </c>
      <c r="R3" s="4">
        <v>8</v>
      </c>
      <c r="S3" s="16" t="str" cm="1">
        <f t="array" ref="S3">_xlfn.IFS(Table1[[#This Row],[weathersit]]=1,"clear sky",Table1[[#This Row],[weathersit]]=2,"mist",Table1[[#This Row],[weathersit]]=3,"partially dark",Table1[[#This Row],[weathersit]]=4,"rain")</f>
        <v>clear sky</v>
      </c>
    </row>
    <row r="4" spans="1:22" ht="15" customHeight="1" x14ac:dyDescent="0.3">
      <c r="A4" s="2">
        <v>3</v>
      </c>
      <c r="B4" s="3">
        <v>40546</v>
      </c>
      <c r="C4" s="2">
        <v>1</v>
      </c>
      <c r="D4" s="2">
        <v>0</v>
      </c>
      <c r="E4" s="2">
        <v>1</v>
      </c>
      <c r="F4" s="2">
        <v>2</v>
      </c>
      <c r="G4" s="2" t="b">
        <v>0</v>
      </c>
      <c r="H4" s="2">
        <v>6</v>
      </c>
      <c r="I4" s="2">
        <v>1</v>
      </c>
      <c r="J4" s="2">
        <v>0.22</v>
      </c>
      <c r="K4" s="4">
        <v>0.2727</v>
      </c>
      <c r="L4" s="4">
        <v>0.8</v>
      </c>
      <c r="M4" s="4">
        <v>0</v>
      </c>
      <c r="N4" s="4">
        <v>27</v>
      </c>
      <c r="O4" s="2">
        <v>32</v>
      </c>
      <c r="P4" s="2" t="str">
        <f t="shared" si="0"/>
        <v>Monday</v>
      </c>
      <c r="Q4" s="2" t="str">
        <f>IF(Table1[[#This Row],[temp]]&gt;=0.24,"cold","colder")</f>
        <v>colder</v>
      </c>
      <c r="R4" s="4">
        <v>5</v>
      </c>
      <c r="S4" s="16" t="str" cm="1">
        <f t="array" ref="S4">_xlfn.IFS(Table1[[#This Row],[weathersit]]=1,"clear sky",Table1[[#This Row],[weathersit]]=2,"mist",Table1[[#This Row],[weathersit]]=3,"partially dark",Table1[[#This Row],[weathersit]]=4,"rain")</f>
        <v>clear sky</v>
      </c>
    </row>
    <row r="5" spans="1:22" ht="15" customHeight="1" x14ac:dyDescent="0.3">
      <c r="A5" s="2">
        <v>4</v>
      </c>
      <c r="B5" s="3">
        <v>40547</v>
      </c>
      <c r="C5" s="2">
        <v>1</v>
      </c>
      <c r="D5" s="2">
        <v>0</v>
      </c>
      <c r="E5" s="2">
        <v>1</v>
      </c>
      <c r="F5" s="2">
        <v>3</v>
      </c>
      <c r="G5" s="2" t="b">
        <v>0</v>
      </c>
      <c r="H5" s="2">
        <v>6</v>
      </c>
      <c r="I5" s="2">
        <v>1</v>
      </c>
      <c r="J5" s="2">
        <v>0.24</v>
      </c>
      <c r="K5" s="4">
        <v>0.28789999999999999</v>
      </c>
      <c r="L5" s="4">
        <v>0.75</v>
      </c>
      <c r="M5" s="4">
        <v>0</v>
      </c>
      <c r="N5" s="4">
        <v>10</v>
      </c>
      <c r="O5" s="2">
        <v>13</v>
      </c>
      <c r="P5" s="2" t="str">
        <f t="shared" si="0"/>
        <v>Tuesday</v>
      </c>
      <c r="Q5" s="2" t="str">
        <f>IF(Table1[[#This Row],[temp]]&gt;=0.24,"cold","colder")</f>
        <v>cold</v>
      </c>
      <c r="R5" s="4">
        <v>3</v>
      </c>
      <c r="S5" s="16" t="str" cm="1">
        <f t="array" ref="S5">_xlfn.IFS(Table1[[#This Row],[weathersit]]=1,"clear sky",Table1[[#This Row],[weathersit]]=2,"mist",Table1[[#This Row],[weathersit]]=3,"partially dark",Table1[[#This Row],[weathersit]]=4,"rain")</f>
        <v>clear sky</v>
      </c>
    </row>
    <row r="6" spans="1:22" ht="15" customHeight="1" x14ac:dyDescent="0.3">
      <c r="A6" s="2">
        <v>5</v>
      </c>
      <c r="B6" s="3">
        <v>40548</v>
      </c>
      <c r="C6" s="2">
        <v>1</v>
      </c>
      <c r="D6" s="2">
        <v>0</v>
      </c>
      <c r="E6" s="2">
        <v>1</v>
      </c>
      <c r="F6" s="2">
        <v>4</v>
      </c>
      <c r="G6" s="2" t="b">
        <v>0</v>
      </c>
      <c r="H6" s="2">
        <v>6</v>
      </c>
      <c r="I6" s="2">
        <v>1</v>
      </c>
      <c r="J6" s="2">
        <v>0.24</v>
      </c>
      <c r="K6" s="4">
        <v>0.28789999999999999</v>
      </c>
      <c r="L6" s="4">
        <v>0.75</v>
      </c>
      <c r="M6" s="4">
        <v>0</v>
      </c>
      <c r="N6" s="4">
        <v>1</v>
      </c>
      <c r="O6" s="2">
        <v>1</v>
      </c>
      <c r="P6" s="2" t="str">
        <f t="shared" si="0"/>
        <v>Wednesday</v>
      </c>
      <c r="Q6" s="2" t="str">
        <f>IF(Table1[[#This Row],[temp]]&gt;=0.24,"cold","colder")</f>
        <v>cold</v>
      </c>
      <c r="R6" s="4">
        <v>0</v>
      </c>
      <c r="S6" s="16" t="str" cm="1">
        <f t="array" ref="S6">_xlfn.IFS(Table1[[#This Row],[weathersit]]=1,"clear sky",Table1[[#This Row],[weathersit]]=2,"mist",Table1[[#This Row],[weathersit]]=3,"partially dark",Table1[[#This Row],[weathersit]]=4,"rain")</f>
        <v>clear sky</v>
      </c>
    </row>
    <row r="7" spans="1:22" ht="15" customHeight="1" x14ac:dyDescent="0.3">
      <c r="A7" s="2">
        <v>6</v>
      </c>
      <c r="B7" s="3">
        <v>40549</v>
      </c>
      <c r="C7" s="2">
        <v>1</v>
      </c>
      <c r="D7" s="2">
        <v>0</v>
      </c>
      <c r="E7" s="2">
        <v>1</v>
      </c>
      <c r="F7" s="2">
        <v>5</v>
      </c>
      <c r="G7" s="2" t="b">
        <v>0</v>
      </c>
      <c r="H7" s="2">
        <v>6</v>
      </c>
      <c r="I7" s="2">
        <v>2</v>
      </c>
      <c r="J7" s="2">
        <v>0.24</v>
      </c>
      <c r="K7" s="4">
        <v>0.2576</v>
      </c>
      <c r="L7" s="4">
        <v>0.75</v>
      </c>
      <c r="M7" s="4">
        <v>8.9599999999999999E-2</v>
      </c>
      <c r="N7" s="4">
        <v>1</v>
      </c>
      <c r="O7" s="2">
        <v>1</v>
      </c>
      <c r="P7" s="2" t="str">
        <f t="shared" si="0"/>
        <v>Thursday</v>
      </c>
      <c r="Q7" s="2" t="str">
        <f>IF(Table1[[#This Row],[temp]]&gt;=0.24,"cold","colder")</f>
        <v>cold</v>
      </c>
      <c r="R7" s="4">
        <v>0</v>
      </c>
      <c r="S7" s="16" t="str" cm="1">
        <f t="array" ref="S7">_xlfn.IFS(Table1[[#This Row],[weathersit]]=1,"clear sky",Table1[[#This Row],[weathersit]]=2,"mist",Table1[[#This Row],[weathersit]]=3,"partially dark",Table1[[#This Row],[weathersit]]=4,"rain")</f>
        <v>mist</v>
      </c>
    </row>
    <row r="8" spans="1:22" ht="15" customHeight="1" x14ac:dyDescent="0.3">
      <c r="A8" s="2">
        <v>7</v>
      </c>
      <c r="B8" s="3">
        <v>40550</v>
      </c>
      <c r="C8" s="2">
        <v>1</v>
      </c>
      <c r="D8" s="2">
        <v>0</v>
      </c>
      <c r="E8" s="2">
        <v>1</v>
      </c>
      <c r="F8" s="2">
        <v>6</v>
      </c>
      <c r="G8" s="2" t="b">
        <v>0</v>
      </c>
      <c r="H8" s="2">
        <v>6</v>
      </c>
      <c r="I8" s="2">
        <v>1</v>
      </c>
      <c r="J8" s="2">
        <v>0.22</v>
      </c>
      <c r="K8" s="4">
        <v>0.2727</v>
      </c>
      <c r="L8" s="4">
        <v>0.8</v>
      </c>
      <c r="M8" s="4">
        <v>0</v>
      </c>
      <c r="N8" s="4">
        <v>0</v>
      </c>
      <c r="O8" s="2">
        <v>2</v>
      </c>
      <c r="P8" s="2" t="str">
        <f t="shared" si="0"/>
        <v>Friday</v>
      </c>
      <c r="Q8" s="2" t="str">
        <f>IF(Table1[[#This Row],[temp]]&gt;=0.24,"cold","colder")</f>
        <v>colder</v>
      </c>
      <c r="R8" s="4">
        <v>2</v>
      </c>
      <c r="S8" s="16" t="str" cm="1">
        <f t="array" ref="S8">_xlfn.IFS(Table1[[#This Row],[weathersit]]=1,"clear sky",Table1[[#This Row],[weathersit]]=2,"mist",Table1[[#This Row],[weathersit]]=3,"partially dark",Table1[[#This Row],[weathersit]]=4,"rain")</f>
        <v>clear sky</v>
      </c>
    </row>
    <row r="9" spans="1:22" ht="15" customHeight="1" x14ac:dyDescent="0.3">
      <c r="A9" s="2">
        <v>8</v>
      </c>
      <c r="B9" s="3">
        <v>40551</v>
      </c>
      <c r="C9" s="2">
        <v>1</v>
      </c>
      <c r="D9" s="2">
        <v>0</v>
      </c>
      <c r="E9" s="2">
        <v>1</v>
      </c>
      <c r="F9" s="2">
        <v>7</v>
      </c>
      <c r="G9" s="2" t="b">
        <v>0</v>
      </c>
      <c r="H9" s="2">
        <v>6</v>
      </c>
      <c r="I9" s="2">
        <v>1</v>
      </c>
      <c r="J9" s="2">
        <v>0.2</v>
      </c>
      <c r="K9" s="4">
        <v>0.2576</v>
      </c>
      <c r="L9" s="4">
        <v>0.86</v>
      </c>
      <c r="M9" s="4">
        <v>0</v>
      </c>
      <c r="N9" s="4">
        <v>2</v>
      </c>
      <c r="O9" s="2">
        <v>3</v>
      </c>
      <c r="P9" s="2" t="str">
        <f t="shared" si="0"/>
        <v>Saturday</v>
      </c>
      <c r="Q9" s="2" t="str">
        <f>IF(Table1[[#This Row],[temp]]&gt;=0.24,"cold","colder")</f>
        <v>colder</v>
      </c>
      <c r="R9" s="4">
        <v>1</v>
      </c>
      <c r="S9" s="16" t="str" cm="1">
        <f t="array" ref="S9">_xlfn.IFS(Table1[[#This Row],[weathersit]]=1,"clear sky",Table1[[#This Row],[weathersit]]=2,"mist",Table1[[#This Row],[weathersit]]=3,"partially dark",Table1[[#This Row],[weathersit]]=4,"rain")</f>
        <v>clear sky</v>
      </c>
    </row>
    <row r="10" spans="1:22" ht="15" customHeight="1" x14ac:dyDescent="0.3">
      <c r="A10" s="2">
        <v>9</v>
      </c>
      <c r="B10" s="3">
        <v>40552</v>
      </c>
      <c r="C10" s="2">
        <v>1</v>
      </c>
      <c r="D10" s="2">
        <v>0</v>
      </c>
      <c r="E10" s="2">
        <v>1</v>
      </c>
      <c r="F10" s="2">
        <v>8</v>
      </c>
      <c r="G10" s="2" t="b">
        <v>0</v>
      </c>
      <c r="H10" s="2">
        <v>6</v>
      </c>
      <c r="I10" s="2">
        <v>1</v>
      </c>
      <c r="J10" s="2">
        <v>0.24</v>
      </c>
      <c r="K10" s="4">
        <v>0.21179999999999999</v>
      </c>
      <c r="L10" s="4">
        <v>0.75</v>
      </c>
      <c r="M10" s="4">
        <v>0</v>
      </c>
      <c r="N10" s="4">
        <v>7</v>
      </c>
      <c r="O10" s="2">
        <v>8</v>
      </c>
      <c r="P10" s="2" t="str">
        <f t="shared" si="0"/>
        <v>Sunday</v>
      </c>
      <c r="Q10" s="2" t="str">
        <f>IF(Table1[[#This Row],[temp]]&gt;=0.24,"cold","colder")</f>
        <v>cold</v>
      </c>
      <c r="R10" s="4">
        <v>1</v>
      </c>
      <c r="S10" s="16" t="str" cm="1">
        <f t="array" ref="S10">_xlfn.IFS(Table1[[#This Row],[weathersit]]=1,"clear sky",Table1[[#This Row],[weathersit]]=2,"mist",Table1[[#This Row],[weathersit]]=3,"partially dark",Table1[[#This Row],[weathersit]]=4,"rain")</f>
        <v>clear sky</v>
      </c>
    </row>
    <row r="11" spans="1:22" ht="15" customHeight="1" x14ac:dyDescent="0.3">
      <c r="A11" s="2">
        <v>10</v>
      </c>
      <c r="B11" s="3">
        <v>40553</v>
      </c>
      <c r="C11" s="2">
        <v>1</v>
      </c>
      <c r="D11" s="2">
        <v>0</v>
      </c>
      <c r="E11" s="2">
        <v>1</v>
      </c>
      <c r="F11" s="2">
        <v>9</v>
      </c>
      <c r="G11" s="2" t="b">
        <v>0</v>
      </c>
      <c r="H11" s="2">
        <v>6</v>
      </c>
      <c r="I11" s="2">
        <v>1</v>
      </c>
      <c r="J11" s="2">
        <v>0.32</v>
      </c>
      <c r="K11" s="4">
        <v>0.34849999999999998</v>
      </c>
      <c r="L11" s="4">
        <v>0.76</v>
      </c>
      <c r="M11" s="4">
        <v>0</v>
      </c>
      <c r="N11" s="4">
        <v>6</v>
      </c>
      <c r="O11" s="2">
        <v>14</v>
      </c>
      <c r="P11" s="2" t="str">
        <f t="shared" si="0"/>
        <v>Monday</v>
      </c>
      <c r="Q11" s="2" t="str">
        <f>IF(Table1[[#This Row],[temp]]&gt;=0.24,"cold","colder")</f>
        <v>cold</v>
      </c>
      <c r="R11" s="4">
        <v>8</v>
      </c>
      <c r="S11" s="16" t="str" cm="1">
        <f t="array" ref="S11">_xlfn.IFS(Table1[[#This Row],[weathersit]]=1,"clear sky",Table1[[#This Row],[weathersit]]=2,"mist",Table1[[#This Row],[weathersit]]=3,"partially dark",Table1[[#This Row],[weathersit]]=4,"rain")</f>
        <v>clear sky</v>
      </c>
    </row>
    <row r="12" spans="1:22" ht="15" customHeight="1" x14ac:dyDescent="0.3">
      <c r="A12" s="2">
        <v>11</v>
      </c>
      <c r="B12" s="3">
        <v>40554</v>
      </c>
      <c r="C12" s="2">
        <v>1</v>
      </c>
      <c r="D12" s="2">
        <v>0</v>
      </c>
      <c r="E12" s="2">
        <v>1</v>
      </c>
      <c r="F12" s="2">
        <v>10</v>
      </c>
      <c r="G12" s="2" t="b">
        <v>0</v>
      </c>
      <c r="H12" s="2">
        <v>6</v>
      </c>
      <c r="I12" s="2">
        <v>1</v>
      </c>
      <c r="J12" s="2">
        <v>0.38</v>
      </c>
      <c r="K12" s="4">
        <v>0.39389999999999997</v>
      </c>
      <c r="L12" s="4">
        <v>0.76</v>
      </c>
      <c r="M12" s="4">
        <v>0.25369999999999998</v>
      </c>
      <c r="N12" s="4">
        <v>24</v>
      </c>
      <c r="O12" s="2">
        <v>36</v>
      </c>
      <c r="P12" s="2" t="str">
        <f t="shared" si="0"/>
        <v>Tuesday</v>
      </c>
      <c r="Q12" s="2" t="str">
        <f>IF(Table1[[#This Row],[temp]]&gt;=0.24,"cold","colder")</f>
        <v>cold</v>
      </c>
      <c r="R12" s="4">
        <v>12</v>
      </c>
      <c r="S12" s="16" t="str" cm="1">
        <f t="array" ref="S12">_xlfn.IFS(Table1[[#This Row],[weathersit]]=1,"clear sky",Table1[[#This Row],[weathersit]]=2,"mist",Table1[[#This Row],[weathersit]]=3,"partially dark",Table1[[#This Row],[weathersit]]=4,"rain")</f>
        <v>clear sky</v>
      </c>
      <c r="U12"/>
      <c r="V12"/>
    </row>
    <row r="13" spans="1:22" ht="15" customHeight="1" x14ac:dyDescent="0.3">
      <c r="A13" s="2">
        <v>12</v>
      </c>
      <c r="B13" s="3">
        <v>40555</v>
      </c>
      <c r="C13" s="2">
        <v>1</v>
      </c>
      <c r="D13" s="2">
        <v>0</v>
      </c>
      <c r="E13" s="2">
        <v>1</v>
      </c>
      <c r="F13" s="2">
        <v>11</v>
      </c>
      <c r="G13" s="2" t="b">
        <v>0</v>
      </c>
      <c r="H13" s="2">
        <v>6</v>
      </c>
      <c r="I13" s="2">
        <v>1</v>
      </c>
      <c r="J13" s="2">
        <v>0.36</v>
      </c>
      <c r="K13" s="4">
        <v>0.33329999999999999</v>
      </c>
      <c r="L13" s="4">
        <v>0.81</v>
      </c>
      <c r="M13" s="4">
        <v>0.28360000000000002</v>
      </c>
      <c r="N13" s="4">
        <v>30</v>
      </c>
      <c r="O13" s="2">
        <v>56</v>
      </c>
      <c r="P13" s="2" t="str">
        <f t="shared" si="0"/>
        <v>Wednesday</v>
      </c>
      <c r="Q13" s="2" t="str">
        <f>IF(Table1[[#This Row],[temp]]&gt;=0.24,"cold","colder")</f>
        <v>cold</v>
      </c>
      <c r="R13" s="4">
        <v>26</v>
      </c>
      <c r="S13" s="16" t="str" cm="1">
        <f t="array" ref="S13">_xlfn.IFS(Table1[[#This Row],[weathersit]]=1,"clear sky",Table1[[#This Row],[weathersit]]=2,"mist",Table1[[#This Row],[weathersit]]=3,"partially dark",Table1[[#This Row],[weathersit]]=4,"rain")</f>
        <v>clear sky</v>
      </c>
    </row>
    <row r="14" spans="1:22" ht="15" customHeight="1" x14ac:dyDescent="0.3">
      <c r="A14" s="2">
        <v>13</v>
      </c>
      <c r="B14" s="3">
        <v>40556</v>
      </c>
      <c r="C14" s="2">
        <v>1</v>
      </c>
      <c r="D14" s="2">
        <v>0</v>
      </c>
      <c r="E14" s="2">
        <v>1</v>
      </c>
      <c r="F14" s="2">
        <v>12</v>
      </c>
      <c r="G14" s="2" t="b">
        <v>0</v>
      </c>
      <c r="H14" s="2">
        <v>6</v>
      </c>
      <c r="I14" s="2">
        <v>1</v>
      </c>
      <c r="J14" s="2">
        <v>0.42</v>
      </c>
      <c r="K14" s="4">
        <v>0.42420000000000002</v>
      </c>
      <c r="L14" s="4">
        <v>0.77</v>
      </c>
      <c r="M14" s="4">
        <v>0.28360000000000002</v>
      </c>
      <c r="N14" s="4">
        <v>55</v>
      </c>
      <c r="O14" s="2">
        <v>84</v>
      </c>
      <c r="P14" s="2" t="str">
        <f t="shared" si="0"/>
        <v>Thursday</v>
      </c>
      <c r="Q14" s="2" t="str">
        <f>IF(Table1[[#This Row],[temp]]&gt;=0.24,"cold","colder")</f>
        <v>cold</v>
      </c>
      <c r="R14" s="4">
        <v>29</v>
      </c>
      <c r="S14" s="16" t="str" cm="1">
        <f t="array" ref="S14">_xlfn.IFS(Table1[[#This Row],[weathersit]]=1,"clear sky",Table1[[#This Row],[weathersit]]=2,"mist",Table1[[#This Row],[weathersit]]=3,"partially dark",Table1[[#This Row],[weathersit]]=4,"rain")</f>
        <v>clear sky</v>
      </c>
    </row>
    <row r="15" spans="1:22" ht="15" customHeight="1" x14ac:dyDescent="0.3">
      <c r="A15" s="2">
        <v>14</v>
      </c>
      <c r="B15" s="3">
        <v>40557</v>
      </c>
      <c r="C15" s="2">
        <v>1</v>
      </c>
      <c r="D15" s="2">
        <v>0</v>
      </c>
      <c r="E15" s="2">
        <v>1</v>
      </c>
      <c r="F15" s="2">
        <v>13</v>
      </c>
      <c r="G15" s="2" t="b">
        <v>0</v>
      </c>
      <c r="H15" s="2">
        <v>6</v>
      </c>
      <c r="I15" s="2">
        <v>2</v>
      </c>
      <c r="J15" s="2">
        <v>0.46</v>
      </c>
      <c r="K15" s="4">
        <v>0.45450000000000002</v>
      </c>
      <c r="L15" s="4">
        <v>0.72</v>
      </c>
      <c r="M15" s="4">
        <v>0.29849999999999999</v>
      </c>
      <c r="N15" s="4">
        <v>47</v>
      </c>
      <c r="O15" s="2">
        <v>94</v>
      </c>
      <c r="P15" s="2" t="str">
        <f t="shared" si="0"/>
        <v>Friday</v>
      </c>
      <c r="Q15" s="2" t="str">
        <f>IF(Table1[[#This Row],[temp]]&gt;=0.24,"cold","colder")</f>
        <v>cold</v>
      </c>
      <c r="R15" s="4">
        <v>47</v>
      </c>
      <c r="S15" s="16" t="str" cm="1">
        <f t="array" ref="S15">_xlfn.IFS(Table1[[#This Row],[weathersit]]=1,"clear sky",Table1[[#This Row],[weathersit]]=2,"mist",Table1[[#This Row],[weathersit]]=3,"partially dark",Table1[[#This Row],[weathersit]]=4,"rain")</f>
        <v>mist</v>
      </c>
    </row>
    <row r="16" spans="1:22" ht="15" customHeight="1" x14ac:dyDescent="0.3">
      <c r="A16" s="2">
        <v>15</v>
      </c>
      <c r="B16" s="3">
        <v>40558</v>
      </c>
      <c r="C16" s="2">
        <v>1</v>
      </c>
      <c r="D16" s="2">
        <v>0</v>
      </c>
      <c r="E16" s="2">
        <v>1</v>
      </c>
      <c r="F16" s="2">
        <v>14</v>
      </c>
      <c r="G16" s="2" t="b">
        <v>0</v>
      </c>
      <c r="H16" s="2">
        <v>6</v>
      </c>
      <c r="I16" s="2">
        <v>2</v>
      </c>
      <c r="J16" s="2">
        <v>0.46</v>
      </c>
      <c r="K16" s="4">
        <v>0.45450000000000002</v>
      </c>
      <c r="L16" s="4">
        <v>0.72</v>
      </c>
      <c r="M16" s="4">
        <v>0.28360000000000002</v>
      </c>
      <c r="N16" s="4">
        <v>71</v>
      </c>
      <c r="O16" s="2">
        <v>106</v>
      </c>
      <c r="P16" s="2" t="str">
        <f t="shared" si="0"/>
        <v>Saturday</v>
      </c>
      <c r="Q16" s="2" t="str">
        <f>IF(Table1[[#This Row],[temp]]&gt;=0.24,"cold","colder")</f>
        <v>cold</v>
      </c>
      <c r="R16" s="4">
        <v>35</v>
      </c>
      <c r="S16" s="16" t="str" cm="1">
        <f t="array" ref="S16">_xlfn.IFS(Table1[[#This Row],[weathersit]]=1,"clear sky",Table1[[#This Row],[weathersit]]=2,"mist",Table1[[#This Row],[weathersit]]=3,"partially dark",Table1[[#This Row],[weathersit]]=4,"rain")</f>
        <v>mist</v>
      </c>
    </row>
    <row r="17" spans="1:19" ht="15" customHeight="1" x14ac:dyDescent="0.3">
      <c r="A17" s="2">
        <v>16</v>
      </c>
      <c r="B17" s="3">
        <v>40559</v>
      </c>
      <c r="C17" s="2">
        <v>1</v>
      </c>
      <c r="D17" s="2">
        <v>0</v>
      </c>
      <c r="E17" s="2">
        <v>1</v>
      </c>
      <c r="F17" s="2">
        <v>15</v>
      </c>
      <c r="G17" s="2" t="b">
        <v>0</v>
      </c>
      <c r="H17" s="2">
        <v>6</v>
      </c>
      <c r="I17" s="2">
        <v>2</v>
      </c>
      <c r="J17" s="2">
        <v>0.44</v>
      </c>
      <c r="K17" s="4">
        <v>0.43940000000000001</v>
      </c>
      <c r="L17" s="4">
        <v>0.77</v>
      </c>
      <c r="M17" s="4">
        <v>0.29849999999999999</v>
      </c>
      <c r="N17" s="4">
        <v>70</v>
      </c>
      <c r="O17" s="2">
        <v>110</v>
      </c>
      <c r="P17" s="2" t="str">
        <f t="shared" si="0"/>
        <v>Sunday</v>
      </c>
      <c r="Q17" s="2" t="str">
        <f>IF(Table1[[#This Row],[temp]]&gt;=0.24,"cold","colder")</f>
        <v>cold</v>
      </c>
      <c r="R17" s="4">
        <v>40</v>
      </c>
      <c r="S17" s="16" t="str" cm="1">
        <f t="array" ref="S17">_xlfn.IFS(Table1[[#This Row],[weathersit]]=1,"clear sky",Table1[[#This Row],[weathersit]]=2,"mist",Table1[[#This Row],[weathersit]]=3,"partially dark",Table1[[#This Row],[weathersit]]=4,"rain")</f>
        <v>mist</v>
      </c>
    </row>
    <row r="18" spans="1:19" ht="15" customHeight="1" x14ac:dyDescent="0.3">
      <c r="A18" s="2">
        <v>17</v>
      </c>
      <c r="B18" s="3">
        <v>40560</v>
      </c>
      <c r="C18" s="2">
        <v>1</v>
      </c>
      <c r="D18" s="2">
        <v>0</v>
      </c>
      <c r="E18" s="2">
        <v>1</v>
      </c>
      <c r="F18" s="2">
        <v>16</v>
      </c>
      <c r="G18" s="2" t="b">
        <v>0</v>
      </c>
      <c r="H18" s="2">
        <v>6</v>
      </c>
      <c r="I18" s="2">
        <v>2</v>
      </c>
      <c r="J18" s="2">
        <v>0.42</v>
      </c>
      <c r="K18" s="4">
        <v>0.42420000000000002</v>
      </c>
      <c r="L18" s="4">
        <v>0.82</v>
      </c>
      <c r="M18" s="4">
        <v>0.29849999999999999</v>
      </c>
      <c r="O18" s="2">
        <v>93</v>
      </c>
      <c r="P18" s="2" t="str">
        <f t="shared" si="0"/>
        <v>Monday</v>
      </c>
      <c r="Q18" s="2" t="str">
        <f>IF(Table1[[#This Row],[temp]]&gt;=0.24,"cold","colder")</f>
        <v>cold</v>
      </c>
      <c r="R18" s="4">
        <v>41</v>
      </c>
      <c r="S18" s="16" t="str" cm="1">
        <f t="array" ref="S18">_xlfn.IFS(Table1[[#This Row],[weathersit]]=1,"clear sky",Table1[[#This Row],[weathersit]]=2,"mist",Table1[[#This Row],[weathersit]]=3,"partially dark",Table1[[#This Row],[weathersit]]=4,"rain")</f>
        <v>mist</v>
      </c>
    </row>
    <row r="19" spans="1:19" ht="15" customHeight="1" x14ac:dyDescent="0.3">
      <c r="A19" s="2">
        <v>18</v>
      </c>
      <c r="B19" s="3">
        <v>40561</v>
      </c>
      <c r="C19" s="2">
        <v>1</v>
      </c>
      <c r="D19" s="2">
        <v>0</v>
      </c>
      <c r="E19" s="2">
        <v>1</v>
      </c>
      <c r="F19" s="2">
        <v>17</v>
      </c>
      <c r="G19" s="2" t="b">
        <v>0</v>
      </c>
      <c r="H19" s="2">
        <v>6</v>
      </c>
      <c r="I19" s="2">
        <v>2</v>
      </c>
      <c r="J19" s="2">
        <v>0.44</v>
      </c>
      <c r="K19" s="4">
        <v>0.21179999999999999</v>
      </c>
      <c r="L19" s="4">
        <v>0.82</v>
      </c>
      <c r="M19" s="4">
        <v>0.28360000000000002</v>
      </c>
      <c r="N19" s="4">
        <v>52</v>
      </c>
      <c r="O19" s="2">
        <v>67</v>
      </c>
      <c r="P19" s="2" t="str">
        <f t="shared" si="0"/>
        <v>Tuesday</v>
      </c>
      <c r="Q19" s="2" t="str">
        <f>IF(Table1[[#This Row],[temp]]&gt;=0.24,"cold","colder")</f>
        <v>cold</v>
      </c>
      <c r="R19" s="4">
        <v>15</v>
      </c>
      <c r="S19" s="16" t="str" cm="1">
        <f t="array" ref="S19">_xlfn.IFS(Table1[[#This Row],[weathersit]]=1,"clear sky",Table1[[#This Row],[weathersit]]=2,"mist",Table1[[#This Row],[weathersit]]=3,"partially dark",Table1[[#This Row],[weathersit]]=4,"rain")</f>
        <v>mist</v>
      </c>
    </row>
    <row r="20" spans="1:19" ht="15" customHeight="1" x14ac:dyDescent="0.3">
      <c r="A20" s="2">
        <v>19</v>
      </c>
      <c r="B20" s="3">
        <v>40562</v>
      </c>
      <c r="C20" s="2">
        <v>1</v>
      </c>
      <c r="D20" s="2">
        <v>0</v>
      </c>
      <c r="E20" s="2">
        <v>1</v>
      </c>
      <c r="F20" s="2">
        <v>18</v>
      </c>
      <c r="G20" s="2" t="b">
        <v>0</v>
      </c>
      <c r="H20" s="2">
        <v>6</v>
      </c>
      <c r="I20" s="2">
        <v>3</v>
      </c>
      <c r="J20" s="2">
        <v>0.42</v>
      </c>
      <c r="K20" s="4">
        <v>0.42420000000000002</v>
      </c>
      <c r="L20" s="4">
        <v>0.88</v>
      </c>
      <c r="M20" s="4">
        <v>0.25369999999999998</v>
      </c>
      <c r="N20" s="4">
        <v>26</v>
      </c>
      <c r="O20" s="2">
        <v>35</v>
      </c>
      <c r="P20" s="2" t="str">
        <f t="shared" si="0"/>
        <v>Wednesday</v>
      </c>
      <c r="Q20" s="2" t="str">
        <f>IF(Table1[[#This Row],[temp]]&gt;=0.24,"cold","colder")</f>
        <v>cold</v>
      </c>
      <c r="R20" s="4">
        <v>9</v>
      </c>
      <c r="S20" s="16" t="str" cm="1">
        <f t="array" ref="S20">_xlfn.IFS(Table1[[#This Row],[weathersit]]=1,"clear sky",Table1[[#This Row],[weathersit]]=2,"mist",Table1[[#This Row],[weathersit]]=3,"partially dark",Table1[[#This Row],[weathersit]]=4,"rain")</f>
        <v>partially dark</v>
      </c>
    </row>
    <row r="21" spans="1:19" ht="15" customHeight="1" x14ac:dyDescent="0.3">
      <c r="A21" s="2">
        <v>20</v>
      </c>
      <c r="B21" s="3">
        <v>40563</v>
      </c>
      <c r="C21" s="2">
        <v>1</v>
      </c>
      <c r="D21" s="2">
        <v>0</v>
      </c>
      <c r="E21" s="2">
        <v>1</v>
      </c>
      <c r="F21" s="2">
        <v>19</v>
      </c>
      <c r="G21" s="2" t="b">
        <v>0</v>
      </c>
      <c r="H21" s="2">
        <v>6</v>
      </c>
      <c r="I21" s="2">
        <v>3</v>
      </c>
      <c r="J21" s="2">
        <v>0.42</v>
      </c>
      <c r="K21" s="4">
        <v>0.42420000000000002</v>
      </c>
      <c r="L21" s="4">
        <v>0.88</v>
      </c>
      <c r="M21" s="4">
        <v>0.25369999999999998</v>
      </c>
      <c r="N21" s="4">
        <v>31</v>
      </c>
      <c r="O21" s="2">
        <v>37</v>
      </c>
      <c r="P21" s="2" t="str">
        <f t="shared" si="0"/>
        <v>Thursday</v>
      </c>
      <c r="Q21" s="2" t="str">
        <f>IF(Table1[[#This Row],[temp]]&gt;=0.24,"cold","colder")</f>
        <v>cold</v>
      </c>
      <c r="R21" s="4">
        <v>6</v>
      </c>
      <c r="S21" s="16" t="str" cm="1">
        <f t="array" ref="S21">_xlfn.IFS(Table1[[#This Row],[weathersit]]=1,"clear sky",Table1[[#This Row],[weathersit]]=2,"mist",Table1[[#This Row],[weathersit]]=3,"partially dark",Table1[[#This Row],[weathersit]]=4,"rain")</f>
        <v>partially dark</v>
      </c>
    </row>
    <row r="22" spans="1:19" ht="15" customHeight="1" x14ac:dyDescent="0.3">
      <c r="A22" s="2">
        <v>21</v>
      </c>
      <c r="B22" s="3">
        <v>40564</v>
      </c>
      <c r="C22" s="2">
        <v>1</v>
      </c>
      <c r="D22" s="2">
        <v>0</v>
      </c>
      <c r="E22" s="2">
        <v>1</v>
      </c>
      <c r="F22" s="2">
        <v>20</v>
      </c>
      <c r="G22" s="2" t="b">
        <v>0</v>
      </c>
      <c r="H22" s="2">
        <v>6</v>
      </c>
      <c r="I22" s="2">
        <v>2</v>
      </c>
      <c r="J22" s="2">
        <v>0.4</v>
      </c>
      <c r="K22" s="4">
        <v>0.40910000000000002</v>
      </c>
      <c r="L22" s="4">
        <v>0.87</v>
      </c>
      <c r="M22" s="4">
        <v>0.25369999999999998</v>
      </c>
      <c r="N22" s="4">
        <v>25</v>
      </c>
      <c r="O22" s="2">
        <v>36</v>
      </c>
      <c r="P22" s="2" t="str">
        <f t="shared" si="0"/>
        <v>Friday</v>
      </c>
      <c r="Q22" s="2" t="str">
        <f>IF(Table1[[#This Row],[temp]]&gt;=0.24,"cold","colder")</f>
        <v>cold</v>
      </c>
      <c r="R22" s="4">
        <v>11</v>
      </c>
      <c r="S22" s="16" t="str" cm="1">
        <f t="array" ref="S22">_xlfn.IFS(Table1[[#This Row],[weathersit]]=1,"clear sky",Table1[[#This Row],[weathersit]]=2,"mist",Table1[[#This Row],[weathersit]]=3,"partially dark",Table1[[#This Row],[weathersit]]=4,"rain")</f>
        <v>mist</v>
      </c>
    </row>
    <row r="23" spans="1:19" ht="15" customHeight="1" x14ac:dyDescent="0.3">
      <c r="A23" s="2">
        <v>22</v>
      </c>
      <c r="B23" s="3">
        <v>40565</v>
      </c>
      <c r="C23" s="2">
        <v>1</v>
      </c>
      <c r="D23" s="2">
        <v>0</v>
      </c>
      <c r="E23" s="2">
        <v>1</v>
      </c>
      <c r="F23" s="2">
        <v>21</v>
      </c>
      <c r="G23" s="2" t="b">
        <v>0</v>
      </c>
      <c r="H23" s="2">
        <v>6</v>
      </c>
      <c r="I23" s="2">
        <v>2</v>
      </c>
      <c r="J23" s="2">
        <v>0.4</v>
      </c>
      <c r="K23" s="4">
        <v>0.40910000000000002</v>
      </c>
      <c r="L23" s="4">
        <v>0.87</v>
      </c>
      <c r="M23" s="4">
        <v>0.19400000000000001</v>
      </c>
      <c r="N23" s="4">
        <v>31</v>
      </c>
      <c r="O23" s="2">
        <v>34</v>
      </c>
      <c r="P23" s="2" t="str">
        <f t="shared" si="0"/>
        <v>Saturday</v>
      </c>
      <c r="Q23" s="2" t="str">
        <f>IF(Table1[[#This Row],[temp]]&gt;=0.24,"cold","colder")</f>
        <v>cold</v>
      </c>
      <c r="R23" s="4">
        <v>3</v>
      </c>
      <c r="S23" s="16" t="str" cm="1">
        <f t="array" ref="S23">_xlfn.IFS(Table1[[#This Row],[weathersit]]=1,"clear sky",Table1[[#This Row],[weathersit]]=2,"mist",Table1[[#This Row],[weathersit]]=3,"partially dark",Table1[[#This Row],[weathersit]]=4,"rain")</f>
        <v>mist</v>
      </c>
    </row>
    <row r="24" spans="1:19" ht="15" customHeight="1" x14ac:dyDescent="0.3">
      <c r="A24" s="2">
        <v>23</v>
      </c>
      <c r="B24" s="3">
        <v>40566</v>
      </c>
      <c r="C24" s="2">
        <v>1</v>
      </c>
      <c r="D24" s="2">
        <v>0</v>
      </c>
      <c r="E24" s="2">
        <v>1</v>
      </c>
      <c r="F24" s="2">
        <v>22</v>
      </c>
      <c r="G24" s="2" t="b">
        <v>0</v>
      </c>
      <c r="H24" s="2">
        <v>6</v>
      </c>
      <c r="I24" s="2">
        <v>2</v>
      </c>
      <c r="J24" s="2">
        <v>0.4</v>
      </c>
      <c r="K24" s="4">
        <v>0.40910000000000002</v>
      </c>
      <c r="L24" s="4">
        <v>0.94</v>
      </c>
      <c r="M24" s="4">
        <v>0.22389999999999999</v>
      </c>
      <c r="N24" s="4">
        <v>17</v>
      </c>
      <c r="O24" s="2">
        <v>28</v>
      </c>
      <c r="P24" s="2" t="str">
        <f t="shared" si="0"/>
        <v>Sunday</v>
      </c>
      <c r="Q24" s="2" t="str">
        <f>IF(Table1[[#This Row],[temp]]&gt;=0.24,"cold","colder")</f>
        <v>cold</v>
      </c>
      <c r="R24" s="4">
        <v>11</v>
      </c>
      <c r="S24" s="16" t="str" cm="1">
        <f t="array" ref="S24">_xlfn.IFS(Table1[[#This Row],[weathersit]]=1,"clear sky",Table1[[#This Row],[weathersit]]=2,"mist",Table1[[#This Row],[weathersit]]=3,"partially dark",Table1[[#This Row],[weathersit]]=4,"rain")</f>
        <v>mist</v>
      </c>
    </row>
    <row r="25" spans="1:19" ht="15" customHeight="1" x14ac:dyDescent="0.3">
      <c r="A25" s="2">
        <v>24</v>
      </c>
      <c r="B25" s="3">
        <v>40567</v>
      </c>
      <c r="C25" s="2">
        <v>1</v>
      </c>
      <c r="D25" s="2">
        <v>0</v>
      </c>
      <c r="E25" s="2">
        <v>1</v>
      </c>
      <c r="F25" s="2">
        <v>23</v>
      </c>
      <c r="G25" s="2" t="b">
        <v>0</v>
      </c>
      <c r="H25" s="2">
        <v>6</v>
      </c>
      <c r="I25" s="2">
        <v>2</v>
      </c>
      <c r="J25" s="2">
        <v>0.46</v>
      </c>
      <c r="K25" s="4">
        <v>0.21179999999999999</v>
      </c>
      <c r="L25" s="4">
        <v>0.88</v>
      </c>
      <c r="M25" s="4">
        <v>0.29849999999999999</v>
      </c>
      <c r="N25" s="4">
        <v>24</v>
      </c>
      <c r="O25" s="2">
        <v>39</v>
      </c>
      <c r="P25" s="2" t="str">
        <f t="shared" si="0"/>
        <v>Monday</v>
      </c>
      <c r="Q25" s="2" t="str">
        <f>IF(Table1[[#This Row],[temp]]&gt;=0.24,"cold","colder")</f>
        <v>cold</v>
      </c>
      <c r="R25" s="4">
        <v>15</v>
      </c>
      <c r="S25" s="16" t="str" cm="1">
        <f t="array" ref="S25">_xlfn.IFS(Table1[[#This Row],[weathersit]]=1,"clear sky",Table1[[#This Row],[weathersit]]=2,"mist",Table1[[#This Row],[weathersit]]=3,"partially dark",Table1[[#This Row],[weathersit]]=4,"rain")</f>
        <v>mist</v>
      </c>
    </row>
    <row r="26" spans="1:19" ht="15" customHeight="1" x14ac:dyDescent="0.3">
      <c r="A26" s="2">
        <v>25</v>
      </c>
      <c r="B26" s="3">
        <v>40568</v>
      </c>
      <c r="C26" s="2">
        <v>1</v>
      </c>
      <c r="D26" s="2">
        <v>0</v>
      </c>
      <c r="E26" s="2">
        <v>1</v>
      </c>
      <c r="F26" s="2">
        <v>0</v>
      </c>
      <c r="G26" s="2" t="b">
        <v>0</v>
      </c>
      <c r="H26" s="2">
        <v>0</v>
      </c>
      <c r="I26" s="2">
        <v>2</v>
      </c>
      <c r="J26" s="2">
        <v>0.46</v>
      </c>
      <c r="K26" s="4">
        <v>0.45450000000000002</v>
      </c>
      <c r="L26" s="4">
        <v>0.88</v>
      </c>
      <c r="M26" s="4">
        <v>0.29849999999999999</v>
      </c>
      <c r="N26" s="4">
        <v>13</v>
      </c>
      <c r="O26" s="2">
        <v>17</v>
      </c>
      <c r="P26" s="2" t="str">
        <f t="shared" si="0"/>
        <v>Tuesday</v>
      </c>
      <c r="Q26" s="2" t="str">
        <f>IF(Table1[[#This Row],[temp]]&gt;=0.24,"cold","colder")</f>
        <v>cold</v>
      </c>
      <c r="R26" s="4">
        <v>4</v>
      </c>
      <c r="S26" s="16" t="str" cm="1">
        <f t="array" ref="S26">_xlfn.IFS(Table1[[#This Row],[weathersit]]=1,"clear sky",Table1[[#This Row],[weathersit]]=2,"mist",Table1[[#This Row],[weathersit]]=3,"partially dark",Table1[[#This Row],[weathersit]]=4,"rain")</f>
        <v>mist</v>
      </c>
    </row>
    <row r="27" spans="1:19" ht="15" customHeight="1" x14ac:dyDescent="0.3">
      <c r="A27" s="2">
        <v>26</v>
      </c>
      <c r="B27" s="3">
        <v>40569</v>
      </c>
      <c r="C27" s="2">
        <v>1</v>
      </c>
      <c r="D27" s="2">
        <v>0</v>
      </c>
      <c r="E27" s="2">
        <v>1</v>
      </c>
      <c r="F27" s="2">
        <v>1</v>
      </c>
      <c r="G27" s="2" t="b">
        <v>0</v>
      </c>
      <c r="H27" s="2">
        <v>0</v>
      </c>
      <c r="I27" s="2">
        <v>2</v>
      </c>
      <c r="J27" s="2">
        <v>0.44</v>
      </c>
      <c r="K27" s="4">
        <v>0.43940000000000001</v>
      </c>
      <c r="L27" s="4">
        <v>0.94</v>
      </c>
      <c r="M27" s="4">
        <v>0.25369999999999998</v>
      </c>
      <c r="N27" s="4">
        <v>16</v>
      </c>
      <c r="O27" s="2">
        <v>17</v>
      </c>
      <c r="P27" s="2" t="str">
        <f t="shared" si="0"/>
        <v>Wednesday</v>
      </c>
      <c r="Q27" s="2" t="str">
        <f>IF(Table1[[#This Row],[temp]]&gt;=0.24,"cold","colder")</f>
        <v>cold</v>
      </c>
      <c r="R27" s="4">
        <v>1</v>
      </c>
      <c r="S27" s="16" t="str" cm="1">
        <f t="array" ref="S27">_xlfn.IFS(Table1[[#This Row],[weathersit]]=1,"clear sky",Table1[[#This Row],[weathersit]]=2,"mist",Table1[[#This Row],[weathersit]]=3,"partially dark",Table1[[#This Row],[weathersit]]=4,"rain")</f>
        <v>mist</v>
      </c>
    </row>
    <row r="28" spans="1:19" ht="15" customHeight="1" x14ac:dyDescent="0.3">
      <c r="A28" s="2">
        <v>27</v>
      </c>
      <c r="B28" s="3">
        <v>40570</v>
      </c>
      <c r="C28" s="2">
        <v>1</v>
      </c>
      <c r="D28" s="2">
        <v>0</v>
      </c>
      <c r="E28" s="2">
        <v>1</v>
      </c>
      <c r="F28" s="2">
        <v>2</v>
      </c>
      <c r="G28" s="2" t="b">
        <v>0</v>
      </c>
      <c r="H28" s="2">
        <v>0</v>
      </c>
      <c r="I28" s="2">
        <v>2</v>
      </c>
      <c r="J28" s="2">
        <v>0.42</v>
      </c>
      <c r="K28" s="4">
        <v>0.42420000000000002</v>
      </c>
      <c r="L28" s="4">
        <v>1</v>
      </c>
      <c r="M28" s="4">
        <v>0.28360000000000002</v>
      </c>
      <c r="N28" s="4">
        <v>8</v>
      </c>
      <c r="O28" s="2">
        <v>9</v>
      </c>
      <c r="P28" s="2" t="str">
        <f t="shared" si="0"/>
        <v>Thursday</v>
      </c>
      <c r="Q28" s="2" t="str">
        <f>IF(Table1[[#This Row],[temp]]&gt;=0.24,"cold","colder")</f>
        <v>cold</v>
      </c>
      <c r="R28" s="4">
        <v>1</v>
      </c>
      <c r="S28" s="16" t="str" cm="1">
        <f t="array" ref="S28">_xlfn.IFS(Table1[[#This Row],[weathersit]]=1,"clear sky",Table1[[#This Row],[weathersit]]=2,"mist",Table1[[#This Row],[weathersit]]=3,"partially dark",Table1[[#This Row],[weathersit]]=4,"rain")</f>
        <v>mist</v>
      </c>
    </row>
    <row r="29" spans="1:19" ht="15" customHeight="1" x14ac:dyDescent="0.3">
      <c r="A29" s="2">
        <v>28</v>
      </c>
      <c r="B29" s="3">
        <v>40571</v>
      </c>
      <c r="C29" s="2">
        <v>1</v>
      </c>
      <c r="D29" s="2">
        <v>0</v>
      </c>
      <c r="E29" s="2">
        <v>1</v>
      </c>
      <c r="F29" s="2">
        <v>3</v>
      </c>
      <c r="G29" s="2" t="b">
        <v>0</v>
      </c>
      <c r="H29" s="2">
        <v>0</v>
      </c>
      <c r="I29" s="2">
        <v>2</v>
      </c>
      <c r="J29" s="2">
        <v>0.46</v>
      </c>
      <c r="K29" s="4">
        <v>0.45450000000000002</v>
      </c>
      <c r="L29" s="4">
        <v>0.94</v>
      </c>
      <c r="M29" s="4">
        <v>0.19400000000000001</v>
      </c>
      <c r="N29" s="4">
        <v>4</v>
      </c>
      <c r="O29" s="2">
        <v>6</v>
      </c>
      <c r="P29" s="2" t="str">
        <f t="shared" si="0"/>
        <v>Friday</v>
      </c>
      <c r="Q29" s="2" t="str">
        <f>IF(Table1[[#This Row],[temp]]&gt;=0.24,"cold","colder")</f>
        <v>cold</v>
      </c>
      <c r="R29" s="4">
        <v>2</v>
      </c>
      <c r="S29" s="16" t="str" cm="1">
        <f t="array" ref="S29">_xlfn.IFS(Table1[[#This Row],[weathersit]]=1,"clear sky",Table1[[#This Row],[weathersit]]=2,"mist",Table1[[#This Row],[weathersit]]=3,"partially dark",Table1[[#This Row],[weathersit]]=4,"rain")</f>
        <v>mist</v>
      </c>
    </row>
    <row r="30" spans="1:19" ht="15" customHeight="1" x14ac:dyDescent="0.3">
      <c r="A30" s="2">
        <v>29</v>
      </c>
      <c r="B30" s="3">
        <v>40572</v>
      </c>
      <c r="C30" s="2">
        <v>1</v>
      </c>
      <c r="D30" s="2">
        <v>0</v>
      </c>
      <c r="E30" s="2">
        <v>1</v>
      </c>
      <c r="F30" s="2">
        <v>4</v>
      </c>
      <c r="G30" s="2" t="b">
        <v>0</v>
      </c>
      <c r="H30" s="2">
        <v>0</v>
      </c>
      <c r="I30" s="2">
        <v>2</v>
      </c>
      <c r="J30" s="2">
        <v>0.46</v>
      </c>
      <c r="K30" s="4">
        <v>0.21179999999999999</v>
      </c>
      <c r="L30" s="4">
        <v>0.94</v>
      </c>
      <c r="M30" s="4">
        <v>0.19400000000000001</v>
      </c>
      <c r="N30" s="4">
        <v>1</v>
      </c>
      <c r="O30" s="2">
        <v>3</v>
      </c>
      <c r="P30" s="2" t="str">
        <f t="shared" si="0"/>
        <v>Saturday</v>
      </c>
      <c r="Q30" s="2" t="str">
        <f>IF(Table1[[#This Row],[temp]]&gt;=0.24,"cold","colder")</f>
        <v>cold</v>
      </c>
      <c r="R30" s="4">
        <v>2</v>
      </c>
      <c r="S30" s="16" t="str" cm="1">
        <f t="array" ref="S30">_xlfn.IFS(Table1[[#This Row],[weathersit]]=1,"clear sky",Table1[[#This Row],[weathersit]]=2,"mist",Table1[[#This Row],[weathersit]]=3,"partially dark",Table1[[#This Row],[weathersit]]=4,"rain")</f>
        <v>mist</v>
      </c>
    </row>
    <row r="31" spans="1:19" ht="15" customHeight="1" x14ac:dyDescent="0.3">
      <c r="A31" s="2">
        <v>30</v>
      </c>
      <c r="B31" s="3">
        <v>40573</v>
      </c>
      <c r="C31" s="2">
        <v>1</v>
      </c>
      <c r="D31" s="2">
        <v>0</v>
      </c>
      <c r="E31" s="2">
        <v>1</v>
      </c>
      <c r="F31" s="2">
        <v>6</v>
      </c>
      <c r="G31" s="2" t="b">
        <v>0</v>
      </c>
      <c r="H31" s="2">
        <v>0</v>
      </c>
      <c r="I31" s="2">
        <v>3</v>
      </c>
      <c r="J31" s="2">
        <v>0.42</v>
      </c>
      <c r="K31" s="4">
        <v>0.42420000000000002</v>
      </c>
      <c r="L31" s="4">
        <v>0.77</v>
      </c>
      <c r="M31" s="4">
        <v>0.29849999999999999</v>
      </c>
      <c r="N31" s="4">
        <v>2</v>
      </c>
      <c r="O31" s="2">
        <v>2</v>
      </c>
      <c r="P31" s="2" t="str">
        <f t="shared" si="0"/>
        <v>Sunday</v>
      </c>
      <c r="Q31" s="2" t="str">
        <f>IF(Table1[[#This Row],[temp]]&gt;=0.24,"cold","colder")</f>
        <v>cold</v>
      </c>
      <c r="R31" s="4">
        <v>0</v>
      </c>
      <c r="S31" s="16" t="str" cm="1">
        <f t="array" ref="S31">_xlfn.IFS(Table1[[#This Row],[weathersit]]=1,"clear sky",Table1[[#This Row],[weathersit]]=2,"mist",Table1[[#This Row],[weathersit]]=3,"partially dark",Table1[[#This Row],[weathersit]]=4,"rain")</f>
        <v>partially dark</v>
      </c>
    </row>
    <row r="32" spans="1:19" ht="15" customHeight="1" x14ac:dyDescent="0.3">
      <c r="A32" s="2">
        <v>31</v>
      </c>
      <c r="B32" s="3">
        <v>40574</v>
      </c>
      <c r="C32" s="2">
        <v>1</v>
      </c>
      <c r="D32" s="2">
        <v>0</v>
      </c>
      <c r="E32" s="2">
        <v>1</v>
      </c>
      <c r="F32" s="2">
        <v>7</v>
      </c>
      <c r="G32" s="2" t="b">
        <v>0</v>
      </c>
      <c r="H32" s="2">
        <v>0</v>
      </c>
      <c r="I32" s="2">
        <v>2</v>
      </c>
      <c r="J32" s="2">
        <v>0.4</v>
      </c>
      <c r="K32" s="4">
        <v>0.40910000000000002</v>
      </c>
      <c r="L32" s="4">
        <v>0.76</v>
      </c>
      <c r="M32" s="4">
        <v>0.19400000000000001</v>
      </c>
      <c r="N32" s="4">
        <v>1</v>
      </c>
      <c r="O32" s="2">
        <v>1</v>
      </c>
      <c r="P32" s="2" t="str">
        <f t="shared" si="0"/>
        <v>Monday</v>
      </c>
      <c r="Q32" s="2" t="str">
        <f>IF(Table1[[#This Row],[temp]]&gt;=0.24,"cold","colder")</f>
        <v>cold</v>
      </c>
      <c r="R32" s="4">
        <v>0</v>
      </c>
      <c r="S32" s="16" t="str" cm="1">
        <f t="array" ref="S32">_xlfn.IFS(Table1[[#This Row],[weathersit]]=1,"clear sky",Table1[[#This Row],[weathersit]]=2,"mist",Table1[[#This Row],[weathersit]]=3,"partially dark",Table1[[#This Row],[weathersit]]=4,"rain")</f>
        <v>mist</v>
      </c>
    </row>
    <row r="33" spans="1:19" ht="15" customHeight="1" x14ac:dyDescent="0.3">
      <c r="A33" s="2">
        <v>32</v>
      </c>
      <c r="B33" s="3">
        <v>40575</v>
      </c>
      <c r="C33" s="2">
        <v>1</v>
      </c>
      <c r="D33" s="2">
        <v>0</v>
      </c>
      <c r="E33" s="2">
        <v>1</v>
      </c>
      <c r="F33" s="2">
        <v>8</v>
      </c>
      <c r="G33" s="2" t="b">
        <v>0</v>
      </c>
      <c r="H33" s="2">
        <v>0</v>
      </c>
      <c r="I33" s="2">
        <v>3</v>
      </c>
      <c r="J33" s="2">
        <v>0.4</v>
      </c>
      <c r="K33" s="4">
        <v>0.40910000000000002</v>
      </c>
      <c r="L33" s="4">
        <v>0.71</v>
      </c>
      <c r="M33" s="4">
        <v>0.22389999999999999</v>
      </c>
      <c r="N33" s="4">
        <v>8</v>
      </c>
      <c r="O33" s="2">
        <v>8</v>
      </c>
      <c r="P33" s="2" t="str">
        <f t="shared" si="0"/>
        <v>Tuesday</v>
      </c>
      <c r="Q33" s="2" t="str">
        <f>IF(Table1[[#This Row],[temp]]&gt;=0.24,"cold","colder")</f>
        <v>cold</v>
      </c>
      <c r="R33" s="4">
        <v>0</v>
      </c>
      <c r="S33" s="16" t="str" cm="1">
        <f t="array" ref="S33">_xlfn.IFS(Table1[[#This Row],[weathersit]]=1,"clear sky",Table1[[#This Row],[weathersit]]=2,"mist",Table1[[#This Row],[weathersit]]=3,"partially dark",Table1[[#This Row],[weathersit]]=4,"rain")</f>
        <v>partially dark</v>
      </c>
    </row>
    <row r="34" spans="1:19" ht="15" customHeight="1" x14ac:dyDescent="0.3">
      <c r="A34" s="2">
        <v>33</v>
      </c>
      <c r="B34" s="3">
        <v>40576</v>
      </c>
      <c r="C34" s="2">
        <v>1</v>
      </c>
      <c r="D34" s="2">
        <v>0</v>
      </c>
      <c r="E34" s="2">
        <v>1</v>
      </c>
      <c r="F34" s="2">
        <v>9</v>
      </c>
      <c r="G34" s="2" t="b">
        <v>0</v>
      </c>
      <c r="H34" s="2">
        <v>0</v>
      </c>
      <c r="I34" s="2">
        <v>2</v>
      </c>
      <c r="J34" s="2">
        <v>0.38</v>
      </c>
      <c r="K34" s="4">
        <v>0.21179999999999999</v>
      </c>
      <c r="L34" s="4">
        <v>0.76</v>
      </c>
      <c r="M34" s="4">
        <v>0.22389999999999999</v>
      </c>
      <c r="N34" s="4">
        <v>19</v>
      </c>
      <c r="O34" s="2">
        <v>20</v>
      </c>
      <c r="P34" s="2" t="str">
        <f t="shared" si="0"/>
        <v>Wednesday</v>
      </c>
      <c r="Q34" s="2" t="str">
        <f>IF(Table1[[#This Row],[temp]]&gt;=0.24,"cold","colder")</f>
        <v>cold</v>
      </c>
      <c r="R34" s="4">
        <v>1</v>
      </c>
      <c r="S34" s="16" t="str" cm="1">
        <f t="array" ref="S34">_xlfn.IFS(Table1[[#This Row],[weathersit]]=1,"clear sky",Table1[[#This Row],[weathersit]]=2,"mist",Table1[[#This Row],[weathersit]]=3,"partially dark",Table1[[#This Row],[weathersit]]=4,"rain")</f>
        <v>mist</v>
      </c>
    </row>
    <row r="35" spans="1:19" ht="15" customHeight="1" x14ac:dyDescent="0.3">
      <c r="A35" s="2">
        <v>34</v>
      </c>
      <c r="B35" s="3">
        <v>40577</v>
      </c>
      <c r="C35" s="2">
        <v>1</v>
      </c>
      <c r="D35" s="2">
        <v>0</v>
      </c>
      <c r="E35" s="2">
        <v>1</v>
      </c>
      <c r="F35" s="2">
        <v>10</v>
      </c>
      <c r="G35" s="2" t="b">
        <v>0</v>
      </c>
      <c r="H35" s="2">
        <v>0</v>
      </c>
      <c r="I35" s="2">
        <v>2</v>
      </c>
      <c r="J35" s="2">
        <v>0.36</v>
      </c>
      <c r="K35" s="4">
        <v>0.34849999999999998</v>
      </c>
      <c r="L35" s="4">
        <v>0.81</v>
      </c>
      <c r="M35" s="4">
        <v>0.22389999999999999</v>
      </c>
      <c r="N35" s="4">
        <v>46</v>
      </c>
      <c r="O35" s="2">
        <v>53</v>
      </c>
      <c r="P35" s="2" t="str">
        <f t="shared" si="0"/>
        <v>Thursday</v>
      </c>
      <c r="Q35" s="2" t="str">
        <f>IF(Table1[[#This Row],[temp]]&gt;=0.24,"cold","colder")</f>
        <v>cold</v>
      </c>
      <c r="R35" s="4">
        <v>7</v>
      </c>
      <c r="S35" s="16" t="str" cm="1">
        <f t="array" ref="S35">_xlfn.IFS(Table1[[#This Row],[weathersit]]=1,"clear sky",Table1[[#This Row],[weathersit]]=2,"mist",Table1[[#This Row],[weathersit]]=3,"partially dark",Table1[[#This Row],[weathersit]]=4,"rain")</f>
        <v>mist</v>
      </c>
    </row>
    <row r="36" spans="1:19" ht="15" customHeight="1" x14ac:dyDescent="0.3">
      <c r="A36" s="2">
        <v>35</v>
      </c>
      <c r="B36" s="3">
        <v>40578</v>
      </c>
      <c r="C36" s="2">
        <v>1</v>
      </c>
      <c r="D36" s="2">
        <v>0</v>
      </c>
      <c r="E36" s="2">
        <v>1</v>
      </c>
      <c r="F36" s="2">
        <v>11</v>
      </c>
      <c r="G36" s="2" t="b">
        <v>0</v>
      </c>
      <c r="H36" s="2">
        <v>0</v>
      </c>
      <c r="I36" s="2">
        <v>2</v>
      </c>
      <c r="J36" s="2">
        <v>0.36</v>
      </c>
      <c r="K36" s="4">
        <v>0.33329999999999999</v>
      </c>
      <c r="L36" s="4">
        <v>0.71</v>
      </c>
      <c r="M36" s="4">
        <v>0.25369999999999998</v>
      </c>
      <c r="N36" s="4">
        <v>54</v>
      </c>
      <c r="O36" s="2">
        <v>70</v>
      </c>
      <c r="P36" s="2" t="str">
        <f t="shared" si="0"/>
        <v>Friday</v>
      </c>
      <c r="Q36" s="2" t="str">
        <f>IF(Table1[[#This Row],[temp]]&gt;=0.24,"cold","colder")</f>
        <v>cold</v>
      </c>
      <c r="R36" s="4">
        <v>16</v>
      </c>
      <c r="S36" s="16" t="str" cm="1">
        <f t="array" ref="S36">_xlfn.IFS(Table1[[#This Row],[weathersit]]=1,"clear sky",Table1[[#This Row],[weathersit]]=2,"mist",Table1[[#This Row],[weathersit]]=3,"partially dark",Table1[[#This Row],[weathersit]]=4,"rain")</f>
        <v>mist</v>
      </c>
    </row>
    <row r="37" spans="1:19" ht="15" customHeight="1" x14ac:dyDescent="0.3">
      <c r="A37" s="2">
        <v>36</v>
      </c>
      <c r="B37" s="3">
        <v>40579</v>
      </c>
      <c r="C37" s="2">
        <v>1</v>
      </c>
      <c r="D37" s="2">
        <v>0</v>
      </c>
      <c r="E37" s="2">
        <v>1</v>
      </c>
      <c r="F37" s="2">
        <v>12</v>
      </c>
      <c r="G37" s="2" t="b">
        <v>0</v>
      </c>
      <c r="H37" s="2">
        <v>0</v>
      </c>
      <c r="I37" s="2">
        <v>2</v>
      </c>
      <c r="J37" s="2">
        <v>0.36</v>
      </c>
      <c r="K37" s="4">
        <v>0.33329999999999999</v>
      </c>
      <c r="L37" s="4">
        <v>0.66</v>
      </c>
      <c r="M37" s="4">
        <v>0.29849999999999999</v>
      </c>
      <c r="N37" s="4">
        <v>73</v>
      </c>
      <c r="O37" s="2">
        <v>93</v>
      </c>
      <c r="P37" s="2" t="str">
        <f t="shared" si="0"/>
        <v>Saturday</v>
      </c>
      <c r="Q37" s="2" t="str">
        <f>IF(Table1[[#This Row],[temp]]&gt;=0.24,"cold","colder")</f>
        <v>cold</v>
      </c>
      <c r="R37" s="4">
        <v>20</v>
      </c>
      <c r="S37" s="16" t="str" cm="1">
        <f t="array" ref="S37">_xlfn.IFS(Table1[[#This Row],[weathersit]]=1,"clear sky",Table1[[#This Row],[weathersit]]=2,"mist",Table1[[#This Row],[weathersit]]=3,"partially dark",Table1[[#This Row],[weathersit]]=4,"rain")</f>
        <v>mist</v>
      </c>
    </row>
    <row r="38" spans="1:19" ht="15" customHeight="1" x14ac:dyDescent="0.3">
      <c r="A38" s="2">
        <v>37</v>
      </c>
      <c r="B38" s="3">
        <v>40580</v>
      </c>
      <c r="C38" s="2">
        <v>1</v>
      </c>
      <c r="D38" s="2">
        <v>0</v>
      </c>
      <c r="E38" s="2">
        <v>1</v>
      </c>
      <c r="F38" s="2">
        <v>13</v>
      </c>
      <c r="G38" s="2" t="b">
        <v>0</v>
      </c>
      <c r="H38" s="2">
        <v>0</v>
      </c>
      <c r="I38" s="2">
        <v>2</v>
      </c>
      <c r="J38" s="2">
        <v>0.36</v>
      </c>
      <c r="K38" s="4">
        <v>0.34849999999999998</v>
      </c>
      <c r="L38" s="4">
        <v>0.66</v>
      </c>
      <c r="M38" s="4">
        <v>0.1343</v>
      </c>
      <c r="N38" s="4">
        <v>64</v>
      </c>
      <c r="O38" s="2">
        <v>75</v>
      </c>
      <c r="P38" s="2" t="str">
        <f t="shared" si="0"/>
        <v>Sunday</v>
      </c>
      <c r="Q38" s="2" t="str">
        <f>IF(Table1[[#This Row],[temp]]&gt;=0.24,"cold","colder")</f>
        <v>cold</v>
      </c>
      <c r="R38" s="4">
        <v>11</v>
      </c>
      <c r="S38" s="16" t="str" cm="1">
        <f t="array" ref="S38">_xlfn.IFS(Table1[[#This Row],[weathersit]]=1,"clear sky",Table1[[#This Row],[weathersit]]=2,"mist",Table1[[#This Row],[weathersit]]=3,"partially dark",Table1[[#This Row],[weathersit]]=4,"rain")</f>
        <v>mist</v>
      </c>
    </row>
    <row r="39" spans="1:19" ht="15" customHeight="1" x14ac:dyDescent="0.3">
      <c r="A39" s="2">
        <v>38</v>
      </c>
      <c r="B39" s="3">
        <v>40581</v>
      </c>
      <c r="C39" s="2">
        <v>1</v>
      </c>
      <c r="D39" s="2">
        <v>0</v>
      </c>
      <c r="E39" s="2">
        <v>1</v>
      </c>
      <c r="F39" s="2">
        <v>14</v>
      </c>
      <c r="G39" s="2" t="b">
        <v>0</v>
      </c>
      <c r="H39" s="2">
        <v>0</v>
      </c>
      <c r="I39" s="2">
        <v>3</v>
      </c>
      <c r="J39" s="2">
        <v>0.36</v>
      </c>
      <c r="K39" s="4">
        <v>0.21179999999999999</v>
      </c>
      <c r="L39" s="4">
        <v>0.76</v>
      </c>
      <c r="M39" s="4">
        <v>0.19400000000000001</v>
      </c>
      <c r="N39" s="4">
        <v>55</v>
      </c>
      <c r="O39" s="2">
        <v>59</v>
      </c>
      <c r="P39" s="2" t="str">
        <f t="shared" si="0"/>
        <v>Monday</v>
      </c>
      <c r="Q39" s="2" t="str">
        <f>IF(Table1[[#This Row],[temp]]&gt;=0.24,"cold","colder")</f>
        <v>cold</v>
      </c>
      <c r="R39" s="4">
        <v>4</v>
      </c>
      <c r="S39" s="16" t="str" cm="1">
        <f t="array" ref="S39">_xlfn.IFS(Table1[[#This Row],[weathersit]]=1,"clear sky",Table1[[#This Row],[weathersit]]=2,"mist",Table1[[#This Row],[weathersit]]=3,"partially dark",Table1[[#This Row],[weathersit]]=4,"rain")</f>
        <v>partially dark</v>
      </c>
    </row>
    <row r="40" spans="1:19" ht="15" customHeight="1" x14ac:dyDescent="0.3">
      <c r="A40" s="2">
        <v>39</v>
      </c>
      <c r="B40" s="3">
        <v>40582</v>
      </c>
      <c r="C40" s="2">
        <v>1</v>
      </c>
      <c r="D40" s="2">
        <v>0</v>
      </c>
      <c r="E40" s="2">
        <v>1</v>
      </c>
      <c r="F40" s="2">
        <v>15</v>
      </c>
      <c r="G40" s="2" t="b">
        <v>0</v>
      </c>
      <c r="H40" s="2">
        <v>0</v>
      </c>
      <c r="I40" s="2">
        <v>3</v>
      </c>
      <c r="J40" s="2">
        <v>0.34</v>
      </c>
      <c r="K40" s="4">
        <v>0.33329999999999999</v>
      </c>
      <c r="L40" s="4">
        <v>0.81</v>
      </c>
      <c r="M40" s="4">
        <v>0.16420000000000001</v>
      </c>
      <c r="N40" s="4">
        <v>55</v>
      </c>
      <c r="O40" s="2">
        <v>74</v>
      </c>
      <c r="P40" s="2" t="str">
        <f t="shared" si="0"/>
        <v>Tuesday</v>
      </c>
      <c r="Q40" s="2" t="str">
        <f>IF(Table1[[#This Row],[temp]]&gt;=0.24,"cold","colder")</f>
        <v>cold</v>
      </c>
      <c r="R40" s="4">
        <v>19</v>
      </c>
      <c r="S40" s="16" t="str" cm="1">
        <f t="array" ref="S40">_xlfn.IFS(Table1[[#This Row],[weathersit]]=1,"clear sky",Table1[[#This Row],[weathersit]]=2,"mist",Table1[[#This Row],[weathersit]]=3,"partially dark",Table1[[#This Row],[weathersit]]=4,"rain")</f>
        <v>partially dark</v>
      </c>
    </row>
    <row r="41" spans="1:19" ht="15" customHeight="1" x14ac:dyDescent="0.3">
      <c r="A41" s="2">
        <v>40</v>
      </c>
      <c r="B41" s="3">
        <v>40583</v>
      </c>
      <c r="C41" s="2">
        <v>1</v>
      </c>
      <c r="D41" s="2">
        <v>0</v>
      </c>
      <c r="E41" s="2">
        <v>1</v>
      </c>
      <c r="F41" s="2">
        <v>16</v>
      </c>
      <c r="G41" s="2" t="b">
        <v>0</v>
      </c>
      <c r="H41" s="2">
        <v>0</v>
      </c>
      <c r="I41" s="2">
        <v>3</v>
      </c>
      <c r="J41" s="2">
        <v>0.34</v>
      </c>
      <c r="K41" s="4">
        <v>0.33329999999999999</v>
      </c>
      <c r="L41" s="4">
        <v>0.71</v>
      </c>
      <c r="M41" s="4">
        <v>0.16420000000000001</v>
      </c>
      <c r="N41" s="4">
        <v>67</v>
      </c>
      <c r="O41" s="2">
        <v>76</v>
      </c>
      <c r="P41" s="2" t="str">
        <f t="shared" si="0"/>
        <v>Wednesday</v>
      </c>
      <c r="Q41" s="2" t="str">
        <f>IF(Table1[[#This Row],[temp]]&gt;=0.24,"cold","colder")</f>
        <v>cold</v>
      </c>
      <c r="R41" s="4">
        <v>9</v>
      </c>
      <c r="S41" s="16" t="str" cm="1">
        <f t="array" ref="S41">_xlfn.IFS(Table1[[#This Row],[weathersit]]=1,"clear sky",Table1[[#This Row],[weathersit]]=2,"mist",Table1[[#This Row],[weathersit]]=3,"partially dark",Table1[[#This Row],[weathersit]]=4,"rain")</f>
        <v>partially dark</v>
      </c>
    </row>
    <row r="42" spans="1:19" ht="15" customHeight="1" x14ac:dyDescent="0.3">
      <c r="A42" s="2">
        <v>41</v>
      </c>
      <c r="B42" s="3">
        <v>40584</v>
      </c>
      <c r="C42" s="2">
        <v>1</v>
      </c>
      <c r="D42" s="2">
        <v>0</v>
      </c>
      <c r="E42" s="2">
        <v>1</v>
      </c>
      <c r="F42" s="2">
        <v>17</v>
      </c>
      <c r="G42" s="2" t="b">
        <v>0</v>
      </c>
      <c r="H42" s="2">
        <v>0</v>
      </c>
      <c r="I42" s="2">
        <v>1</v>
      </c>
      <c r="J42" s="2">
        <v>0.34</v>
      </c>
      <c r="K42" s="4">
        <v>0.33329999999999999</v>
      </c>
      <c r="L42" s="4">
        <v>0.56999999999999995</v>
      </c>
      <c r="M42" s="4">
        <v>0.19400000000000001</v>
      </c>
      <c r="N42" s="4">
        <v>58</v>
      </c>
      <c r="O42" s="2">
        <v>65</v>
      </c>
      <c r="P42" s="2" t="str">
        <f t="shared" si="0"/>
        <v>Thursday</v>
      </c>
      <c r="Q42" s="2" t="str">
        <f>IF(Table1[[#This Row],[temp]]&gt;=0.24,"cold","colder")</f>
        <v>cold</v>
      </c>
      <c r="R42" s="4">
        <v>7</v>
      </c>
      <c r="S42" s="16" t="str" cm="1">
        <f t="array" ref="S42">_xlfn.IFS(Table1[[#This Row],[weathersit]]=1,"clear sky",Table1[[#This Row],[weathersit]]=2,"mist",Table1[[#This Row],[weathersit]]=3,"partially dark",Table1[[#This Row],[weathersit]]=4,"rain")</f>
        <v>clear sky</v>
      </c>
    </row>
    <row r="43" spans="1:19" ht="15" customHeight="1" x14ac:dyDescent="0.3">
      <c r="A43" s="2">
        <v>42</v>
      </c>
      <c r="B43" s="3">
        <v>40585</v>
      </c>
      <c r="C43" s="2">
        <v>1</v>
      </c>
      <c r="D43" s="2">
        <v>0</v>
      </c>
      <c r="E43" s="2">
        <v>1</v>
      </c>
      <c r="F43" s="2">
        <v>18</v>
      </c>
      <c r="G43" s="2" t="b">
        <v>0</v>
      </c>
      <c r="H43" s="2">
        <v>0</v>
      </c>
      <c r="I43" s="2">
        <v>2</v>
      </c>
      <c r="J43" s="2">
        <v>0.36</v>
      </c>
      <c r="K43" s="4">
        <v>0.33329999999999999</v>
      </c>
      <c r="L43" s="4">
        <v>0.46</v>
      </c>
      <c r="M43" s="4">
        <v>0.32840000000000003</v>
      </c>
      <c r="N43" s="4">
        <v>43</v>
      </c>
      <c r="O43" s="2">
        <v>53</v>
      </c>
      <c r="P43" s="2" t="str">
        <f t="shared" si="0"/>
        <v>Friday</v>
      </c>
      <c r="Q43" s="2" t="str">
        <f>IF(Table1[[#This Row],[temp]]&gt;=0.24,"cold","colder")</f>
        <v>cold</v>
      </c>
      <c r="R43" s="4">
        <v>10</v>
      </c>
      <c r="S43" s="16" t="str" cm="1">
        <f t="array" ref="S43">_xlfn.IFS(Table1[[#This Row],[weathersit]]=1,"clear sky",Table1[[#This Row],[weathersit]]=2,"mist",Table1[[#This Row],[weathersit]]=3,"partially dark",Table1[[#This Row],[weathersit]]=4,"rain")</f>
        <v>mist</v>
      </c>
    </row>
    <row r="44" spans="1:19" ht="15" customHeight="1" x14ac:dyDescent="0.3">
      <c r="A44" s="2">
        <v>43</v>
      </c>
      <c r="B44" s="3">
        <v>40586</v>
      </c>
      <c r="C44" s="2">
        <v>1</v>
      </c>
      <c r="D44" s="2">
        <v>0</v>
      </c>
      <c r="E44" s="2">
        <v>1</v>
      </c>
      <c r="F44" s="2">
        <v>19</v>
      </c>
      <c r="G44" s="2" t="b">
        <v>0</v>
      </c>
      <c r="H44" s="2">
        <v>0</v>
      </c>
      <c r="I44" s="2">
        <v>1</v>
      </c>
      <c r="J44" s="2">
        <v>0.32</v>
      </c>
      <c r="K44" s="4">
        <v>0.28789999999999999</v>
      </c>
      <c r="L44" s="4">
        <v>0.42</v>
      </c>
      <c r="M44" s="4">
        <v>0.44779999999999998</v>
      </c>
      <c r="N44" s="4">
        <v>29</v>
      </c>
      <c r="O44" s="2">
        <v>30</v>
      </c>
      <c r="P44" s="2" t="str">
        <f t="shared" si="0"/>
        <v>Saturday</v>
      </c>
      <c r="Q44" s="2" t="str">
        <f>IF(Table1[[#This Row],[temp]]&gt;=0.24,"cold","colder")</f>
        <v>cold</v>
      </c>
      <c r="R44" s="4">
        <v>1</v>
      </c>
      <c r="S44" s="16" t="str" cm="1">
        <f t="array" ref="S44">_xlfn.IFS(Table1[[#This Row],[weathersit]]=1,"clear sky",Table1[[#This Row],[weathersit]]=2,"mist",Table1[[#This Row],[weathersit]]=3,"partially dark",Table1[[#This Row],[weathersit]]=4,"rain")</f>
        <v>clear sky</v>
      </c>
    </row>
    <row r="45" spans="1:19" ht="15" customHeight="1" x14ac:dyDescent="0.3">
      <c r="A45" s="2">
        <v>44</v>
      </c>
      <c r="B45" s="3">
        <v>40587</v>
      </c>
      <c r="C45" s="2">
        <v>1</v>
      </c>
      <c r="D45" s="2">
        <v>0</v>
      </c>
      <c r="E45" s="2">
        <v>1</v>
      </c>
      <c r="F45" s="2">
        <v>20</v>
      </c>
      <c r="G45" s="2" t="b">
        <v>0</v>
      </c>
      <c r="H45" s="2">
        <v>0</v>
      </c>
      <c r="I45" s="2">
        <v>1</v>
      </c>
      <c r="J45" s="2">
        <v>0.3</v>
      </c>
      <c r="K45" s="4">
        <v>0.21179999999999999</v>
      </c>
      <c r="L45" s="4">
        <v>0.39</v>
      </c>
      <c r="M45" s="4">
        <v>0.35820000000000002</v>
      </c>
      <c r="N45" s="4">
        <v>17</v>
      </c>
      <c r="O45" s="2">
        <v>22</v>
      </c>
      <c r="P45" s="2" t="str">
        <f t="shared" si="0"/>
        <v>Sunday</v>
      </c>
      <c r="Q45" s="2" t="str">
        <f>IF(Table1[[#This Row],[temp]]&gt;=0.24,"cold","colder")</f>
        <v>cold</v>
      </c>
      <c r="R45" s="4">
        <v>5</v>
      </c>
      <c r="S45" s="16" t="str" cm="1">
        <f t="array" ref="S45">_xlfn.IFS(Table1[[#This Row],[weathersit]]=1,"clear sky",Table1[[#This Row],[weathersit]]=2,"mist",Table1[[#This Row],[weathersit]]=3,"partially dark",Table1[[#This Row],[weathersit]]=4,"rain")</f>
        <v>clear sky</v>
      </c>
    </row>
    <row r="46" spans="1:19" ht="15" customHeight="1" x14ac:dyDescent="0.3">
      <c r="A46" s="2">
        <v>45</v>
      </c>
      <c r="B46" s="3">
        <v>40588</v>
      </c>
      <c r="C46" s="2">
        <v>1</v>
      </c>
      <c r="D46" s="2">
        <v>0</v>
      </c>
      <c r="E46" s="2">
        <v>1</v>
      </c>
      <c r="F46" s="2">
        <v>21</v>
      </c>
      <c r="G46" s="2" t="b">
        <v>0</v>
      </c>
      <c r="H46" s="2">
        <v>0</v>
      </c>
      <c r="I46" s="2">
        <v>1</v>
      </c>
      <c r="J46" s="2">
        <v>0.26</v>
      </c>
      <c r="K46" s="4">
        <v>0.2273</v>
      </c>
      <c r="L46" s="4">
        <v>0.44</v>
      </c>
      <c r="M46" s="4">
        <v>0.32840000000000003</v>
      </c>
      <c r="N46" s="4">
        <v>20</v>
      </c>
      <c r="O46" s="2">
        <v>31</v>
      </c>
      <c r="P46" s="2" t="str">
        <f t="shared" si="0"/>
        <v>Monday</v>
      </c>
      <c r="Q46" s="2" t="str">
        <f>IF(Table1[[#This Row],[temp]]&gt;=0.24,"cold","colder")</f>
        <v>cold</v>
      </c>
      <c r="R46" s="4">
        <v>11</v>
      </c>
      <c r="S46" s="16" t="str" cm="1">
        <f t="array" ref="S46">_xlfn.IFS(Table1[[#This Row],[weathersit]]=1,"clear sky",Table1[[#This Row],[weathersit]]=2,"mist",Table1[[#This Row],[weathersit]]=3,"partially dark",Table1[[#This Row],[weathersit]]=4,"rain")</f>
        <v>clear sky</v>
      </c>
    </row>
    <row r="47" spans="1:19" ht="15" customHeight="1" x14ac:dyDescent="0.3">
      <c r="A47" s="2">
        <v>46</v>
      </c>
      <c r="B47" s="3">
        <v>40589</v>
      </c>
      <c r="C47" s="2">
        <v>1</v>
      </c>
      <c r="D47" s="2">
        <v>0</v>
      </c>
      <c r="E47" s="2">
        <v>1</v>
      </c>
      <c r="F47" s="2">
        <v>22</v>
      </c>
      <c r="G47" s="2" t="b">
        <v>0</v>
      </c>
      <c r="H47" s="2">
        <v>0</v>
      </c>
      <c r="I47" s="2">
        <v>1</v>
      </c>
      <c r="J47" s="2">
        <v>0.24</v>
      </c>
      <c r="K47" s="4">
        <v>0.21210000000000001</v>
      </c>
      <c r="L47" s="4">
        <v>0.44</v>
      </c>
      <c r="M47" s="4">
        <v>0.29849999999999999</v>
      </c>
      <c r="N47" s="4">
        <v>9</v>
      </c>
      <c r="O47" s="2">
        <v>9</v>
      </c>
      <c r="P47" s="2" t="str">
        <f t="shared" si="0"/>
        <v>Tuesday</v>
      </c>
      <c r="Q47" s="2" t="str">
        <f>IF(Table1[[#This Row],[temp]]&gt;=0.24,"cold","colder")</f>
        <v>cold</v>
      </c>
      <c r="R47" s="4">
        <v>0</v>
      </c>
      <c r="S47" s="16" t="str" cm="1">
        <f t="array" ref="S47">_xlfn.IFS(Table1[[#This Row],[weathersit]]=1,"clear sky",Table1[[#This Row],[weathersit]]=2,"mist",Table1[[#This Row],[weathersit]]=3,"partially dark",Table1[[#This Row],[weathersit]]=4,"rain")</f>
        <v>clear sky</v>
      </c>
    </row>
    <row r="48" spans="1:19" ht="15" customHeight="1" x14ac:dyDescent="0.3">
      <c r="A48" s="2">
        <v>47</v>
      </c>
      <c r="B48" s="3">
        <v>40590</v>
      </c>
      <c r="C48" s="2">
        <v>1</v>
      </c>
      <c r="D48" s="2">
        <v>0</v>
      </c>
      <c r="E48" s="2">
        <v>1</v>
      </c>
      <c r="F48" s="2">
        <v>23</v>
      </c>
      <c r="G48" s="2" t="b">
        <v>0</v>
      </c>
      <c r="H48" s="2">
        <v>0</v>
      </c>
      <c r="I48" s="2">
        <v>1</v>
      </c>
      <c r="J48" s="2">
        <v>0.22</v>
      </c>
      <c r="K48" s="4">
        <v>0.2273</v>
      </c>
      <c r="L48" s="4">
        <v>0.47</v>
      </c>
      <c r="M48" s="4">
        <v>0.16420000000000001</v>
      </c>
      <c r="N48" s="4">
        <v>8</v>
      </c>
      <c r="O48" s="2">
        <v>8</v>
      </c>
      <c r="P48" s="2" t="str">
        <f t="shared" si="0"/>
        <v>Wednesday</v>
      </c>
      <c r="Q48" s="2" t="str">
        <f>IF(Table1[[#This Row],[temp]]&gt;=0.24,"cold","colder")</f>
        <v>colder</v>
      </c>
      <c r="R48" s="4">
        <v>0</v>
      </c>
      <c r="S48" s="16" t="str" cm="1">
        <f t="array" ref="S48">_xlfn.IFS(Table1[[#This Row],[weathersit]]=1,"clear sky",Table1[[#This Row],[weathersit]]=2,"mist",Table1[[#This Row],[weathersit]]=3,"partially dark",Table1[[#This Row],[weathersit]]=4,"rain")</f>
        <v>clear sky</v>
      </c>
    </row>
    <row r="49" spans="1:19" ht="15" customHeight="1" x14ac:dyDescent="0.3">
      <c r="A49" s="2">
        <v>48</v>
      </c>
      <c r="B49" s="3">
        <v>40591</v>
      </c>
      <c r="C49" s="2">
        <v>1</v>
      </c>
      <c r="D49" s="2">
        <v>0</v>
      </c>
      <c r="E49" s="2">
        <v>1</v>
      </c>
      <c r="F49" s="2">
        <v>0</v>
      </c>
      <c r="G49" s="2" t="b">
        <v>0</v>
      </c>
      <c r="H49" s="2">
        <v>1</v>
      </c>
      <c r="I49" s="2">
        <v>1</v>
      </c>
      <c r="J49" s="2">
        <v>0.22</v>
      </c>
      <c r="K49" s="4">
        <v>0.19700000000000001</v>
      </c>
      <c r="L49" s="4">
        <v>0.44</v>
      </c>
      <c r="M49" s="4">
        <v>0.35820000000000002</v>
      </c>
      <c r="N49" s="4">
        <v>5</v>
      </c>
      <c r="O49" s="2">
        <v>5</v>
      </c>
      <c r="P49" s="2" t="str">
        <f t="shared" si="0"/>
        <v>Thursday</v>
      </c>
      <c r="Q49" s="2" t="str">
        <f>IF(Table1[[#This Row],[temp]]&gt;=0.24,"cold","colder")</f>
        <v>colder</v>
      </c>
      <c r="R49" s="4">
        <v>0</v>
      </c>
      <c r="S49" s="16" t="str" cm="1">
        <f t="array" ref="S49">_xlfn.IFS(Table1[[#This Row],[weathersit]]=1,"clear sky",Table1[[#This Row],[weathersit]]=2,"mist",Table1[[#This Row],[weathersit]]=3,"partially dark",Table1[[#This Row],[weathersit]]=4,"rain")</f>
        <v>clear sky</v>
      </c>
    </row>
    <row r="50" spans="1:19" ht="15" customHeight="1" x14ac:dyDescent="0.3">
      <c r="A50" s="2">
        <v>49</v>
      </c>
      <c r="B50" s="3">
        <v>40592</v>
      </c>
      <c r="C50" s="2">
        <v>1</v>
      </c>
      <c r="D50" s="2">
        <v>0</v>
      </c>
      <c r="E50" s="2">
        <v>1</v>
      </c>
      <c r="F50" s="2">
        <v>1</v>
      </c>
      <c r="G50" s="2" t="b">
        <v>0</v>
      </c>
      <c r="H50" s="2">
        <v>1</v>
      </c>
      <c r="I50" s="2">
        <v>1</v>
      </c>
      <c r="J50" s="2">
        <v>0.2</v>
      </c>
      <c r="K50" s="4">
        <v>0.21179999999999999</v>
      </c>
      <c r="L50" s="4">
        <v>0.44</v>
      </c>
      <c r="M50" s="4">
        <v>0.41789999999999999</v>
      </c>
      <c r="N50" s="4">
        <v>2</v>
      </c>
      <c r="O50" s="2">
        <v>2</v>
      </c>
      <c r="P50" s="2" t="str">
        <f t="shared" si="0"/>
        <v>Friday</v>
      </c>
      <c r="Q50" s="2" t="str">
        <f>IF(Table1[[#This Row],[temp]]&gt;=0.24,"cold","colder")</f>
        <v>colder</v>
      </c>
      <c r="R50" s="4">
        <v>0</v>
      </c>
      <c r="S50" s="16" t="str" cm="1">
        <f t="array" ref="S50">_xlfn.IFS(Table1[[#This Row],[weathersit]]=1,"clear sky",Table1[[#This Row],[weathersit]]=2,"mist",Table1[[#This Row],[weathersit]]=3,"partially dark",Table1[[#This Row],[weathersit]]=4,"rain")</f>
        <v>clear sky</v>
      </c>
    </row>
    <row r="51" spans="1:19" ht="15" customHeight="1" x14ac:dyDescent="0.3">
      <c r="A51" s="2">
        <v>50</v>
      </c>
      <c r="B51" s="3">
        <v>40593</v>
      </c>
      <c r="C51" s="2">
        <v>1</v>
      </c>
      <c r="D51" s="2">
        <v>0</v>
      </c>
      <c r="E51" s="2">
        <v>1</v>
      </c>
      <c r="F51" s="2">
        <v>4</v>
      </c>
      <c r="G51" s="2" t="b">
        <v>0</v>
      </c>
      <c r="H51" s="2">
        <v>1</v>
      </c>
      <c r="I51" s="2">
        <v>1</v>
      </c>
      <c r="J51" s="2">
        <v>0.16</v>
      </c>
      <c r="K51" s="4">
        <v>0.13639999999999999</v>
      </c>
      <c r="L51" s="4">
        <v>0.47</v>
      </c>
      <c r="M51" s="4">
        <v>0.3881</v>
      </c>
      <c r="N51" s="4">
        <v>1</v>
      </c>
      <c r="O51" s="2">
        <v>1</v>
      </c>
      <c r="P51" s="2" t="str">
        <f t="shared" si="0"/>
        <v>Saturday</v>
      </c>
      <c r="Q51" s="2" t="str">
        <f>IF(Table1[[#This Row],[temp]]&gt;=0.24,"cold","colder")</f>
        <v>colder</v>
      </c>
      <c r="R51" s="4">
        <v>0</v>
      </c>
      <c r="S51" s="16" t="str" cm="1">
        <f t="array" ref="S51">_xlfn.IFS(Table1[[#This Row],[weathersit]]=1,"clear sky",Table1[[#This Row],[weathersit]]=2,"mist",Table1[[#This Row],[weathersit]]=3,"partially dark",Table1[[#This Row],[weathersit]]=4,"rain")</f>
        <v>clear sky</v>
      </c>
    </row>
    <row r="52" spans="1:19" ht="15" customHeight="1" x14ac:dyDescent="0.3">
      <c r="A52" s="2">
        <v>51</v>
      </c>
      <c r="B52" s="3">
        <v>40594</v>
      </c>
      <c r="C52" s="2">
        <v>1</v>
      </c>
      <c r="D52" s="2">
        <v>0</v>
      </c>
      <c r="E52" s="2">
        <v>1</v>
      </c>
      <c r="F52" s="2">
        <v>5</v>
      </c>
      <c r="G52" s="2" t="b">
        <v>0</v>
      </c>
      <c r="H52" s="2">
        <v>1</v>
      </c>
      <c r="I52" s="2">
        <v>1</v>
      </c>
      <c r="J52" s="2">
        <v>0.16</v>
      </c>
      <c r="K52" s="4">
        <v>0.13639999999999999</v>
      </c>
      <c r="L52" s="4">
        <v>0.47</v>
      </c>
      <c r="M52" s="4">
        <v>0.28360000000000002</v>
      </c>
      <c r="N52" s="4">
        <v>3</v>
      </c>
      <c r="O52" s="2">
        <v>3</v>
      </c>
      <c r="P52" s="2" t="str">
        <f t="shared" si="0"/>
        <v>Sunday</v>
      </c>
      <c r="Q52" s="2" t="str">
        <f>IF(Table1[[#This Row],[temp]]&gt;=0.24,"cold","colder")</f>
        <v>colder</v>
      </c>
      <c r="R52" s="4">
        <v>0</v>
      </c>
      <c r="S52" s="16" t="str" cm="1">
        <f t="array" ref="S52">_xlfn.IFS(Table1[[#This Row],[weathersit]]=1,"clear sky",Table1[[#This Row],[weathersit]]=2,"mist",Table1[[#This Row],[weathersit]]=3,"partially dark",Table1[[#This Row],[weathersit]]=4,"rain")</f>
        <v>clear sky</v>
      </c>
    </row>
    <row r="53" spans="1:19" ht="15" customHeight="1" x14ac:dyDescent="0.3">
      <c r="A53" s="2">
        <v>52</v>
      </c>
      <c r="B53" s="3">
        <v>40595</v>
      </c>
      <c r="C53" s="2">
        <v>1</v>
      </c>
      <c r="D53" s="2">
        <v>0</v>
      </c>
      <c r="E53" s="2">
        <v>1</v>
      </c>
      <c r="F53" s="2">
        <v>6</v>
      </c>
      <c r="G53" s="2" t="b">
        <v>0</v>
      </c>
      <c r="H53" s="2">
        <v>1</v>
      </c>
      <c r="I53" s="2">
        <v>1</v>
      </c>
      <c r="J53" s="2">
        <v>0.14000000000000001</v>
      </c>
      <c r="K53" s="4">
        <v>0.1061</v>
      </c>
      <c r="L53" s="4">
        <v>0.5</v>
      </c>
      <c r="M53" s="4">
        <v>0.3881</v>
      </c>
      <c r="N53" s="4">
        <v>30</v>
      </c>
      <c r="O53" s="2">
        <v>30</v>
      </c>
      <c r="P53" s="2" t="str">
        <f t="shared" si="0"/>
        <v>Monday</v>
      </c>
      <c r="Q53" s="2" t="str">
        <f>IF(Table1[[#This Row],[temp]]&gt;=0.24,"cold","colder")</f>
        <v>colder</v>
      </c>
      <c r="R53" s="4">
        <v>0</v>
      </c>
      <c r="S53" s="16" t="str" cm="1">
        <f t="array" ref="S53">_xlfn.IFS(Table1[[#This Row],[weathersit]]=1,"clear sky",Table1[[#This Row],[weathersit]]=2,"mist",Table1[[#This Row],[weathersit]]=3,"partially dark",Table1[[#This Row],[weathersit]]=4,"rain")</f>
        <v>clear sky</v>
      </c>
    </row>
    <row r="54" spans="1:19" ht="15" customHeight="1" x14ac:dyDescent="0.3">
      <c r="A54" s="2">
        <v>53</v>
      </c>
      <c r="B54" s="3">
        <v>40596</v>
      </c>
      <c r="C54" s="2">
        <v>1</v>
      </c>
      <c r="D54" s="2">
        <v>0</v>
      </c>
      <c r="E54" s="2">
        <v>1</v>
      </c>
      <c r="F54" s="2">
        <v>7</v>
      </c>
      <c r="G54" s="2" t="b">
        <v>0</v>
      </c>
      <c r="H54" s="2">
        <v>1</v>
      </c>
      <c r="I54" s="2">
        <v>1</v>
      </c>
      <c r="J54" s="2">
        <v>0.14000000000000001</v>
      </c>
      <c r="K54" s="4">
        <v>0.13639999999999999</v>
      </c>
      <c r="L54" s="4">
        <v>0.5</v>
      </c>
      <c r="M54" s="4">
        <v>0.19400000000000001</v>
      </c>
      <c r="N54" s="4">
        <v>63</v>
      </c>
      <c r="O54" s="2">
        <v>64</v>
      </c>
      <c r="P54" s="2" t="str">
        <f t="shared" si="0"/>
        <v>Tuesday</v>
      </c>
      <c r="Q54" s="2" t="str">
        <f>IF(Table1[[#This Row],[temp]]&gt;=0.24,"cold","colder")</f>
        <v>colder</v>
      </c>
      <c r="R54" s="4">
        <v>1</v>
      </c>
      <c r="S54" s="16" t="str" cm="1">
        <f t="array" ref="S54">_xlfn.IFS(Table1[[#This Row],[weathersit]]=1,"clear sky",Table1[[#This Row],[weathersit]]=2,"mist",Table1[[#This Row],[weathersit]]=3,"partially dark",Table1[[#This Row],[weathersit]]=4,"rain")</f>
        <v>clear sky</v>
      </c>
    </row>
    <row r="55" spans="1:19" ht="15" customHeight="1" x14ac:dyDescent="0.3">
      <c r="A55" s="2">
        <v>54</v>
      </c>
      <c r="B55" s="3">
        <v>40597</v>
      </c>
      <c r="C55" s="2">
        <v>1</v>
      </c>
      <c r="D55" s="2">
        <v>0</v>
      </c>
      <c r="E55" s="2">
        <v>1</v>
      </c>
      <c r="F55" s="2">
        <v>8</v>
      </c>
      <c r="G55" s="2" t="b">
        <v>0</v>
      </c>
      <c r="H55" s="2">
        <v>1</v>
      </c>
      <c r="I55" s="2">
        <v>1</v>
      </c>
      <c r="J55" s="2">
        <v>0.14000000000000001</v>
      </c>
      <c r="K55" s="4">
        <v>0.1212</v>
      </c>
      <c r="L55" s="4">
        <v>0.5</v>
      </c>
      <c r="M55" s="4">
        <v>0.28360000000000002</v>
      </c>
      <c r="N55" s="4">
        <v>153</v>
      </c>
      <c r="O55" s="2">
        <v>154</v>
      </c>
      <c r="P55" s="2" t="str">
        <f t="shared" si="0"/>
        <v>Wednesday</v>
      </c>
      <c r="Q55" s="2" t="str">
        <f>IF(Table1[[#This Row],[temp]]&gt;=0.24,"cold","colder")</f>
        <v>colder</v>
      </c>
      <c r="R55" s="4">
        <v>1</v>
      </c>
      <c r="S55" s="16" t="str" cm="1">
        <f t="array" ref="S55">_xlfn.IFS(Table1[[#This Row],[weathersit]]=1,"clear sky",Table1[[#This Row],[weathersit]]=2,"mist",Table1[[#This Row],[weathersit]]=3,"partially dark",Table1[[#This Row],[weathersit]]=4,"rain")</f>
        <v>clear sky</v>
      </c>
    </row>
    <row r="56" spans="1:19" ht="15" customHeight="1" x14ac:dyDescent="0.3">
      <c r="A56" s="2">
        <v>55</v>
      </c>
      <c r="B56" s="3">
        <v>40598</v>
      </c>
      <c r="C56" s="2">
        <v>1</v>
      </c>
      <c r="D56" s="2">
        <v>0</v>
      </c>
      <c r="E56" s="2">
        <v>1</v>
      </c>
      <c r="F56" s="2">
        <v>9</v>
      </c>
      <c r="G56" s="2" t="b">
        <v>0</v>
      </c>
      <c r="H56" s="2">
        <v>1</v>
      </c>
      <c r="I56" s="2">
        <v>1</v>
      </c>
      <c r="J56" s="2">
        <v>0.16</v>
      </c>
      <c r="K56" s="4">
        <v>0.13639999999999999</v>
      </c>
      <c r="L56" s="4">
        <v>0.43</v>
      </c>
      <c r="M56" s="4">
        <v>0.3881</v>
      </c>
      <c r="N56" s="4">
        <v>81</v>
      </c>
      <c r="O56" s="2">
        <v>88</v>
      </c>
      <c r="P56" s="2" t="str">
        <f t="shared" si="0"/>
        <v>Thursday</v>
      </c>
      <c r="Q56" s="2" t="str">
        <f>IF(Table1[[#This Row],[temp]]&gt;=0.24,"cold","colder")</f>
        <v>colder</v>
      </c>
      <c r="R56" s="4">
        <v>7</v>
      </c>
      <c r="S56" s="16" t="str" cm="1">
        <f t="array" ref="S56">_xlfn.IFS(Table1[[#This Row],[weathersit]]=1,"clear sky",Table1[[#This Row],[weathersit]]=2,"mist",Table1[[#This Row],[weathersit]]=3,"partially dark",Table1[[#This Row],[weathersit]]=4,"rain")</f>
        <v>clear sky</v>
      </c>
    </row>
    <row r="57" spans="1:19" ht="15" customHeight="1" x14ac:dyDescent="0.3">
      <c r="A57" s="2">
        <v>56</v>
      </c>
      <c r="B57" s="3">
        <v>40599</v>
      </c>
      <c r="C57" s="2">
        <v>1</v>
      </c>
      <c r="D57" s="2">
        <v>0</v>
      </c>
      <c r="E57" s="2">
        <v>1</v>
      </c>
      <c r="F57" s="2">
        <v>10</v>
      </c>
      <c r="G57" s="2" t="b">
        <v>0</v>
      </c>
      <c r="H57" s="2">
        <v>1</v>
      </c>
      <c r="I57" s="2">
        <v>1</v>
      </c>
      <c r="J57" s="2">
        <v>0.18</v>
      </c>
      <c r="K57" s="4">
        <v>0.16669999999999999</v>
      </c>
      <c r="L57" s="4">
        <v>0.43</v>
      </c>
      <c r="M57" s="4">
        <v>0.25369999999999998</v>
      </c>
      <c r="N57" s="4">
        <v>33</v>
      </c>
      <c r="O57" s="2">
        <v>44</v>
      </c>
      <c r="P57" s="2" t="str">
        <f t="shared" si="0"/>
        <v>Friday</v>
      </c>
      <c r="Q57" s="2" t="str">
        <f>IF(Table1[[#This Row],[temp]]&gt;=0.24,"cold","colder")</f>
        <v>colder</v>
      </c>
      <c r="R57" s="4">
        <v>11</v>
      </c>
      <c r="S57" s="16" t="str" cm="1">
        <f t="array" ref="S57">_xlfn.IFS(Table1[[#This Row],[weathersit]]=1,"clear sky",Table1[[#This Row],[weathersit]]=2,"mist",Table1[[#This Row],[weathersit]]=3,"partially dark",Table1[[#This Row],[weathersit]]=4,"rain")</f>
        <v>clear sky</v>
      </c>
    </row>
    <row r="58" spans="1:19" ht="15" customHeight="1" x14ac:dyDescent="0.3">
      <c r="A58" s="2">
        <v>57</v>
      </c>
      <c r="B58" s="3">
        <v>40600</v>
      </c>
      <c r="C58" s="2">
        <v>1</v>
      </c>
      <c r="D58" s="2">
        <v>0</v>
      </c>
      <c r="E58" s="2">
        <v>1</v>
      </c>
      <c r="F58" s="2">
        <v>11</v>
      </c>
      <c r="G58" s="2" t="b">
        <v>0</v>
      </c>
      <c r="H58" s="2">
        <v>1</v>
      </c>
      <c r="I58" s="2">
        <v>1</v>
      </c>
      <c r="J58" s="2">
        <v>0.2</v>
      </c>
      <c r="K58" s="4">
        <v>0.18179999999999999</v>
      </c>
      <c r="L58" s="4">
        <v>0.4</v>
      </c>
      <c r="M58" s="4">
        <v>0.32840000000000003</v>
      </c>
      <c r="N58" s="4">
        <v>41</v>
      </c>
      <c r="O58" s="2">
        <v>51</v>
      </c>
      <c r="P58" s="2" t="str">
        <f t="shared" si="0"/>
        <v>Saturday</v>
      </c>
      <c r="Q58" s="2" t="str">
        <f>IF(Table1[[#This Row],[temp]]&gt;=0.24,"cold","colder")</f>
        <v>colder</v>
      </c>
      <c r="R58" s="4">
        <v>10</v>
      </c>
      <c r="S58" s="16" t="str" cm="1">
        <f t="array" ref="S58">_xlfn.IFS(Table1[[#This Row],[weathersit]]=1,"clear sky",Table1[[#This Row],[weathersit]]=2,"mist",Table1[[#This Row],[weathersit]]=3,"partially dark",Table1[[#This Row],[weathersit]]=4,"rain")</f>
        <v>clear sky</v>
      </c>
    </row>
    <row r="59" spans="1:19" ht="15" customHeight="1" x14ac:dyDescent="0.3">
      <c r="A59" s="2">
        <v>58</v>
      </c>
      <c r="B59" s="3">
        <v>40601</v>
      </c>
      <c r="C59" s="2">
        <v>1</v>
      </c>
      <c r="D59" s="2">
        <v>0</v>
      </c>
      <c r="E59" s="2">
        <v>1</v>
      </c>
      <c r="F59" s="2">
        <v>12</v>
      </c>
      <c r="G59" s="2" t="b">
        <v>0</v>
      </c>
      <c r="H59" s="2">
        <v>1</v>
      </c>
      <c r="I59" s="2">
        <v>1</v>
      </c>
      <c r="J59" s="2">
        <v>0.22</v>
      </c>
      <c r="K59" s="4">
        <v>0.21210000000000001</v>
      </c>
      <c r="L59" s="4">
        <v>0.35</v>
      </c>
      <c r="M59" s="4">
        <v>0.29849999999999999</v>
      </c>
      <c r="N59" s="4">
        <v>48</v>
      </c>
      <c r="O59" s="2">
        <v>61</v>
      </c>
      <c r="P59" s="2" t="str">
        <f t="shared" si="0"/>
        <v>Sunday</v>
      </c>
      <c r="Q59" s="2" t="str">
        <f>IF(Table1[[#This Row],[temp]]&gt;=0.24,"cold","colder")</f>
        <v>colder</v>
      </c>
      <c r="R59" s="4">
        <v>13</v>
      </c>
      <c r="S59" s="16" t="str" cm="1">
        <f t="array" ref="S59">_xlfn.IFS(Table1[[#This Row],[weathersit]]=1,"clear sky",Table1[[#This Row],[weathersit]]=2,"mist",Table1[[#This Row],[weathersit]]=3,"partially dark",Table1[[#This Row],[weathersit]]=4,"rain")</f>
        <v>clear sky</v>
      </c>
    </row>
    <row r="60" spans="1:19" ht="15" customHeight="1" x14ac:dyDescent="0.3">
      <c r="A60" s="2">
        <v>59</v>
      </c>
      <c r="B60" s="3">
        <v>40602</v>
      </c>
      <c r="C60" s="2">
        <v>1</v>
      </c>
      <c r="D60" s="2">
        <v>0</v>
      </c>
      <c r="E60" s="2">
        <v>1</v>
      </c>
      <c r="F60" s="2">
        <v>13</v>
      </c>
      <c r="G60" s="2" t="b">
        <v>0</v>
      </c>
      <c r="H60" s="2">
        <v>1</v>
      </c>
      <c r="I60" s="2">
        <v>1</v>
      </c>
      <c r="J60" s="2">
        <v>0.24</v>
      </c>
      <c r="K60" s="4">
        <v>0.21179999999999999</v>
      </c>
      <c r="L60" s="4">
        <v>0.35</v>
      </c>
      <c r="M60" s="4">
        <v>0.28360000000000002</v>
      </c>
      <c r="N60" s="4">
        <v>53</v>
      </c>
      <c r="O60" s="2">
        <v>61</v>
      </c>
      <c r="P60" s="2" t="str">
        <f t="shared" si="0"/>
        <v>Monday</v>
      </c>
      <c r="Q60" s="2" t="str">
        <f>IF(Table1[[#This Row],[temp]]&gt;=0.24,"cold","colder")</f>
        <v>cold</v>
      </c>
      <c r="R60" s="4">
        <v>8</v>
      </c>
      <c r="S60" s="16" t="str" cm="1">
        <f t="array" ref="S60">_xlfn.IFS(Table1[[#This Row],[weathersit]]=1,"clear sky",Table1[[#This Row],[weathersit]]=2,"mist",Table1[[#This Row],[weathersit]]=3,"partially dark",Table1[[#This Row],[weathersit]]=4,"rain")</f>
        <v>clear sky</v>
      </c>
    </row>
    <row r="61" spans="1:19" ht="15" customHeight="1" x14ac:dyDescent="0.3">
      <c r="A61" s="2">
        <v>60</v>
      </c>
      <c r="B61" s="3">
        <v>40603</v>
      </c>
      <c r="C61" s="2">
        <v>1</v>
      </c>
      <c r="D61" s="2">
        <v>0</v>
      </c>
      <c r="E61" s="2">
        <v>1</v>
      </c>
      <c r="F61" s="2">
        <v>14</v>
      </c>
      <c r="G61" s="2" t="b">
        <v>0</v>
      </c>
      <c r="H61" s="2">
        <v>1</v>
      </c>
      <c r="I61" s="2">
        <v>1</v>
      </c>
      <c r="J61" s="2">
        <v>0.26</v>
      </c>
      <c r="K61" s="4">
        <v>0.2424</v>
      </c>
      <c r="L61" s="4">
        <v>0.3</v>
      </c>
      <c r="M61" s="4">
        <v>0.28360000000000002</v>
      </c>
      <c r="N61" s="4">
        <v>66</v>
      </c>
      <c r="O61" s="2">
        <v>77</v>
      </c>
      <c r="P61" s="2" t="str">
        <f t="shared" si="0"/>
        <v>Tuesday</v>
      </c>
      <c r="Q61" s="2" t="str">
        <f>IF(Table1[[#This Row],[temp]]&gt;=0.24,"cold","colder")</f>
        <v>cold</v>
      </c>
      <c r="R61" s="4">
        <v>11</v>
      </c>
      <c r="S61" s="16" t="str" cm="1">
        <f t="array" ref="S61">_xlfn.IFS(Table1[[#This Row],[weathersit]]=1,"clear sky",Table1[[#This Row],[weathersit]]=2,"mist",Table1[[#This Row],[weathersit]]=3,"partially dark",Table1[[#This Row],[weathersit]]=4,"rain")</f>
        <v>clear sky</v>
      </c>
    </row>
    <row r="62" spans="1:19" ht="15" customHeight="1" x14ac:dyDescent="0.3">
      <c r="A62" s="2">
        <v>61</v>
      </c>
      <c r="B62" s="3">
        <v>40604</v>
      </c>
      <c r="C62" s="2">
        <v>1</v>
      </c>
      <c r="D62" s="2">
        <v>0</v>
      </c>
      <c r="E62" s="2">
        <v>1</v>
      </c>
      <c r="F62" s="2">
        <v>15</v>
      </c>
      <c r="G62" s="2" t="b">
        <v>0</v>
      </c>
      <c r="H62" s="2">
        <v>1</v>
      </c>
      <c r="I62" s="2">
        <v>1</v>
      </c>
      <c r="J62" s="2">
        <v>0.26</v>
      </c>
      <c r="K62" s="4">
        <v>0.2424</v>
      </c>
      <c r="L62" s="4">
        <v>0.3</v>
      </c>
      <c r="M62" s="4">
        <v>0.25369999999999998</v>
      </c>
      <c r="N62" s="4">
        <v>58</v>
      </c>
      <c r="O62" s="2">
        <v>72</v>
      </c>
      <c r="P62" s="2" t="str">
        <f t="shared" si="0"/>
        <v>Wednesday</v>
      </c>
      <c r="Q62" s="2" t="str">
        <f>IF(Table1[[#This Row],[temp]]&gt;=0.24,"cold","colder")</f>
        <v>cold</v>
      </c>
      <c r="R62" s="4">
        <v>14</v>
      </c>
      <c r="S62" s="16" t="str" cm="1">
        <f t="array" ref="S62">_xlfn.IFS(Table1[[#This Row],[weathersit]]=1,"clear sky",Table1[[#This Row],[weathersit]]=2,"mist",Table1[[#This Row],[weathersit]]=3,"partially dark",Table1[[#This Row],[weathersit]]=4,"rain")</f>
        <v>clear sky</v>
      </c>
    </row>
    <row r="63" spans="1:19" ht="15" customHeight="1" x14ac:dyDescent="0.3">
      <c r="A63" s="2">
        <v>62</v>
      </c>
      <c r="B63" s="3">
        <v>40605</v>
      </c>
      <c r="C63" s="2">
        <v>1</v>
      </c>
      <c r="D63" s="2">
        <v>0</v>
      </c>
      <c r="E63" s="2">
        <v>1</v>
      </c>
      <c r="F63" s="2">
        <v>16</v>
      </c>
      <c r="G63" s="2" t="b">
        <v>0</v>
      </c>
      <c r="H63" s="2">
        <v>1</v>
      </c>
      <c r="I63" s="2">
        <v>1</v>
      </c>
      <c r="J63" s="2">
        <v>0.26</v>
      </c>
      <c r="K63" s="4">
        <v>0.2424</v>
      </c>
      <c r="L63" s="4">
        <v>0.3</v>
      </c>
      <c r="M63" s="4">
        <v>0.25369999999999998</v>
      </c>
      <c r="N63" s="4">
        <v>67</v>
      </c>
      <c r="O63" s="2">
        <v>76</v>
      </c>
      <c r="P63" s="2" t="str">
        <f t="shared" si="0"/>
        <v>Thursday</v>
      </c>
      <c r="Q63" s="2" t="str">
        <f>IF(Table1[[#This Row],[temp]]&gt;=0.24,"cold","colder")</f>
        <v>cold</v>
      </c>
      <c r="R63" s="4">
        <v>9</v>
      </c>
      <c r="S63" s="16" t="str" cm="1">
        <f t="array" ref="S63">_xlfn.IFS(Table1[[#This Row],[weathersit]]=1,"clear sky",Table1[[#This Row],[weathersit]]=2,"mist",Table1[[#This Row],[weathersit]]=3,"partially dark",Table1[[#This Row],[weathersit]]=4,"rain")</f>
        <v>clear sky</v>
      </c>
    </row>
    <row r="64" spans="1:19" ht="15" customHeight="1" x14ac:dyDescent="0.3">
      <c r="A64" s="2">
        <v>63</v>
      </c>
      <c r="B64" s="3">
        <v>40606</v>
      </c>
      <c r="C64" s="2">
        <v>1</v>
      </c>
      <c r="D64" s="2">
        <v>0</v>
      </c>
      <c r="E64" s="2">
        <v>1</v>
      </c>
      <c r="F64" s="2">
        <v>17</v>
      </c>
      <c r="G64" s="2" t="b">
        <v>0</v>
      </c>
      <c r="H64" s="2">
        <v>1</v>
      </c>
      <c r="I64" s="2">
        <v>1</v>
      </c>
      <c r="J64" s="2">
        <v>0.24</v>
      </c>
      <c r="K64" s="4">
        <v>0.2273</v>
      </c>
      <c r="L64" s="4">
        <v>0.3</v>
      </c>
      <c r="M64" s="4">
        <v>0.22389999999999999</v>
      </c>
      <c r="N64" s="4">
        <v>146</v>
      </c>
      <c r="O64" s="2">
        <v>157</v>
      </c>
      <c r="P64" s="2" t="str">
        <f t="shared" si="0"/>
        <v>Friday</v>
      </c>
      <c r="Q64" s="2" t="str">
        <f>IF(Table1[[#This Row],[temp]]&gt;=0.24,"cold","colder")</f>
        <v>cold</v>
      </c>
      <c r="R64" s="4">
        <v>11</v>
      </c>
      <c r="S64" s="16" t="str" cm="1">
        <f t="array" ref="S64">_xlfn.IFS(Table1[[#This Row],[weathersit]]=1,"clear sky",Table1[[#This Row],[weathersit]]=2,"mist",Table1[[#This Row],[weathersit]]=3,"partially dark",Table1[[#This Row],[weathersit]]=4,"rain")</f>
        <v>clear sky</v>
      </c>
    </row>
    <row r="65" spans="1:19" ht="15" customHeight="1" x14ac:dyDescent="0.3">
      <c r="A65" s="2">
        <v>64</v>
      </c>
      <c r="B65" s="3">
        <v>40607</v>
      </c>
      <c r="C65" s="2">
        <v>1</v>
      </c>
      <c r="D65" s="2">
        <v>0</v>
      </c>
      <c r="E65" s="2">
        <v>1</v>
      </c>
      <c r="F65" s="2">
        <v>18</v>
      </c>
      <c r="G65" s="2" t="b">
        <v>0</v>
      </c>
      <c r="H65" s="2">
        <v>1</v>
      </c>
      <c r="I65" s="2">
        <v>1</v>
      </c>
      <c r="J65" s="2">
        <v>0.24</v>
      </c>
      <c r="K65" s="4">
        <v>0.2576</v>
      </c>
      <c r="L65" s="4">
        <v>0.32</v>
      </c>
      <c r="M65" s="4">
        <v>0.1045</v>
      </c>
      <c r="N65" s="4">
        <v>148</v>
      </c>
      <c r="O65" s="2">
        <v>157</v>
      </c>
      <c r="P65" s="2" t="str">
        <f t="shared" si="0"/>
        <v>Saturday</v>
      </c>
      <c r="Q65" s="2" t="str">
        <f>IF(Table1[[#This Row],[temp]]&gt;=0.24,"cold","colder")</f>
        <v>cold</v>
      </c>
      <c r="R65" s="4">
        <v>9</v>
      </c>
      <c r="S65" s="16" t="str" cm="1">
        <f t="array" ref="S65">_xlfn.IFS(Table1[[#This Row],[weathersit]]=1,"clear sky",Table1[[#This Row],[weathersit]]=2,"mist",Table1[[#This Row],[weathersit]]=3,"partially dark",Table1[[#This Row],[weathersit]]=4,"rain")</f>
        <v>clear sky</v>
      </c>
    </row>
    <row r="66" spans="1:19" ht="15" customHeight="1" x14ac:dyDescent="0.3">
      <c r="A66" s="2">
        <v>65</v>
      </c>
      <c r="B66" s="3">
        <v>40608</v>
      </c>
      <c r="C66" s="2">
        <v>1</v>
      </c>
      <c r="D66" s="2">
        <v>0</v>
      </c>
      <c r="E66" s="2">
        <v>1</v>
      </c>
      <c r="F66" s="2">
        <v>19</v>
      </c>
      <c r="G66" s="2" t="b">
        <v>0</v>
      </c>
      <c r="H66" s="2">
        <v>1</v>
      </c>
      <c r="I66" s="2">
        <v>1</v>
      </c>
      <c r="J66" s="2">
        <v>0.2</v>
      </c>
      <c r="K66" s="4">
        <v>0.2576</v>
      </c>
      <c r="L66" s="4">
        <v>0.47</v>
      </c>
      <c r="M66" s="4">
        <v>0</v>
      </c>
      <c r="N66" s="4">
        <v>102</v>
      </c>
      <c r="O66" s="2">
        <v>110</v>
      </c>
      <c r="P66" s="2" t="str">
        <f t="shared" ref="P66:P129" si="1">TEXT(B66,"dddd")</f>
        <v>Sunday</v>
      </c>
      <c r="Q66" s="2" t="str">
        <f>IF(Table1[[#This Row],[temp]]&gt;=0.24,"cold","colder")</f>
        <v>colder</v>
      </c>
      <c r="R66" s="4">
        <v>8</v>
      </c>
      <c r="S66" s="16" t="str" cm="1">
        <f t="array" ref="S66">_xlfn.IFS(Table1[[#This Row],[weathersit]]=1,"clear sky",Table1[[#This Row],[weathersit]]=2,"mist",Table1[[#This Row],[weathersit]]=3,"partially dark",Table1[[#This Row],[weathersit]]=4,"rain")</f>
        <v>clear sky</v>
      </c>
    </row>
    <row r="67" spans="1:19" ht="15" customHeight="1" x14ac:dyDescent="0.3">
      <c r="A67" s="2">
        <v>66</v>
      </c>
      <c r="B67" s="3">
        <v>40609</v>
      </c>
      <c r="C67" s="2">
        <v>1</v>
      </c>
      <c r="D67" s="2">
        <v>0</v>
      </c>
      <c r="E67" s="2">
        <v>1</v>
      </c>
      <c r="F67" s="2">
        <v>20</v>
      </c>
      <c r="G67" s="2" t="b">
        <v>0</v>
      </c>
      <c r="H67" s="2">
        <v>1</v>
      </c>
      <c r="I67" s="2">
        <v>1</v>
      </c>
      <c r="J67" s="2">
        <v>0.2</v>
      </c>
      <c r="K67" s="4">
        <v>0.21179999999999999</v>
      </c>
      <c r="L67" s="4">
        <v>0.47</v>
      </c>
      <c r="M67" s="4">
        <v>0.1045</v>
      </c>
      <c r="N67" s="4">
        <v>49</v>
      </c>
      <c r="O67" s="2">
        <v>52</v>
      </c>
      <c r="P67" s="2" t="str">
        <f t="shared" si="1"/>
        <v>Monday</v>
      </c>
      <c r="Q67" s="2" t="str">
        <f>IF(Table1[[#This Row],[temp]]&gt;=0.24,"cold","colder")</f>
        <v>colder</v>
      </c>
      <c r="R67" s="4">
        <v>3</v>
      </c>
      <c r="S67" s="16" t="str" cm="1">
        <f t="array" ref="S67">_xlfn.IFS(Table1[[#This Row],[weathersit]]=1,"clear sky",Table1[[#This Row],[weathersit]]=2,"mist",Table1[[#This Row],[weathersit]]=3,"partially dark",Table1[[#This Row],[weathersit]]=4,"rain")</f>
        <v>clear sky</v>
      </c>
    </row>
    <row r="68" spans="1:19" ht="15" customHeight="1" x14ac:dyDescent="0.3">
      <c r="A68" s="2">
        <v>67</v>
      </c>
      <c r="B68" s="3">
        <v>40610</v>
      </c>
      <c r="C68" s="2">
        <v>1</v>
      </c>
      <c r="D68" s="2">
        <v>0</v>
      </c>
      <c r="E68" s="2">
        <v>1</v>
      </c>
      <c r="F68" s="2">
        <v>21</v>
      </c>
      <c r="G68" s="2" t="b">
        <v>0</v>
      </c>
      <c r="H68" s="2">
        <v>1</v>
      </c>
      <c r="I68" s="2">
        <v>1</v>
      </c>
      <c r="J68" s="2">
        <v>0.18</v>
      </c>
      <c r="K68" s="4">
        <v>0.19700000000000001</v>
      </c>
      <c r="L68" s="4">
        <v>0.64</v>
      </c>
      <c r="M68" s="4">
        <v>0.1343</v>
      </c>
      <c r="N68" s="4">
        <v>49</v>
      </c>
      <c r="O68" s="2">
        <v>52</v>
      </c>
      <c r="P68" s="2" t="str">
        <f t="shared" si="1"/>
        <v>Tuesday</v>
      </c>
      <c r="Q68" s="2" t="str">
        <f>IF(Table1[[#This Row],[temp]]&gt;=0.24,"cold","colder")</f>
        <v>colder</v>
      </c>
      <c r="R68" s="4">
        <v>3</v>
      </c>
      <c r="S68" s="16" t="str" cm="1">
        <f t="array" ref="S68">_xlfn.IFS(Table1[[#This Row],[weathersit]]=1,"clear sky",Table1[[#This Row],[weathersit]]=2,"mist",Table1[[#This Row],[weathersit]]=3,"partially dark",Table1[[#This Row],[weathersit]]=4,"rain")</f>
        <v>clear sky</v>
      </c>
    </row>
    <row r="69" spans="1:19" ht="15" customHeight="1" x14ac:dyDescent="0.3">
      <c r="A69" s="2">
        <v>68</v>
      </c>
      <c r="B69" s="3">
        <v>40611</v>
      </c>
      <c r="C69" s="2">
        <v>1</v>
      </c>
      <c r="D69" s="2">
        <v>0</v>
      </c>
      <c r="E69" s="2">
        <v>1</v>
      </c>
      <c r="F69" s="2">
        <v>22</v>
      </c>
      <c r="G69" s="2" t="b">
        <v>0</v>
      </c>
      <c r="H69" s="2">
        <v>1</v>
      </c>
      <c r="I69" s="2">
        <v>1</v>
      </c>
      <c r="J69" s="2">
        <v>0.14000000000000001</v>
      </c>
      <c r="K69" s="4">
        <v>0.1515</v>
      </c>
      <c r="L69" s="4">
        <v>0.69</v>
      </c>
      <c r="M69" s="4">
        <v>0.1343</v>
      </c>
      <c r="N69" s="4">
        <v>20</v>
      </c>
      <c r="O69" s="2">
        <v>20</v>
      </c>
      <c r="P69" s="2" t="str">
        <f t="shared" si="1"/>
        <v>Wednesday</v>
      </c>
      <c r="Q69" s="2" t="str">
        <f>IF(Table1[[#This Row],[temp]]&gt;=0.24,"cold","colder")</f>
        <v>colder</v>
      </c>
      <c r="R69" s="4">
        <v>0</v>
      </c>
      <c r="S69" s="16" t="str" cm="1">
        <f t="array" ref="S69">_xlfn.IFS(Table1[[#This Row],[weathersit]]=1,"clear sky",Table1[[#This Row],[weathersit]]=2,"mist",Table1[[#This Row],[weathersit]]=3,"partially dark",Table1[[#This Row],[weathersit]]=4,"rain")</f>
        <v>clear sky</v>
      </c>
    </row>
    <row r="70" spans="1:19" ht="15" customHeight="1" x14ac:dyDescent="0.3">
      <c r="A70" s="2">
        <v>69</v>
      </c>
      <c r="B70" s="3">
        <v>40612</v>
      </c>
      <c r="C70" s="2">
        <v>1</v>
      </c>
      <c r="D70" s="2">
        <v>0</v>
      </c>
      <c r="E70" s="2">
        <v>1</v>
      </c>
      <c r="F70" s="2">
        <v>23</v>
      </c>
      <c r="G70" s="2" t="b">
        <v>0</v>
      </c>
      <c r="H70" s="2">
        <v>1</v>
      </c>
      <c r="I70" s="2">
        <v>1</v>
      </c>
      <c r="J70" s="2">
        <v>0.18</v>
      </c>
      <c r="K70" s="4">
        <v>0.21210000000000001</v>
      </c>
      <c r="L70" s="4">
        <v>0.55000000000000004</v>
      </c>
      <c r="M70" s="4">
        <v>0.1045</v>
      </c>
      <c r="N70" s="4">
        <v>11</v>
      </c>
      <c r="O70" s="2">
        <v>12</v>
      </c>
      <c r="P70" s="2" t="str">
        <f t="shared" si="1"/>
        <v>Thursday</v>
      </c>
      <c r="Q70" s="2" t="str">
        <f>IF(Table1[[#This Row],[temp]]&gt;=0.24,"cold","colder")</f>
        <v>colder</v>
      </c>
      <c r="R70" s="4">
        <v>1</v>
      </c>
      <c r="S70" s="16" t="str" cm="1">
        <f t="array" ref="S70">_xlfn.IFS(Table1[[#This Row],[weathersit]]=1,"clear sky",Table1[[#This Row],[weathersit]]=2,"mist",Table1[[#This Row],[weathersit]]=3,"partially dark",Table1[[#This Row],[weathersit]]=4,"rain")</f>
        <v>clear sky</v>
      </c>
    </row>
    <row r="71" spans="1:19" ht="15" customHeight="1" x14ac:dyDescent="0.3">
      <c r="A71" s="2">
        <v>70</v>
      </c>
      <c r="B71" s="3">
        <v>40613</v>
      </c>
      <c r="C71" s="2">
        <v>1</v>
      </c>
      <c r="D71" s="2">
        <v>0</v>
      </c>
      <c r="E71" s="2">
        <v>1</v>
      </c>
      <c r="F71" s="2">
        <v>0</v>
      </c>
      <c r="G71" s="2" t="b">
        <v>0</v>
      </c>
      <c r="H71" s="2">
        <v>2</v>
      </c>
      <c r="I71" s="2">
        <v>1</v>
      </c>
      <c r="J71" s="2">
        <v>0.16</v>
      </c>
      <c r="K71" s="4">
        <v>0.21179999999999999</v>
      </c>
      <c r="L71" s="4">
        <v>0.55000000000000004</v>
      </c>
      <c r="M71" s="4">
        <v>0.1045</v>
      </c>
      <c r="N71" s="4">
        <v>5</v>
      </c>
      <c r="O71" s="2">
        <v>5</v>
      </c>
      <c r="P71" s="2" t="str">
        <f t="shared" si="1"/>
        <v>Friday</v>
      </c>
      <c r="Q71" s="2" t="str">
        <f>IF(Table1[[#This Row],[temp]]&gt;=0.24,"cold","colder")</f>
        <v>colder</v>
      </c>
      <c r="R71" s="4">
        <v>0</v>
      </c>
      <c r="S71" s="16" t="str" cm="1">
        <f t="array" ref="S71">_xlfn.IFS(Table1[[#This Row],[weathersit]]=1,"clear sky",Table1[[#This Row],[weathersit]]=2,"mist",Table1[[#This Row],[weathersit]]=3,"partially dark",Table1[[#This Row],[weathersit]]=4,"rain")</f>
        <v>clear sky</v>
      </c>
    </row>
    <row r="72" spans="1:19" ht="15" customHeight="1" x14ac:dyDescent="0.3">
      <c r="A72" s="2">
        <v>71</v>
      </c>
      <c r="B72" s="3">
        <v>40614</v>
      </c>
      <c r="C72" s="2">
        <v>1</v>
      </c>
      <c r="D72" s="2">
        <v>0</v>
      </c>
      <c r="E72" s="2">
        <v>1</v>
      </c>
      <c r="F72" s="2">
        <v>1</v>
      </c>
      <c r="G72" s="2" t="b">
        <v>0</v>
      </c>
      <c r="H72" s="2">
        <v>2</v>
      </c>
      <c r="I72" s="2">
        <v>1</v>
      </c>
      <c r="J72" s="2">
        <v>0.16</v>
      </c>
      <c r="K72" s="4">
        <v>0.18179999999999999</v>
      </c>
      <c r="L72" s="4">
        <v>0.59</v>
      </c>
      <c r="M72" s="4">
        <v>0.1045</v>
      </c>
      <c r="N72" s="4">
        <v>2</v>
      </c>
      <c r="O72" s="2">
        <v>2</v>
      </c>
      <c r="P72" s="2" t="str">
        <f t="shared" si="1"/>
        <v>Saturday</v>
      </c>
      <c r="Q72" s="2" t="str">
        <f>IF(Table1[[#This Row],[temp]]&gt;=0.24,"cold","colder")</f>
        <v>colder</v>
      </c>
      <c r="R72" s="4">
        <v>0</v>
      </c>
      <c r="S72" s="16" t="str" cm="1">
        <f t="array" ref="S72">_xlfn.IFS(Table1[[#This Row],[weathersit]]=1,"clear sky",Table1[[#This Row],[weathersit]]=2,"mist",Table1[[#This Row],[weathersit]]=3,"partially dark",Table1[[#This Row],[weathersit]]=4,"rain")</f>
        <v>clear sky</v>
      </c>
    </row>
    <row r="73" spans="1:19" ht="15" customHeight="1" x14ac:dyDescent="0.3">
      <c r="A73" s="2">
        <v>72</v>
      </c>
      <c r="B73" s="3">
        <v>40615</v>
      </c>
      <c r="C73" s="2">
        <v>1</v>
      </c>
      <c r="D73" s="2">
        <v>0</v>
      </c>
      <c r="E73" s="2">
        <v>1</v>
      </c>
      <c r="F73" s="2">
        <v>2</v>
      </c>
      <c r="G73" s="2" t="b">
        <v>0</v>
      </c>
      <c r="H73" s="2">
        <v>2</v>
      </c>
      <c r="I73" s="2">
        <v>1</v>
      </c>
      <c r="J73" s="2">
        <v>0.14000000000000001</v>
      </c>
      <c r="K73" s="4">
        <v>0.1515</v>
      </c>
      <c r="L73" s="4">
        <v>0.63</v>
      </c>
      <c r="M73" s="4">
        <v>0.1343</v>
      </c>
      <c r="N73" s="4">
        <v>1</v>
      </c>
      <c r="O73" s="2">
        <v>1</v>
      </c>
      <c r="P73" s="2" t="str">
        <f t="shared" si="1"/>
        <v>Sunday</v>
      </c>
      <c r="Q73" s="2" t="str">
        <f>IF(Table1[[#This Row],[temp]]&gt;=0.24,"cold","colder")</f>
        <v>colder</v>
      </c>
      <c r="R73" s="4">
        <v>0</v>
      </c>
      <c r="S73" s="16" t="str" cm="1">
        <f t="array" ref="S73">_xlfn.IFS(Table1[[#This Row],[weathersit]]=1,"clear sky",Table1[[#This Row],[weathersit]]=2,"mist",Table1[[#This Row],[weathersit]]=3,"partially dark",Table1[[#This Row],[weathersit]]=4,"rain")</f>
        <v>clear sky</v>
      </c>
    </row>
    <row r="74" spans="1:19" ht="15" customHeight="1" x14ac:dyDescent="0.3">
      <c r="A74" s="2">
        <v>73</v>
      </c>
      <c r="B74" s="3">
        <v>40616</v>
      </c>
      <c r="C74" s="2">
        <v>1</v>
      </c>
      <c r="D74" s="2">
        <v>0</v>
      </c>
      <c r="E74" s="2">
        <v>1</v>
      </c>
      <c r="F74" s="2">
        <v>4</v>
      </c>
      <c r="G74" s="2" t="b">
        <v>0</v>
      </c>
      <c r="H74" s="2">
        <v>2</v>
      </c>
      <c r="I74" s="2">
        <v>1</v>
      </c>
      <c r="J74" s="2">
        <v>0.14000000000000001</v>
      </c>
      <c r="K74" s="4">
        <v>0.18179999999999999</v>
      </c>
      <c r="L74" s="4">
        <v>0.63</v>
      </c>
      <c r="M74" s="4">
        <v>8.9599999999999999E-2</v>
      </c>
      <c r="N74" s="4">
        <v>2</v>
      </c>
      <c r="O74" s="2">
        <v>2</v>
      </c>
      <c r="P74" s="2" t="str">
        <f t="shared" si="1"/>
        <v>Monday</v>
      </c>
      <c r="Q74" s="2" t="str">
        <f>IF(Table1[[#This Row],[temp]]&gt;=0.24,"cold","colder")</f>
        <v>colder</v>
      </c>
      <c r="R74" s="4">
        <v>0</v>
      </c>
      <c r="S74" s="16" t="str" cm="1">
        <f t="array" ref="S74">_xlfn.IFS(Table1[[#This Row],[weathersit]]=1,"clear sky",Table1[[#This Row],[weathersit]]=2,"mist",Table1[[#This Row],[weathersit]]=3,"partially dark",Table1[[#This Row],[weathersit]]=4,"rain")</f>
        <v>clear sky</v>
      </c>
    </row>
    <row r="75" spans="1:19" ht="15" customHeight="1" x14ac:dyDescent="0.3">
      <c r="A75" s="2">
        <v>74</v>
      </c>
      <c r="B75" s="3">
        <v>40617</v>
      </c>
      <c r="C75" s="2">
        <v>1</v>
      </c>
      <c r="D75" s="2">
        <v>0</v>
      </c>
      <c r="E75" s="2">
        <v>1</v>
      </c>
      <c r="F75" s="2">
        <v>5</v>
      </c>
      <c r="G75" s="2" t="b">
        <v>0</v>
      </c>
      <c r="H75" s="2">
        <v>2</v>
      </c>
      <c r="I75" s="2">
        <v>1</v>
      </c>
      <c r="J75" s="2">
        <v>0.12</v>
      </c>
      <c r="K75" s="4">
        <v>0.1515</v>
      </c>
      <c r="L75" s="4">
        <v>0.68</v>
      </c>
      <c r="M75" s="4">
        <v>0.1045</v>
      </c>
      <c r="N75" s="4">
        <v>4</v>
      </c>
      <c r="O75" s="2">
        <v>4</v>
      </c>
      <c r="P75" s="2" t="str">
        <f t="shared" si="1"/>
        <v>Tuesday</v>
      </c>
      <c r="Q75" s="2" t="str">
        <f>IF(Table1[[#This Row],[temp]]&gt;=0.24,"cold","colder")</f>
        <v>colder</v>
      </c>
      <c r="R75" s="4">
        <v>0</v>
      </c>
      <c r="S75" s="16" t="str" cm="1">
        <f t="array" ref="S75">_xlfn.IFS(Table1[[#This Row],[weathersit]]=1,"clear sky",Table1[[#This Row],[weathersit]]=2,"mist",Table1[[#This Row],[weathersit]]=3,"partially dark",Table1[[#This Row],[weathersit]]=4,"rain")</f>
        <v>clear sky</v>
      </c>
    </row>
    <row r="76" spans="1:19" ht="15" customHeight="1" x14ac:dyDescent="0.3">
      <c r="A76" s="2">
        <v>75</v>
      </c>
      <c r="B76" s="3">
        <v>40618</v>
      </c>
      <c r="C76" s="2">
        <v>1</v>
      </c>
      <c r="D76" s="2">
        <v>0</v>
      </c>
      <c r="E76" s="2">
        <v>1</v>
      </c>
      <c r="F76" s="2">
        <v>6</v>
      </c>
      <c r="G76" s="2" t="b">
        <v>0</v>
      </c>
      <c r="H76" s="2">
        <v>2</v>
      </c>
      <c r="I76" s="2">
        <v>1</v>
      </c>
      <c r="J76" s="2">
        <v>0.12</v>
      </c>
      <c r="K76" s="4">
        <v>0.1515</v>
      </c>
      <c r="L76" s="4">
        <v>0.74</v>
      </c>
      <c r="M76" s="4">
        <v>0.1045</v>
      </c>
      <c r="N76" s="4">
        <v>36</v>
      </c>
      <c r="O76" s="2">
        <v>36</v>
      </c>
      <c r="P76" s="2" t="str">
        <f t="shared" si="1"/>
        <v>Wednesday</v>
      </c>
      <c r="Q76" s="2" t="str">
        <f>IF(Table1[[#This Row],[temp]]&gt;=0.24,"cold","colder")</f>
        <v>colder</v>
      </c>
      <c r="R76" s="4">
        <v>0</v>
      </c>
      <c r="S76" s="16" t="str" cm="1">
        <f t="array" ref="S76">_xlfn.IFS(Table1[[#This Row],[weathersit]]=1,"clear sky",Table1[[#This Row],[weathersit]]=2,"mist",Table1[[#This Row],[weathersit]]=3,"partially dark",Table1[[#This Row],[weathersit]]=4,"rain")</f>
        <v>clear sky</v>
      </c>
    </row>
    <row r="77" spans="1:19" ht="15" customHeight="1" x14ac:dyDescent="0.3">
      <c r="A77" s="2">
        <v>76</v>
      </c>
      <c r="B77" s="3">
        <v>40619</v>
      </c>
      <c r="C77" s="2">
        <v>1</v>
      </c>
      <c r="D77" s="2">
        <v>0</v>
      </c>
      <c r="E77" s="2">
        <v>1</v>
      </c>
      <c r="F77" s="2">
        <v>7</v>
      </c>
      <c r="G77" s="2" t="b">
        <v>0</v>
      </c>
      <c r="H77" s="2">
        <v>2</v>
      </c>
      <c r="I77" s="2">
        <v>1</v>
      </c>
      <c r="J77" s="2">
        <v>0.12</v>
      </c>
      <c r="K77" s="4">
        <v>0.1515</v>
      </c>
      <c r="L77" s="4">
        <v>0.74</v>
      </c>
      <c r="M77" s="4">
        <v>0.1343</v>
      </c>
      <c r="N77" s="4">
        <v>92</v>
      </c>
      <c r="O77" s="2">
        <v>94</v>
      </c>
      <c r="P77" s="2" t="str">
        <f t="shared" si="1"/>
        <v>Thursday</v>
      </c>
      <c r="Q77" s="2" t="str">
        <f>IF(Table1[[#This Row],[temp]]&gt;=0.24,"cold","colder")</f>
        <v>colder</v>
      </c>
      <c r="R77" s="4">
        <v>2</v>
      </c>
      <c r="S77" s="16" t="str" cm="1">
        <f t="array" ref="S77">_xlfn.IFS(Table1[[#This Row],[weathersit]]=1,"clear sky",Table1[[#This Row],[weathersit]]=2,"mist",Table1[[#This Row],[weathersit]]=3,"partially dark",Table1[[#This Row],[weathersit]]=4,"rain")</f>
        <v>clear sky</v>
      </c>
    </row>
    <row r="78" spans="1:19" ht="15" customHeight="1" x14ac:dyDescent="0.3">
      <c r="A78" s="2">
        <v>77</v>
      </c>
      <c r="B78" s="3">
        <v>40620</v>
      </c>
      <c r="C78" s="2">
        <v>1</v>
      </c>
      <c r="D78" s="2">
        <v>0</v>
      </c>
      <c r="E78" s="2">
        <v>1</v>
      </c>
      <c r="F78" s="2">
        <v>8</v>
      </c>
      <c r="G78" s="2" t="b">
        <v>0</v>
      </c>
      <c r="H78" s="2">
        <v>2</v>
      </c>
      <c r="I78" s="2">
        <v>1</v>
      </c>
      <c r="J78" s="2">
        <v>0.14000000000000001</v>
      </c>
      <c r="K78" s="4">
        <v>0.1515</v>
      </c>
      <c r="L78" s="4">
        <v>0.69</v>
      </c>
      <c r="M78" s="4">
        <v>0.16420000000000001</v>
      </c>
      <c r="N78" s="4">
        <v>177</v>
      </c>
      <c r="O78" s="2">
        <v>179</v>
      </c>
      <c r="P78" s="2" t="str">
        <f t="shared" si="1"/>
        <v>Friday</v>
      </c>
      <c r="Q78" s="2" t="str">
        <f>IF(Table1[[#This Row],[temp]]&gt;=0.24,"cold","colder")</f>
        <v>colder</v>
      </c>
      <c r="R78" s="4">
        <v>2</v>
      </c>
      <c r="S78" s="16" t="str" cm="1">
        <f t="array" ref="S78">_xlfn.IFS(Table1[[#This Row],[weathersit]]=1,"clear sky",Table1[[#This Row],[weathersit]]=2,"mist",Table1[[#This Row],[weathersit]]=3,"partially dark",Table1[[#This Row],[weathersit]]=4,"rain")</f>
        <v>clear sky</v>
      </c>
    </row>
    <row r="79" spans="1:19" ht="15" customHeight="1" x14ac:dyDescent="0.3">
      <c r="A79" s="2">
        <v>78</v>
      </c>
      <c r="B79" s="3">
        <v>40621</v>
      </c>
      <c r="C79" s="2">
        <v>1</v>
      </c>
      <c r="D79" s="2">
        <v>0</v>
      </c>
      <c r="E79" s="2">
        <v>1</v>
      </c>
      <c r="F79" s="2">
        <v>9</v>
      </c>
      <c r="G79" s="2" t="b">
        <v>0</v>
      </c>
      <c r="H79" s="2">
        <v>2</v>
      </c>
      <c r="I79" s="2">
        <v>1</v>
      </c>
      <c r="J79" s="2">
        <v>0.16</v>
      </c>
      <c r="K79" s="4">
        <v>0.1515</v>
      </c>
      <c r="L79" s="4">
        <v>0.64</v>
      </c>
      <c r="M79" s="4">
        <v>0.22389999999999999</v>
      </c>
      <c r="N79" s="4">
        <v>98</v>
      </c>
      <c r="O79" s="2">
        <v>100</v>
      </c>
      <c r="P79" s="2" t="str">
        <f t="shared" si="1"/>
        <v>Saturday</v>
      </c>
      <c r="Q79" s="2" t="str">
        <f>IF(Table1[[#This Row],[temp]]&gt;=0.24,"cold","colder")</f>
        <v>colder</v>
      </c>
      <c r="R79" s="4">
        <v>2</v>
      </c>
      <c r="S79" s="16" t="str" cm="1">
        <f t="array" ref="S79">_xlfn.IFS(Table1[[#This Row],[weathersit]]=1,"clear sky",Table1[[#This Row],[weathersit]]=2,"mist",Table1[[#This Row],[weathersit]]=3,"partially dark",Table1[[#This Row],[weathersit]]=4,"rain")</f>
        <v>clear sky</v>
      </c>
    </row>
    <row r="80" spans="1:19" ht="15" customHeight="1" x14ac:dyDescent="0.3">
      <c r="A80" s="2">
        <v>79</v>
      </c>
      <c r="B80" s="3">
        <v>40622</v>
      </c>
      <c r="C80" s="2">
        <v>1</v>
      </c>
      <c r="D80" s="2">
        <v>0</v>
      </c>
      <c r="E80" s="2">
        <v>1</v>
      </c>
      <c r="F80" s="2">
        <v>10</v>
      </c>
      <c r="G80" s="2" t="b">
        <v>0</v>
      </c>
      <c r="H80" s="2">
        <v>2</v>
      </c>
      <c r="I80" s="2">
        <v>2</v>
      </c>
      <c r="J80" s="2">
        <v>0.16</v>
      </c>
      <c r="K80" s="4">
        <v>0.13639999999999999</v>
      </c>
      <c r="L80" s="4">
        <v>0.69</v>
      </c>
      <c r="M80" s="4">
        <v>0.32840000000000003</v>
      </c>
      <c r="N80" s="4">
        <v>37</v>
      </c>
      <c r="O80" s="2">
        <v>42</v>
      </c>
      <c r="P80" s="2" t="str">
        <f t="shared" si="1"/>
        <v>Sunday</v>
      </c>
      <c r="Q80" s="2" t="str">
        <f>IF(Table1[[#This Row],[temp]]&gt;=0.24,"cold","colder")</f>
        <v>colder</v>
      </c>
      <c r="R80" s="4">
        <v>5</v>
      </c>
      <c r="S80" s="16" t="str" cm="1">
        <f t="array" ref="S80">_xlfn.IFS(Table1[[#This Row],[weathersit]]=1,"clear sky",Table1[[#This Row],[weathersit]]=2,"mist",Table1[[#This Row],[weathersit]]=3,"partially dark",Table1[[#This Row],[weathersit]]=4,"rain")</f>
        <v>mist</v>
      </c>
    </row>
    <row r="81" spans="1:19" ht="15" customHeight="1" x14ac:dyDescent="0.3">
      <c r="A81" s="2">
        <v>80</v>
      </c>
      <c r="B81" s="3">
        <v>40623</v>
      </c>
      <c r="C81" s="2">
        <v>1</v>
      </c>
      <c r="D81" s="2">
        <v>0</v>
      </c>
      <c r="E81" s="2">
        <v>1</v>
      </c>
      <c r="F81" s="2">
        <v>11</v>
      </c>
      <c r="G81" s="2" t="b">
        <v>0</v>
      </c>
      <c r="H81" s="2">
        <v>2</v>
      </c>
      <c r="I81" s="2">
        <v>1</v>
      </c>
      <c r="J81" s="2">
        <v>0.22</v>
      </c>
      <c r="K81" s="4">
        <v>0.21210000000000001</v>
      </c>
      <c r="L81" s="4">
        <v>0.51</v>
      </c>
      <c r="M81" s="4">
        <v>0.29849999999999999</v>
      </c>
      <c r="N81" s="4">
        <v>50</v>
      </c>
      <c r="O81" s="2">
        <v>57</v>
      </c>
      <c r="P81" s="2" t="str">
        <f t="shared" si="1"/>
        <v>Monday</v>
      </c>
      <c r="Q81" s="2" t="str">
        <f>IF(Table1[[#This Row],[temp]]&gt;=0.24,"cold","colder")</f>
        <v>colder</v>
      </c>
      <c r="R81" s="4">
        <v>7</v>
      </c>
      <c r="S81" s="16" t="str" cm="1">
        <f t="array" ref="S81">_xlfn.IFS(Table1[[#This Row],[weathersit]]=1,"clear sky",Table1[[#This Row],[weathersit]]=2,"mist",Table1[[#This Row],[weathersit]]=3,"partially dark",Table1[[#This Row],[weathersit]]=4,"rain")</f>
        <v>clear sky</v>
      </c>
    </row>
    <row r="82" spans="1:19" ht="15" customHeight="1" x14ac:dyDescent="0.3">
      <c r="A82" s="2">
        <v>81</v>
      </c>
      <c r="B82" s="3">
        <v>40624</v>
      </c>
      <c r="C82" s="2">
        <v>1</v>
      </c>
      <c r="D82" s="2">
        <v>0</v>
      </c>
      <c r="E82" s="2">
        <v>1</v>
      </c>
      <c r="F82" s="2">
        <v>12</v>
      </c>
      <c r="G82" s="2" t="b">
        <v>0</v>
      </c>
      <c r="H82" s="2">
        <v>2</v>
      </c>
      <c r="I82" s="2">
        <v>1</v>
      </c>
      <c r="J82" s="2">
        <v>0.22</v>
      </c>
      <c r="K82" s="4">
        <v>0.2273</v>
      </c>
      <c r="L82" s="4">
        <v>0.51</v>
      </c>
      <c r="M82" s="4">
        <v>0.16420000000000001</v>
      </c>
      <c r="N82" s="4">
        <v>66</v>
      </c>
      <c r="O82" s="2">
        <v>78</v>
      </c>
      <c r="P82" s="2" t="str">
        <f t="shared" si="1"/>
        <v>Tuesday</v>
      </c>
      <c r="Q82" s="2" t="str">
        <f>IF(Table1[[#This Row],[temp]]&gt;=0.24,"cold","colder")</f>
        <v>colder</v>
      </c>
      <c r="R82" s="4">
        <v>12</v>
      </c>
      <c r="S82" s="16" t="str" cm="1">
        <f t="array" ref="S82">_xlfn.IFS(Table1[[#This Row],[weathersit]]=1,"clear sky",Table1[[#This Row],[weathersit]]=2,"mist",Table1[[#This Row],[weathersit]]=3,"partially dark",Table1[[#This Row],[weathersit]]=4,"rain")</f>
        <v>clear sky</v>
      </c>
    </row>
    <row r="83" spans="1:19" ht="15" customHeight="1" x14ac:dyDescent="0.3">
      <c r="A83" s="2">
        <v>82</v>
      </c>
      <c r="B83" s="3">
        <v>40625</v>
      </c>
      <c r="C83" s="2">
        <v>1</v>
      </c>
      <c r="D83" s="2">
        <v>0</v>
      </c>
      <c r="E83" s="2">
        <v>1</v>
      </c>
      <c r="F83" s="2">
        <v>13</v>
      </c>
      <c r="G83" s="2" t="b">
        <v>0</v>
      </c>
      <c r="H83" s="2">
        <v>2</v>
      </c>
      <c r="I83" s="2">
        <v>1</v>
      </c>
      <c r="J83" s="2">
        <v>0.24</v>
      </c>
      <c r="K83" s="4">
        <v>0.2273</v>
      </c>
      <c r="L83" s="4">
        <v>0.56000000000000005</v>
      </c>
      <c r="M83" s="4">
        <v>0.19400000000000001</v>
      </c>
      <c r="N83" s="4">
        <v>79</v>
      </c>
      <c r="O83" s="2">
        <v>97</v>
      </c>
      <c r="P83" s="2" t="str">
        <f t="shared" si="1"/>
        <v>Wednesday</v>
      </c>
      <c r="Q83" s="2" t="str">
        <f>IF(Table1[[#This Row],[temp]]&gt;=0.24,"cold","colder")</f>
        <v>cold</v>
      </c>
      <c r="R83" s="4">
        <v>18</v>
      </c>
      <c r="S83" s="16" t="str" cm="1">
        <f t="array" ref="S83">_xlfn.IFS(Table1[[#This Row],[weathersit]]=1,"clear sky",Table1[[#This Row],[weathersit]]=2,"mist",Table1[[#This Row],[weathersit]]=3,"partially dark",Table1[[#This Row],[weathersit]]=4,"rain")</f>
        <v>clear sky</v>
      </c>
    </row>
    <row r="84" spans="1:19" ht="15" customHeight="1" x14ac:dyDescent="0.3">
      <c r="A84" s="2">
        <v>83</v>
      </c>
      <c r="B84" s="3">
        <v>40626</v>
      </c>
      <c r="C84" s="2">
        <v>1</v>
      </c>
      <c r="D84" s="2">
        <v>0</v>
      </c>
      <c r="E84" s="2">
        <v>1</v>
      </c>
      <c r="F84" s="2">
        <v>14</v>
      </c>
      <c r="G84" s="2" t="b">
        <v>0</v>
      </c>
      <c r="H84" s="2">
        <v>2</v>
      </c>
      <c r="I84" s="2">
        <v>1</v>
      </c>
      <c r="J84" s="2">
        <v>0.26</v>
      </c>
      <c r="K84" s="4">
        <v>0.2576</v>
      </c>
      <c r="L84" s="4">
        <v>0.52</v>
      </c>
      <c r="M84" s="4">
        <v>0.22389999999999999</v>
      </c>
      <c r="N84" s="4">
        <v>54</v>
      </c>
      <c r="O84" s="2">
        <v>63</v>
      </c>
      <c r="P84" s="2" t="str">
        <f t="shared" si="1"/>
        <v>Thursday</v>
      </c>
      <c r="Q84" s="2" t="str">
        <f>IF(Table1[[#This Row],[temp]]&gt;=0.24,"cold","colder")</f>
        <v>cold</v>
      </c>
      <c r="R84" s="4">
        <v>9</v>
      </c>
      <c r="S84" s="16" t="str" cm="1">
        <f t="array" ref="S84">_xlfn.IFS(Table1[[#This Row],[weathersit]]=1,"clear sky",Table1[[#This Row],[weathersit]]=2,"mist",Table1[[#This Row],[weathersit]]=3,"partially dark",Table1[[#This Row],[weathersit]]=4,"rain")</f>
        <v>clear sky</v>
      </c>
    </row>
    <row r="85" spans="1:19" ht="15" customHeight="1" x14ac:dyDescent="0.3">
      <c r="A85" s="2">
        <v>84</v>
      </c>
      <c r="B85" s="3">
        <v>40627</v>
      </c>
      <c r="C85" s="2">
        <v>1</v>
      </c>
      <c r="D85" s="2">
        <v>0</v>
      </c>
      <c r="E85" s="2">
        <v>1</v>
      </c>
      <c r="F85" s="2">
        <v>15</v>
      </c>
      <c r="G85" s="2" t="b">
        <v>0</v>
      </c>
      <c r="H85" s="2">
        <v>2</v>
      </c>
      <c r="I85" s="2">
        <v>1</v>
      </c>
      <c r="J85" s="2">
        <v>0.28000000000000003</v>
      </c>
      <c r="K85" s="4">
        <v>0.2727</v>
      </c>
      <c r="L85" s="4">
        <v>0.52</v>
      </c>
      <c r="M85" s="4">
        <v>0.25369999999999998</v>
      </c>
      <c r="N85" s="4">
        <v>48</v>
      </c>
      <c r="O85" s="2">
        <v>65</v>
      </c>
      <c r="P85" s="2" t="str">
        <f t="shared" si="1"/>
        <v>Friday</v>
      </c>
      <c r="Q85" s="2" t="str">
        <f>IF(Table1[[#This Row],[temp]]&gt;=0.24,"cold","colder")</f>
        <v>cold</v>
      </c>
      <c r="R85" s="4">
        <v>17</v>
      </c>
      <c r="S85" s="16" t="str" cm="1">
        <f t="array" ref="S85">_xlfn.IFS(Table1[[#This Row],[weathersit]]=1,"clear sky",Table1[[#This Row],[weathersit]]=2,"mist",Table1[[#This Row],[weathersit]]=3,"partially dark",Table1[[#This Row],[weathersit]]=4,"rain")</f>
        <v>clear sky</v>
      </c>
    </row>
    <row r="86" spans="1:19" ht="15" customHeight="1" x14ac:dyDescent="0.3">
      <c r="A86" s="2">
        <v>85</v>
      </c>
      <c r="B86" s="3">
        <v>40628</v>
      </c>
      <c r="C86" s="2">
        <v>1</v>
      </c>
      <c r="D86" s="2">
        <v>0</v>
      </c>
      <c r="E86" s="2">
        <v>1</v>
      </c>
      <c r="F86" s="2">
        <v>16</v>
      </c>
      <c r="G86" s="2" t="b">
        <v>0</v>
      </c>
      <c r="H86" s="2">
        <v>2</v>
      </c>
      <c r="I86" s="2">
        <v>1</v>
      </c>
      <c r="J86" s="2">
        <v>0.3</v>
      </c>
      <c r="K86" s="4">
        <v>0.28789999999999999</v>
      </c>
      <c r="L86" s="4">
        <v>0.49</v>
      </c>
      <c r="M86" s="4">
        <v>0.25369999999999998</v>
      </c>
      <c r="N86" s="4">
        <v>68</v>
      </c>
      <c r="O86" s="2">
        <v>83</v>
      </c>
      <c r="P86" s="2" t="str">
        <f t="shared" si="1"/>
        <v>Saturday</v>
      </c>
      <c r="Q86" s="2" t="str">
        <f>IF(Table1[[#This Row],[temp]]&gt;=0.24,"cold","colder")</f>
        <v>cold</v>
      </c>
      <c r="R86" s="4">
        <v>15</v>
      </c>
      <c r="S86" s="16" t="str" cm="1">
        <f t="array" ref="S86">_xlfn.IFS(Table1[[#This Row],[weathersit]]=1,"clear sky",Table1[[#This Row],[weathersit]]=2,"mist",Table1[[#This Row],[weathersit]]=3,"partially dark",Table1[[#This Row],[weathersit]]=4,"rain")</f>
        <v>clear sky</v>
      </c>
    </row>
    <row r="87" spans="1:19" ht="15" customHeight="1" x14ac:dyDescent="0.3">
      <c r="A87" s="2">
        <v>86</v>
      </c>
      <c r="B87" s="3">
        <v>40629</v>
      </c>
      <c r="C87" s="2">
        <v>1</v>
      </c>
      <c r="D87" s="2">
        <v>0</v>
      </c>
      <c r="E87" s="2">
        <v>1</v>
      </c>
      <c r="F87" s="2">
        <v>17</v>
      </c>
      <c r="G87" s="2" t="b">
        <v>0</v>
      </c>
      <c r="H87" s="2">
        <v>2</v>
      </c>
      <c r="I87" s="2">
        <v>1</v>
      </c>
      <c r="J87" s="2">
        <v>0.28000000000000003</v>
      </c>
      <c r="K87" s="4">
        <v>0.2727</v>
      </c>
      <c r="L87" s="4">
        <v>0.48</v>
      </c>
      <c r="M87" s="4">
        <v>0.22389999999999999</v>
      </c>
      <c r="N87" s="4">
        <v>202</v>
      </c>
      <c r="O87" s="2">
        <v>212</v>
      </c>
      <c r="P87" s="2" t="str">
        <f t="shared" si="1"/>
        <v>Sunday</v>
      </c>
      <c r="Q87" s="2" t="str">
        <f>IF(Table1[[#This Row],[temp]]&gt;=0.24,"cold","colder")</f>
        <v>cold</v>
      </c>
      <c r="R87" s="4">
        <v>10</v>
      </c>
      <c r="S87" s="16" t="str" cm="1">
        <f t="array" ref="S87">_xlfn.IFS(Table1[[#This Row],[weathersit]]=1,"clear sky",Table1[[#This Row],[weathersit]]=2,"mist",Table1[[#This Row],[weathersit]]=3,"partially dark",Table1[[#This Row],[weathersit]]=4,"rain")</f>
        <v>clear sky</v>
      </c>
    </row>
    <row r="88" spans="1:19" ht="15" customHeight="1" x14ac:dyDescent="0.3">
      <c r="A88" s="2">
        <v>87</v>
      </c>
      <c r="B88" s="3">
        <v>40630</v>
      </c>
      <c r="C88" s="2">
        <v>1</v>
      </c>
      <c r="D88" s="2">
        <v>0</v>
      </c>
      <c r="E88" s="2">
        <v>1</v>
      </c>
      <c r="F88" s="2">
        <v>18</v>
      </c>
      <c r="G88" s="2" t="b">
        <v>0</v>
      </c>
      <c r="H88" s="2">
        <v>2</v>
      </c>
      <c r="I88" s="2">
        <v>1</v>
      </c>
      <c r="J88" s="2">
        <v>0.26</v>
      </c>
      <c r="K88" s="4">
        <v>0.2576</v>
      </c>
      <c r="L88" s="4">
        <v>0.48</v>
      </c>
      <c r="M88" s="4">
        <v>0.19400000000000001</v>
      </c>
      <c r="N88" s="4">
        <v>179</v>
      </c>
      <c r="O88" s="2">
        <v>182</v>
      </c>
      <c r="P88" s="2" t="str">
        <f t="shared" si="1"/>
        <v>Monday</v>
      </c>
      <c r="Q88" s="2" t="str">
        <f>IF(Table1[[#This Row],[temp]]&gt;=0.24,"cold","colder")</f>
        <v>cold</v>
      </c>
      <c r="R88" s="4">
        <v>3</v>
      </c>
      <c r="S88" s="16" t="str" cm="1">
        <f t="array" ref="S88">_xlfn.IFS(Table1[[#This Row],[weathersit]]=1,"clear sky",Table1[[#This Row],[weathersit]]=2,"mist",Table1[[#This Row],[weathersit]]=3,"partially dark",Table1[[#This Row],[weathersit]]=4,"rain")</f>
        <v>clear sky</v>
      </c>
    </row>
    <row r="89" spans="1:19" ht="15" customHeight="1" x14ac:dyDescent="0.3">
      <c r="A89" s="2">
        <v>88</v>
      </c>
      <c r="B89" s="3">
        <v>40631</v>
      </c>
      <c r="C89" s="2">
        <v>1</v>
      </c>
      <c r="D89" s="2">
        <v>0</v>
      </c>
      <c r="E89" s="2">
        <v>1</v>
      </c>
      <c r="F89" s="2">
        <v>19</v>
      </c>
      <c r="G89" s="2" t="b">
        <v>0</v>
      </c>
      <c r="H89" s="2">
        <v>2</v>
      </c>
      <c r="I89" s="2">
        <v>1</v>
      </c>
      <c r="J89" s="2">
        <v>0.24</v>
      </c>
      <c r="K89" s="4">
        <v>0.2576</v>
      </c>
      <c r="L89" s="4">
        <v>0.48</v>
      </c>
      <c r="M89" s="4">
        <v>0.1045</v>
      </c>
      <c r="N89" s="4">
        <v>110</v>
      </c>
      <c r="O89" s="2">
        <v>112</v>
      </c>
      <c r="P89" s="2" t="str">
        <f t="shared" si="1"/>
        <v>Tuesday</v>
      </c>
      <c r="Q89" s="2" t="str">
        <f>IF(Table1[[#This Row],[temp]]&gt;=0.24,"cold","colder")</f>
        <v>cold</v>
      </c>
      <c r="R89" s="4">
        <v>2</v>
      </c>
      <c r="S89" s="16" t="str" cm="1">
        <f t="array" ref="S89">_xlfn.IFS(Table1[[#This Row],[weathersit]]=1,"clear sky",Table1[[#This Row],[weathersit]]=2,"mist",Table1[[#This Row],[weathersit]]=3,"partially dark",Table1[[#This Row],[weathersit]]=4,"rain")</f>
        <v>clear sky</v>
      </c>
    </row>
    <row r="90" spans="1:19" ht="15" customHeight="1" x14ac:dyDescent="0.3">
      <c r="A90" s="2">
        <v>89</v>
      </c>
      <c r="B90" s="3">
        <v>40632</v>
      </c>
      <c r="C90" s="2">
        <v>1</v>
      </c>
      <c r="D90" s="2">
        <v>0</v>
      </c>
      <c r="E90" s="2">
        <v>1</v>
      </c>
      <c r="F90" s="2">
        <v>20</v>
      </c>
      <c r="G90" s="2" t="b">
        <v>0</v>
      </c>
      <c r="H90" s="2">
        <v>2</v>
      </c>
      <c r="I90" s="2">
        <v>1</v>
      </c>
      <c r="J90" s="2">
        <v>0.24</v>
      </c>
      <c r="K90" s="4">
        <v>0.2576</v>
      </c>
      <c r="L90" s="4">
        <v>0.48</v>
      </c>
      <c r="M90" s="4">
        <v>0.1045</v>
      </c>
      <c r="N90" s="4">
        <v>53</v>
      </c>
      <c r="O90" s="2">
        <v>54</v>
      </c>
      <c r="P90" s="2" t="str">
        <f t="shared" si="1"/>
        <v>Wednesday</v>
      </c>
      <c r="Q90" s="2" t="str">
        <f>IF(Table1[[#This Row],[temp]]&gt;=0.24,"cold","colder")</f>
        <v>cold</v>
      </c>
      <c r="R90" s="4">
        <v>1</v>
      </c>
      <c r="S90" s="16" t="str" cm="1">
        <f t="array" ref="S90">_xlfn.IFS(Table1[[#This Row],[weathersit]]=1,"clear sky",Table1[[#This Row],[weathersit]]=2,"mist",Table1[[#This Row],[weathersit]]=3,"partially dark",Table1[[#This Row],[weathersit]]=4,"rain")</f>
        <v>clear sky</v>
      </c>
    </row>
    <row r="91" spans="1:19" ht="15" customHeight="1" x14ac:dyDescent="0.3">
      <c r="A91" s="2">
        <v>90</v>
      </c>
      <c r="B91" s="3">
        <v>40633</v>
      </c>
      <c r="C91" s="2">
        <v>1</v>
      </c>
      <c r="D91" s="2">
        <v>0</v>
      </c>
      <c r="E91" s="2">
        <v>1</v>
      </c>
      <c r="F91" s="2">
        <v>21</v>
      </c>
      <c r="G91" s="2" t="b">
        <v>0</v>
      </c>
      <c r="H91" s="2">
        <v>2</v>
      </c>
      <c r="I91" s="2">
        <v>1</v>
      </c>
      <c r="J91" s="2">
        <v>0.22</v>
      </c>
      <c r="K91" s="4">
        <v>0.2727</v>
      </c>
      <c r="L91" s="4">
        <v>0.64</v>
      </c>
      <c r="M91" s="4">
        <v>0</v>
      </c>
      <c r="N91" s="4">
        <v>48</v>
      </c>
      <c r="O91" s="2">
        <v>48</v>
      </c>
      <c r="P91" s="2" t="str">
        <f t="shared" si="1"/>
        <v>Thursday</v>
      </c>
      <c r="Q91" s="2" t="str">
        <f>IF(Table1[[#This Row],[temp]]&gt;=0.24,"cold","colder")</f>
        <v>colder</v>
      </c>
      <c r="R91" s="4">
        <v>0</v>
      </c>
      <c r="S91" s="16" t="str" cm="1">
        <f t="array" ref="S91">_xlfn.IFS(Table1[[#This Row],[weathersit]]=1,"clear sky",Table1[[#This Row],[weathersit]]=2,"mist",Table1[[#This Row],[weathersit]]=3,"partially dark",Table1[[#This Row],[weathersit]]=4,"rain")</f>
        <v>clear sky</v>
      </c>
    </row>
    <row r="92" spans="1:19" ht="15" customHeight="1" x14ac:dyDescent="0.3">
      <c r="A92" s="2">
        <v>91</v>
      </c>
      <c r="B92" s="3">
        <v>40634</v>
      </c>
      <c r="C92" s="2">
        <v>1</v>
      </c>
      <c r="D92" s="2">
        <v>0</v>
      </c>
      <c r="E92" s="2">
        <v>1</v>
      </c>
      <c r="F92" s="2">
        <v>22</v>
      </c>
      <c r="G92" s="2" t="b">
        <v>0</v>
      </c>
      <c r="H92" s="2">
        <v>2</v>
      </c>
      <c r="I92" s="2">
        <v>1</v>
      </c>
      <c r="J92" s="2">
        <v>0.22</v>
      </c>
      <c r="K92" s="4">
        <v>0.2576</v>
      </c>
      <c r="L92" s="4">
        <v>0.64</v>
      </c>
      <c r="M92" s="4">
        <v>8.9599999999999999E-2</v>
      </c>
      <c r="N92" s="4">
        <v>34</v>
      </c>
      <c r="O92" s="2">
        <v>35</v>
      </c>
      <c r="P92" s="2" t="str">
        <f t="shared" si="1"/>
        <v>Friday</v>
      </c>
      <c r="Q92" s="2" t="str">
        <f>IF(Table1[[#This Row],[temp]]&gt;=0.24,"cold","colder")</f>
        <v>colder</v>
      </c>
      <c r="R92" s="4">
        <v>1</v>
      </c>
      <c r="S92" s="16" t="str" cm="1">
        <f t="array" ref="S92">_xlfn.IFS(Table1[[#This Row],[weathersit]]=1,"clear sky",Table1[[#This Row],[weathersit]]=2,"mist",Table1[[#This Row],[weathersit]]=3,"partially dark",Table1[[#This Row],[weathersit]]=4,"rain")</f>
        <v>clear sky</v>
      </c>
    </row>
    <row r="93" spans="1:19" ht="15" customHeight="1" x14ac:dyDescent="0.3">
      <c r="A93" s="2">
        <v>92</v>
      </c>
      <c r="B93" s="3">
        <v>40635</v>
      </c>
      <c r="C93" s="2">
        <v>1</v>
      </c>
      <c r="D93" s="2">
        <v>0</v>
      </c>
      <c r="E93" s="2">
        <v>1</v>
      </c>
      <c r="F93" s="2">
        <v>23</v>
      </c>
      <c r="G93" s="2" t="b">
        <v>0</v>
      </c>
      <c r="H93" s="2">
        <v>2</v>
      </c>
      <c r="I93" s="2">
        <v>1</v>
      </c>
      <c r="J93" s="2">
        <v>0.2</v>
      </c>
      <c r="K93" s="4">
        <v>0.2273</v>
      </c>
      <c r="L93" s="4">
        <v>0.69</v>
      </c>
      <c r="M93" s="4">
        <v>8.9599999999999999E-2</v>
      </c>
      <c r="N93" s="4">
        <v>9</v>
      </c>
      <c r="O93" s="2">
        <v>11</v>
      </c>
      <c r="P93" s="2" t="str">
        <f t="shared" si="1"/>
        <v>Saturday</v>
      </c>
      <c r="Q93" s="2" t="str">
        <f>IF(Table1[[#This Row],[temp]]&gt;=0.24,"cold","colder")</f>
        <v>colder</v>
      </c>
      <c r="R93" s="4">
        <v>2</v>
      </c>
      <c r="S93" s="16" t="str" cm="1">
        <f t="array" ref="S93">_xlfn.IFS(Table1[[#This Row],[weathersit]]=1,"clear sky",Table1[[#This Row],[weathersit]]=2,"mist",Table1[[#This Row],[weathersit]]=3,"partially dark",Table1[[#This Row],[weathersit]]=4,"rain")</f>
        <v>clear sky</v>
      </c>
    </row>
    <row r="94" spans="1:19" ht="15" customHeight="1" x14ac:dyDescent="0.3">
      <c r="A94" s="2">
        <v>93</v>
      </c>
      <c r="B94" s="3">
        <v>40636</v>
      </c>
      <c r="C94" s="2">
        <v>1</v>
      </c>
      <c r="D94" s="2">
        <v>0</v>
      </c>
      <c r="E94" s="2">
        <v>1</v>
      </c>
      <c r="F94" s="2">
        <v>0</v>
      </c>
      <c r="G94" s="2" t="b">
        <v>0</v>
      </c>
      <c r="H94" s="2">
        <v>3</v>
      </c>
      <c r="I94" s="2">
        <v>1</v>
      </c>
      <c r="J94" s="2">
        <v>0.2</v>
      </c>
      <c r="K94" s="4">
        <v>0.2576</v>
      </c>
      <c r="L94" s="4">
        <v>0.64</v>
      </c>
      <c r="M94" s="4">
        <v>0</v>
      </c>
      <c r="N94" s="4">
        <v>6</v>
      </c>
      <c r="O94" s="2">
        <v>6</v>
      </c>
      <c r="P94" s="2" t="str">
        <f t="shared" si="1"/>
        <v>Sunday</v>
      </c>
      <c r="Q94" s="2" t="str">
        <f>IF(Table1[[#This Row],[temp]]&gt;=0.24,"cold","colder")</f>
        <v>colder</v>
      </c>
      <c r="R94" s="4">
        <v>0</v>
      </c>
      <c r="S94" s="16" t="str" cm="1">
        <f t="array" ref="S94">_xlfn.IFS(Table1[[#This Row],[weathersit]]=1,"clear sky",Table1[[#This Row],[weathersit]]=2,"mist",Table1[[#This Row],[weathersit]]=3,"partially dark",Table1[[#This Row],[weathersit]]=4,"rain")</f>
        <v>clear sky</v>
      </c>
    </row>
    <row r="95" spans="1:19" ht="15" customHeight="1" x14ac:dyDescent="0.3">
      <c r="A95" s="2">
        <v>94</v>
      </c>
      <c r="B95" s="3">
        <v>40637</v>
      </c>
      <c r="C95" s="2">
        <v>1</v>
      </c>
      <c r="D95" s="2">
        <v>0</v>
      </c>
      <c r="E95" s="2">
        <v>1</v>
      </c>
      <c r="F95" s="2">
        <v>1</v>
      </c>
      <c r="G95" s="2" t="b">
        <v>0</v>
      </c>
      <c r="H95" s="2">
        <v>3</v>
      </c>
      <c r="I95" s="2">
        <v>1</v>
      </c>
      <c r="J95" s="2">
        <v>0.16</v>
      </c>
      <c r="K95" s="4">
        <v>0.19700000000000001</v>
      </c>
      <c r="L95" s="4">
        <v>0.74</v>
      </c>
      <c r="M95" s="4">
        <v>8.9599999999999999E-2</v>
      </c>
      <c r="N95" s="4">
        <v>6</v>
      </c>
      <c r="O95" s="2">
        <v>6</v>
      </c>
      <c r="P95" s="2" t="str">
        <f t="shared" si="1"/>
        <v>Monday</v>
      </c>
      <c r="Q95" s="2" t="str">
        <f>IF(Table1[[#This Row],[temp]]&gt;=0.24,"cold","colder")</f>
        <v>colder</v>
      </c>
      <c r="R95" s="4">
        <v>0</v>
      </c>
      <c r="S95" s="16" t="str" cm="1">
        <f t="array" ref="S95">_xlfn.IFS(Table1[[#This Row],[weathersit]]=1,"clear sky",Table1[[#This Row],[weathersit]]=2,"mist",Table1[[#This Row],[weathersit]]=3,"partially dark",Table1[[#This Row],[weathersit]]=4,"rain")</f>
        <v>clear sky</v>
      </c>
    </row>
    <row r="96" spans="1:19" ht="15" customHeight="1" x14ac:dyDescent="0.3">
      <c r="A96" s="2">
        <v>95</v>
      </c>
      <c r="B96" s="3">
        <v>40638</v>
      </c>
      <c r="C96" s="2">
        <v>1</v>
      </c>
      <c r="D96" s="2">
        <v>0</v>
      </c>
      <c r="E96" s="2">
        <v>1</v>
      </c>
      <c r="F96" s="2">
        <v>2</v>
      </c>
      <c r="G96" s="2" t="b">
        <v>0</v>
      </c>
      <c r="H96" s="2">
        <v>3</v>
      </c>
      <c r="I96" s="2">
        <v>1</v>
      </c>
      <c r="J96" s="2">
        <v>0.16</v>
      </c>
      <c r="K96" s="4">
        <v>0.19700000000000001</v>
      </c>
      <c r="L96" s="4">
        <v>0.74</v>
      </c>
      <c r="M96" s="4">
        <v>8.9599999999999999E-2</v>
      </c>
      <c r="N96" s="4">
        <v>2</v>
      </c>
      <c r="O96" s="2">
        <v>2</v>
      </c>
      <c r="P96" s="2" t="str">
        <f t="shared" si="1"/>
        <v>Tuesday</v>
      </c>
      <c r="Q96" s="2" t="str">
        <f>IF(Table1[[#This Row],[temp]]&gt;=0.24,"cold","colder")</f>
        <v>colder</v>
      </c>
      <c r="R96" s="4">
        <v>0</v>
      </c>
      <c r="S96" s="16" t="str" cm="1">
        <f t="array" ref="S96">_xlfn.IFS(Table1[[#This Row],[weathersit]]=1,"clear sky",Table1[[#This Row],[weathersit]]=2,"mist",Table1[[#This Row],[weathersit]]=3,"partially dark",Table1[[#This Row],[weathersit]]=4,"rain")</f>
        <v>clear sky</v>
      </c>
    </row>
    <row r="97" spans="1:19" ht="15" customHeight="1" x14ac:dyDescent="0.3">
      <c r="A97" s="2">
        <v>96</v>
      </c>
      <c r="B97" s="3">
        <v>40639</v>
      </c>
      <c r="C97" s="2">
        <v>1</v>
      </c>
      <c r="D97" s="2">
        <v>0</v>
      </c>
      <c r="E97" s="2">
        <v>1</v>
      </c>
      <c r="F97" s="2">
        <v>4</v>
      </c>
      <c r="G97" s="2" t="b">
        <v>0</v>
      </c>
      <c r="H97" s="2">
        <v>3</v>
      </c>
      <c r="I97" s="2">
        <v>1</v>
      </c>
      <c r="J97" s="2">
        <v>0.24</v>
      </c>
      <c r="K97" s="4">
        <v>0.2273</v>
      </c>
      <c r="L97" s="4">
        <v>0.48</v>
      </c>
      <c r="M97" s="4">
        <v>0.22389999999999999</v>
      </c>
      <c r="N97" s="4">
        <v>2</v>
      </c>
      <c r="O97" s="2">
        <v>2</v>
      </c>
      <c r="P97" s="2" t="str">
        <f t="shared" si="1"/>
        <v>Wednesday</v>
      </c>
      <c r="Q97" s="2" t="str">
        <f>IF(Table1[[#This Row],[temp]]&gt;=0.24,"cold","colder")</f>
        <v>cold</v>
      </c>
      <c r="R97" s="4">
        <v>0</v>
      </c>
      <c r="S97" s="16" t="str" cm="1">
        <f t="array" ref="S97">_xlfn.IFS(Table1[[#This Row],[weathersit]]=1,"clear sky",Table1[[#This Row],[weathersit]]=2,"mist",Table1[[#This Row],[weathersit]]=3,"partially dark",Table1[[#This Row],[weathersit]]=4,"rain")</f>
        <v>clear sky</v>
      </c>
    </row>
    <row r="98" spans="1:19" ht="15" customHeight="1" x14ac:dyDescent="0.3">
      <c r="A98" s="2">
        <v>97</v>
      </c>
      <c r="B98" s="3">
        <v>40640</v>
      </c>
      <c r="C98" s="2">
        <v>1</v>
      </c>
      <c r="D98" s="2">
        <v>0</v>
      </c>
      <c r="E98" s="2">
        <v>1</v>
      </c>
      <c r="F98" s="2">
        <v>5</v>
      </c>
      <c r="G98" s="2" t="b">
        <v>0</v>
      </c>
      <c r="H98" s="2">
        <v>3</v>
      </c>
      <c r="I98" s="2">
        <v>1</v>
      </c>
      <c r="J98" s="2">
        <v>0.22</v>
      </c>
      <c r="K98" s="4">
        <v>0.2273</v>
      </c>
      <c r="L98" s="4">
        <v>0.47</v>
      </c>
      <c r="M98" s="4">
        <v>0.16420000000000001</v>
      </c>
      <c r="N98" s="4">
        <v>3</v>
      </c>
      <c r="O98" s="2">
        <v>3</v>
      </c>
      <c r="P98" s="2" t="str">
        <f t="shared" si="1"/>
        <v>Thursday</v>
      </c>
      <c r="Q98" s="2" t="str">
        <f>IF(Table1[[#This Row],[temp]]&gt;=0.24,"cold","colder")</f>
        <v>colder</v>
      </c>
      <c r="R98" s="4">
        <v>0</v>
      </c>
      <c r="S98" s="16" t="str" cm="1">
        <f t="array" ref="S98">_xlfn.IFS(Table1[[#This Row],[weathersit]]=1,"clear sky",Table1[[#This Row],[weathersit]]=2,"mist",Table1[[#This Row],[weathersit]]=3,"partially dark",Table1[[#This Row],[weathersit]]=4,"rain")</f>
        <v>clear sky</v>
      </c>
    </row>
    <row r="99" spans="1:19" ht="15" customHeight="1" x14ac:dyDescent="0.3">
      <c r="A99" s="2">
        <v>98</v>
      </c>
      <c r="B99" s="3">
        <v>40641</v>
      </c>
      <c r="C99" s="2">
        <v>1</v>
      </c>
      <c r="D99" s="2">
        <v>0</v>
      </c>
      <c r="E99" s="2">
        <v>1</v>
      </c>
      <c r="F99" s="2">
        <v>6</v>
      </c>
      <c r="G99" s="2" t="b">
        <v>0</v>
      </c>
      <c r="H99" s="2">
        <v>3</v>
      </c>
      <c r="I99" s="2">
        <v>1</v>
      </c>
      <c r="J99" s="2">
        <v>0.2</v>
      </c>
      <c r="K99" s="4">
        <v>0.19700000000000001</v>
      </c>
      <c r="L99" s="4">
        <v>0.47</v>
      </c>
      <c r="M99" s="4">
        <v>0.22389999999999999</v>
      </c>
      <c r="N99" s="4">
        <v>33</v>
      </c>
      <c r="O99" s="2">
        <v>33</v>
      </c>
      <c r="P99" s="2" t="str">
        <f t="shared" si="1"/>
        <v>Friday</v>
      </c>
      <c r="Q99" s="2" t="str">
        <f>IF(Table1[[#This Row],[temp]]&gt;=0.24,"cold","colder")</f>
        <v>colder</v>
      </c>
      <c r="R99" s="4">
        <v>0</v>
      </c>
      <c r="S99" s="16" t="str" cm="1">
        <f t="array" ref="S99">_xlfn.IFS(Table1[[#This Row],[weathersit]]=1,"clear sky",Table1[[#This Row],[weathersit]]=2,"mist",Table1[[#This Row],[weathersit]]=3,"partially dark",Table1[[#This Row],[weathersit]]=4,"rain")</f>
        <v>clear sky</v>
      </c>
    </row>
    <row r="100" spans="1:19" ht="15" customHeight="1" x14ac:dyDescent="0.3">
      <c r="A100" s="2">
        <v>99</v>
      </c>
      <c r="B100" s="3">
        <v>40642</v>
      </c>
      <c r="C100" s="2">
        <v>1</v>
      </c>
      <c r="D100" s="2">
        <v>0</v>
      </c>
      <c r="E100" s="2">
        <v>1</v>
      </c>
      <c r="F100" s="2">
        <v>7</v>
      </c>
      <c r="G100" s="2" t="b">
        <v>0</v>
      </c>
      <c r="H100" s="2">
        <v>3</v>
      </c>
      <c r="I100" s="2">
        <v>1</v>
      </c>
      <c r="J100" s="2">
        <v>0.18</v>
      </c>
      <c r="K100" s="4">
        <v>0.18179999999999999</v>
      </c>
      <c r="L100" s="4">
        <v>0.43</v>
      </c>
      <c r="M100" s="4">
        <v>0.19400000000000001</v>
      </c>
      <c r="N100" s="4">
        <v>87</v>
      </c>
      <c r="O100" s="2">
        <v>88</v>
      </c>
      <c r="P100" s="2" t="str">
        <f t="shared" si="1"/>
        <v>Saturday</v>
      </c>
      <c r="Q100" s="2" t="str">
        <f>IF(Table1[[#This Row],[temp]]&gt;=0.24,"cold","colder")</f>
        <v>colder</v>
      </c>
      <c r="R100" s="4">
        <v>1</v>
      </c>
      <c r="S100" s="16" t="str" cm="1">
        <f t="array" ref="S100">_xlfn.IFS(Table1[[#This Row],[weathersit]]=1,"clear sky",Table1[[#This Row],[weathersit]]=2,"mist",Table1[[#This Row],[weathersit]]=3,"partially dark",Table1[[#This Row],[weathersit]]=4,"rain")</f>
        <v>clear sky</v>
      </c>
    </row>
    <row r="101" spans="1:19" ht="15" customHeight="1" x14ac:dyDescent="0.3">
      <c r="A101" s="2">
        <v>100</v>
      </c>
      <c r="B101" s="3">
        <v>40643</v>
      </c>
      <c r="C101" s="2">
        <v>1</v>
      </c>
      <c r="D101" s="2">
        <v>0</v>
      </c>
      <c r="E101" s="2">
        <v>1</v>
      </c>
      <c r="F101" s="2">
        <v>8</v>
      </c>
      <c r="G101" s="2" t="b">
        <v>0</v>
      </c>
      <c r="H101" s="2">
        <v>3</v>
      </c>
      <c r="I101" s="2">
        <v>1</v>
      </c>
      <c r="J101" s="2">
        <v>0.2</v>
      </c>
      <c r="K101" s="4">
        <v>0.18179999999999999</v>
      </c>
      <c r="L101" s="4">
        <v>0.4</v>
      </c>
      <c r="M101" s="4">
        <v>0.29849999999999999</v>
      </c>
      <c r="N101" s="4">
        <v>192</v>
      </c>
      <c r="O101" s="2">
        <v>195</v>
      </c>
      <c r="P101" s="2" t="str">
        <f t="shared" si="1"/>
        <v>Sunday</v>
      </c>
      <c r="Q101" s="2" t="str">
        <f>IF(Table1[[#This Row],[temp]]&gt;=0.24,"cold","colder")</f>
        <v>colder</v>
      </c>
      <c r="R101" s="4">
        <v>3</v>
      </c>
      <c r="S101" s="16" t="str" cm="1">
        <f t="array" ref="S101">_xlfn.IFS(Table1[[#This Row],[weathersit]]=1,"clear sky",Table1[[#This Row],[weathersit]]=2,"mist",Table1[[#This Row],[weathersit]]=3,"partially dark",Table1[[#This Row],[weathersit]]=4,"rain")</f>
        <v>clear sky</v>
      </c>
    </row>
    <row r="102" spans="1:19" ht="15" customHeight="1" x14ac:dyDescent="0.3">
      <c r="A102" s="2">
        <v>101</v>
      </c>
      <c r="B102" s="3">
        <v>40644</v>
      </c>
      <c r="C102" s="2">
        <v>1</v>
      </c>
      <c r="D102" s="2">
        <v>0</v>
      </c>
      <c r="E102" s="2">
        <v>1</v>
      </c>
      <c r="F102" s="2">
        <v>9</v>
      </c>
      <c r="G102" s="2" t="b">
        <v>0</v>
      </c>
      <c r="H102" s="2">
        <v>3</v>
      </c>
      <c r="I102" s="2">
        <v>1</v>
      </c>
      <c r="J102" s="2">
        <v>0.22</v>
      </c>
      <c r="K102" s="4">
        <v>0.19700000000000001</v>
      </c>
      <c r="L102" s="4">
        <v>0.37</v>
      </c>
      <c r="M102" s="4">
        <v>0.32840000000000003</v>
      </c>
      <c r="N102" s="4">
        <v>109</v>
      </c>
      <c r="O102" s="2">
        <v>115</v>
      </c>
      <c r="P102" s="2" t="str">
        <f t="shared" si="1"/>
        <v>Monday</v>
      </c>
      <c r="Q102" s="2" t="str">
        <f>IF(Table1[[#This Row],[temp]]&gt;=0.24,"cold","colder")</f>
        <v>colder</v>
      </c>
      <c r="R102" s="4">
        <v>6</v>
      </c>
      <c r="S102" s="16" t="str" cm="1">
        <f t="array" ref="S102">_xlfn.IFS(Table1[[#This Row],[weathersit]]=1,"clear sky",Table1[[#This Row],[weathersit]]=2,"mist",Table1[[#This Row],[weathersit]]=3,"partially dark",Table1[[#This Row],[weathersit]]=4,"rain")</f>
        <v>clear sky</v>
      </c>
    </row>
    <row r="103" spans="1:19" ht="15" customHeight="1" x14ac:dyDescent="0.3">
      <c r="A103" s="2">
        <v>102</v>
      </c>
      <c r="B103" s="3">
        <v>40645</v>
      </c>
      <c r="C103" s="2">
        <v>1</v>
      </c>
      <c r="D103" s="2">
        <v>0</v>
      </c>
      <c r="E103" s="2">
        <v>1</v>
      </c>
      <c r="F103" s="2">
        <v>10</v>
      </c>
      <c r="G103" s="2" t="b">
        <v>0</v>
      </c>
      <c r="H103" s="2">
        <v>3</v>
      </c>
      <c r="I103" s="2">
        <v>1</v>
      </c>
      <c r="J103" s="2">
        <v>0.22</v>
      </c>
      <c r="K103" s="4">
        <v>0.19700000000000001</v>
      </c>
      <c r="L103" s="4">
        <v>0.37</v>
      </c>
      <c r="M103" s="4">
        <v>0.32840000000000003</v>
      </c>
      <c r="N103" s="4">
        <v>53</v>
      </c>
      <c r="O103" s="2">
        <v>57</v>
      </c>
      <c r="P103" s="2" t="str">
        <f t="shared" si="1"/>
        <v>Tuesday</v>
      </c>
      <c r="Q103" s="2" t="str">
        <f>IF(Table1[[#This Row],[temp]]&gt;=0.24,"cold","colder")</f>
        <v>colder</v>
      </c>
      <c r="R103" s="4">
        <v>4</v>
      </c>
      <c r="S103" s="16" t="str" cm="1">
        <f t="array" ref="S103">_xlfn.IFS(Table1[[#This Row],[weathersit]]=1,"clear sky",Table1[[#This Row],[weathersit]]=2,"mist",Table1[[#This Row],[weathersit]]=3,"partially dark",Table1[[#This Row],[weathersit]]=4,"rain")</f>
        <v>clear sky</v>
      </c>
    </row>
    <row r="104" spans="1:19" ht="15" customHeight="1" x14ac:dyDescent="0.3">
      <c r="A104" s="2">
        <v>103</v>
      </c>
      <c r="B104" s="3">
        <v>40646</v>
      </c>
      <c r="C104" s="2">
        <v>1</v>
      </c>
      <c r="D104" s="2">
        <v>0</v>
      </c>
      <c r="E104" s="2">
        <v>1</v>
      </c>
      <c r="F104" s="2">
        <v>11</v>
      </c>
      <c r="G104" s="2" t="b">
        <v>0</v>
      </c>
      <c r="H104" s="2">
        <v>3</v>
      </c>
      <c r="I104" s="2">
        <v>1</v>
      </c>
      <c r="J104" s="2">
        <v>0.26</v>
      </c>
      <c r="K104" s="4">
        <v>0.2273</v>
      </c>
      <c r="L104" s="4">
        <v>0.33</v>
      </c>
      <c r="M104" s="4">
        <v>0.32840000000000003</v>
      </c>
      <c r="N104" s="4">
        <v>34</v>
      </c>
      <c r="O104" s="2">
        <v>46</v>
      </c>
      <c r="P104" s="2" t="str">
        <f t="shared" si="1"/>
        <v>Wednesday</v>
      </c>
      <c r="Q104" s="2" t="str">
        <f>IF(Table1[[#This Row],[temp]]&gt;=0.24,"cold","colder")</f>
        <v>cold</v>
      </c>
      <c r="R104" s="4">
        <v>12</v>
      </c>
      <c r="S104" s="16" t="str" cm="1">
        <f t="array" ref="S104">_xlfn.IFS(Table1[[#This Row],[weathersit]]=1,"clear sky",Table1[[#This Row],[weathersit]]=2,"mist",Table1[[#This Row],[weathersit]]=3,"partially dark",Table1[[#This Row],[weathersit]]=4,"rain")</f>
        <v>clear sky</v>
      </c>
    </row>
    <row r="105" spans="1:19" ht="15" customHeight="1" x14ac:dyDescent="0.3">
      <c r="A105" s="2">
        <v>104</v>
      </c>
      <c r="B105" s="3">
        <v>40647</v>
      </c>
      <c r="C105" s="2">
        <v>1</v>
      </c>
      <c r="D105" s="2">
        <v>0</v>
      </c>
      <c r="E105" s="2">
        <v>1</v>
      </c>
      <c r="F105" s="2">
        <v>12</v>
      </c>
      <c r="G105" s="2" t="b">
        <v>0</v>
      </c>
      <c r="H105" s="2">
        <v>3</v>
      </c>
      <c r="I105" s="2">
        <v>1</v>
      </c>
      <c r="J105" s="2">
        <v>0.26</v>
      </c>
      <c r="K105" s="4">
        <v>0.2273</v>
      </c>
      <c r="L105" s="4">
        <v>0.33</v>
      </c>
      <c r="M105" s="4">
        <v>0.32840000000000003</v>
      </c>
      <c r="N105" s="4">
        <v>74</v>
      </c>
      <c r="O105" s="2">
        <v>79</v>
      </c>
      <c r="P105" s="2" t="str">
        <f t="shared" si="1"/>
        <v>Thursday</v>
      </c>
      <c r="Q105" s="2" t="str">
        <f>IF(Table1[[#This Row],[temp]]&gt;=0.24,"cold","colder")</f>
        <v>cold</v>
      </c>
      <c r="R105" s="4">
        <v>5</v>
      </c>
      <c r="S105" s="16" t="str" cm="1">
        <f t="array" ref="S105">_xlfn.IFS(Table1[[#This Row],[weathersit]]=1,"clear sky",Table1[[#This Row],[weathersit]]=2,"mist",Table1[[#This Row],[weathersit]]=3,"partially dark",Table1[[#This Row],[weathersit]]=4,"rain")</f>
        <v>clear sky</v>
      </c>
    </row>
    <row r="106" spans="1:19" ht="15" customHeight="1" x14ac:dyDescent="0.3">
      <c r="A106" s="2">
        <v>105</v>
      </c>
      <c r="B106" s="3">
        <v>40648</v>
      </c>
      <c r="C106" s="2">
        <v>1</v>
      </c>
      <c r="D106" s="2">
        <v>0</v>
      </c>
      <c r="E106" s="2">
        <v>1</v>
      </c>
      <c r="F106" s="2">
        <v>13</v>
      </c>
      <c r="G106" s="2" t="b">
        <v>0</v>
      </c>
      <c r="H106" s="2">
        <v>3</v>
      </c>
      <c r="I106" s="2">
        <v>1</v>
      </c>
      <c r="J106" s="2">
        <v>0.28000000000000003</v>
      </c>
      <c r="K106" s="4">
        <v>0.2576</v>
      </c>
      <c r="L106" s="4">
        <v>0.3</v>
      </c>
      <c r="M106" s="4">
        <v>0.29849999999999999</v>
      </c>
      <c r="N106" s="4">
        <v>65</v>
      </c>
      <c r="O106" s="2">
        <v>71</v>
      </c>
      <c r="P106" s="2" t="str">
        <f t="shared" si="1"/>
        <v>Friday</v>
      </c>
      <c r="Q106" s="2" t="str">
        <f>IF(Table1[[#This Row],[temp]]&gt;=0.24,"cold","colder")</f>
        <v>cold</v>
      </c>
      <c r="R106" s="4">
        <v>6</v>
      </c>
      <c r="S106" s="16" t="str" cm="1">
        <f t="array" ref="S106">_xlfn.IFS(Table1[[#This Row],[weathersit]]=1,"clear sky",Table1[[#This Row],[weathersit]]=2,"mist",Table1[[#This Row],[weathersit]]=3,"partially dark",Table1[[#This Row],[weathersit]]=4,"rain")</f>
        <v>clear sky</v>
      </c>
    </row>
    <row r="107" spans="1:19" ht="15" customHeight="1" x14ac:dyDescent="0.3">
      <c r="A107" s="2">
        <v>106</v>
      </c>
      <c r="B107" s="3">
        <v>40649</v>
      </c>
      <c r="C107" s="2">
        <v>1</v>
      </c>
      <c r="D107" s="2">
        <v>0</v>
      </c>
      <c r="E107" s="2">
        <v>1</v>
      </c>
      <c r="F107" s="2">
        <v>14</v>
      </c>
      <c r="G107" s="2" t="b">
        <v>0</v>
      </c>
      <c r="H107" s="2">
        <v>3</v>
      </c>
      <c r="I107" s="2">
        <v>1</v>
      </c>
      <c r="J107" s="2">
        <v>0.3</v>
      </c>
      <c r="K107" s="4">
        <v>0.28789999999999999</v>
      </c>
      <c r="L107" s="4">
        <v>0.28000000000000003</v>
      </c>
      <c r="M107" s="4">
        <v>0.19400000000000001</v>
      </c>
      <c r="N107" s="4">
        <v>52</v>
      </c>
      <c r="O107" s="2">
        <v>62</v>
      </c>
      <c r="P107" s="2" t="str">
        <f t="shared" si="1"/>
        <v>Saturday</v>
      </c>
      <c r="Q107" s="2" t="str">
        <f>IF(Table1[[#This Row],[temp]]&gt;=0.24,"cold","colder")</f>
        <v>cold</v>
      </c>
      <c r="R107" s="4">
        <v>10</v>
      </c>
      <c r="S107" s="16" t="str" cm="1">
        <f t="array" ref="S107">_xlfn.IFS(Table1[[#This Row],[weathersit]]=1,"clear sky",Table1[[#This Row],[weathersit]]=2,"mist",Table1[[#This Row],[weathersit]]=3,"partially dark",Table1[[#This Row],[weathersit]]=4,"rain")</f>
        <v>clear sky</v>
      </c>
    </row>
    <row r="108" spans="1:19" ht="15" customHeight="1" x14ac:dyDescent="0.3">
      <c r="A108" s="2">
        <v>107</v>
      </c>
      <c r="B108" s="3">
        <v>40650</v>
      </c>
      <c r="C108" s="2">
        <v>1</v>
      </c>
      <c r="D108" s="2">
        <v>0</v>
      </c>
      <c r="E108" s="2">
        <v>1</v>
      </c>
      <c r="F108" s="2">
        <v>15</v>
      </c>
      <c r="G108" s="2" t="b">
        <v>0</v>
      </c>
      <c r="H108" s="2">
        <v>3</v>
      </c>
      <c r="I108" s="2">
        <v>1</v>
      </c>
      <c r="J108" s="2">
        <v>0.3</v>
      </c>
      <c r="K108" s="4">
        <v>0.28789999999999999</v>
      </c>
      <c r="L108" s="4">
        <v>0.28000000000000003</v>
      </c>
      <c r="M108" s="4">
        <v>0.19400000000000001</v>
      </c>
      <c r="N108" s="4">
        <v>55</v>
      </c>
      <c r="O108" s="2">
        <v>62</v>
      </c>
      <c r="P108" s="2" t="str">
        <f t="shared" si="1"/>
        <v>Sunday</v>
      </c>
      <c r="Q108" s="2" t="str">
        <f>IF(Table1[[#This Row],[temp]]&gt;=0.24,"cold","colder")</f>
        <v>cold</v>
      </c>
      <c r="R108" s="4">
        <v>7</v>
      </c>
      <c r="S108" s="16" t="str" cm="1">
        <f t="array" ref="S108">_xlfn.IFS(Table1[[#This Row],[weathersit]]=1,"clear sky",Table1[[#This Row],[weathersit]]=2,"mist",Table1[[#This Row],[weathersit]]=3,"partially dark",Table1[[#This Row],[weathersit]]=4,"rain")</f>
        <v>clear sky</v>
      </c>
    </row>
    <row r="109" spans="1:19" ht="15" customHeight="1" x14ac:dyDescent="0.3">
      <c r="A109" s="2">
        <v>108</v>
      </c>
      <c r="B109" s="3">
        <v>40651</v>
      </c>
      <c r="C109" s="2">
        <v>1</v>
      </c>
      <c r="D109" s="2">
        <v>0</v>
      </c>
      <c r="E109" s="2">
        <v>1</v>
      </c>
      <c r="F109" s="2">
        <v>16</v>
      </c>
      <c r="G109" s="2" t="b">
        <v>0</v>
      </c>
      <c r="H109" s="2">
        <v>3</v>
      </c>
      <c r="I109" s="2">
        <v>1</v>
      </c>
      <c r="J109" s="2">
        <v>0.3</v>
      </c>
      <c r="K109" s="4">
        <v>0.31819999999999998</v>
      </c>
      <c r="L109" s="4">
        <v>0.28000000000000003</v>
      </c>
      <c r="M109" s="4">
        <v>8.9599999999999999E-2</v>
      </c>
      <c r="N109" s="4">
        <v>85</v>
      </c>
      <c r="O109" s="2">
        <v>89</v>
      </c>
      <c r="P109" s="2" t="str">
        <f t="shared" si="1"/>
        <v>Monday</v>
      </c>
      <c r="Q109" s="2" t="str">
        <f>IF(Table1[[#This Row],[temp]]&gt;=0.24,"cold","colder")</f>
        <v>cold</v>
      </c>
      <c r="R109" s="4">
        <v>4</v>
      </c>
      <c r="S109" s="16" t="str" cm="1">
        <f t="array" ref="S109">_xlfn.IFS(Table1[[#This Row],[weathersit]]=1,"clear sky",Table1[[#This Row],[weathersit]]=2,"mist",Table1[[#This Row],[weathersit]]=3,"partially dark",Table1[[#This Row],[weathersit]]=4,"rain")</f>
        <v>clear sky</v>
      </c>
    </row>
    <row r="110" spans="1:19" ht="15" customHeight="1" x14ac:dyDescent="0.3">
      <c r="A110" s="2">
        <v>109</v>
      </c>
      <c r="B110" s="3">
        <v>40652</v>
      </c>
      <c r="C110" s="2">
        <v>1</v>
      </c>
      <c r="D110" s="2">
        <v>0</v>
      </c>
      <c r="E110" s="2">
        <v>1</v>
      </c>
      <c r="F110" s="2">
        <v>17</v>
      </c>
      <c r="G110" s="2" t="b">
        <v>0</v>
      </c>
      <c r="H110" s="2">
        <v>3</v>
      </c>
      <c r="I110" s="2">
        <v>1</v>
      </c>
      <c r="J110" s="2">
        <v>0.24</v>
      </c>
      <c r="K110" s="4">
        <v>0.2273</v>
      </c>
      <c r="L110" s="4">
        <v>0.38</v>
      </c>
      <c r="M110" s="4">
        <v>0.19400000000000001</v>
      </c>
      <c r="N110" s="4">
        <v>186</v>
      </c>
      <c r="O110" s="2">
        <v>190</v>
      </c>
      <c r="P110" s="2" t="str">
        <f t="shared" si="1"/>
        <v>Tuesday</v>
      </c>
      <c r="Q110" s="2" t="str">
        <f>IF(Table1[[#This Row],[temp]]&gt;=0.24,"cold","colder")</f>
        <v>cold</v>
      </c>
      <c r="R110" s="4">
        <v>4</v>
      </c>
      <c r="S110" s="16" t="str" cm="1">
        <f t="array" ref="S110">_xlfn.IFS(Table1[[#This Row],[weathersit]]=1,"clear sky",Table1[[#This Row],[weathersit]]=2,"mist",Table1[[#This Row],[weathersit]]=3,"partially dark",Table1[[#This Row],[weathersit]]=4,"rain")</f>
        <v>clear sky</v>
      </c>
    </row>
    <row r="111" spans="1:19" ht="15" customHeight="1" x14ac:dyDescent="0.3">
      <c r="A111" s="2">
        <v>110</v>
      </c>
      <c r="B111" s="3">
        <v>40653</v>
      </c>
      <c r="C111" s="2">
        <v>1</v>
      </c>
      <c r="D111" s="2">
        <v>0</v>
      </c>
      <c r="E111" s="2">
        <v>1</v>
      </c>
      <c r="F111" s="2">
        <v>18</v>
      </c>
      <c r="G111" s="2" t="b">
        <v>0</v>
      </c>
      <c r="H111" s="2">
        <v>3</v>
      </c>
      <c r="I111" s="2">
        <v>1</v>
      </c>
      <c r="J111" s="2">
        <v>0.24</v>
      </c>
      <c r="K111" s="4">
        <v>0.2424</v>
      </c>
      <c r="L111" s="4">
        <v>0.38</v>
      </c>
      <c r="M111" s="4">
        <v>0.1343</v>
      </c>
      <c r="N111" s="4">
        <v>166</v>
      </c>
      <c r="O111" s="2">
        <v>169</v>
      </c>
      <c r="P111" s="2" t="str">
        <f t="shared" si="1"/>
        <v>Wednesday</v>
      </c>
      <c r="Q111" s="2" t="str">
        <f>IF(Table1[[#This Row],[temp]]&gt;=0.24,"cold","colder")</f>
        <v>cold</v>
      </c>
      <c r="R111" s="4">
        <v>3</v>
      </c>
      <c r="S111" s="16" t="str" cm="1">
        <f t="array" ref="S111">_xlfn.IFS(Table1[[#This Row],[weathersit]]=1,"clear sky",Table1[[#This Row],[weathersit]]=2,"mist",Table1[[#This Row],[weathersit]]=3,"partially dark",Table1[[#This Row],[weathersit]]=4,"rain")</f>
        <v>clear sky</v>
      </c>
    </row>
    <row r="112" spans="1:19" ht="15" customHeight="1" x14ac:dyDescent="0.3">
      <c r="A112" s="2">
        <v>111</v>
      </c>
      <c r="B112" s="3">
        <v>40654</v>
      </c>
      <c r="C112" s="2">
        <v>1</v>
      </c>
      <c r="D112" s="2">
        <v>0</v>
      </c>
      <c r="E112" s="2">
        <v>1</v>
      </c>
      <c r="F112" s="2">
        <v>19</v>
      </c>
      <c r="G112" s="2" t="b">
        <v>0</v>
      </c>
      <c r="H112" s="2">
        <v>3</v>
      </c>
      <c r="I112" s="2">
        <v>1</v>
      </c>
      <c r="J112" s="2">
        <v>0.24</v>
      </c>
      <c r="K112" s="4">
        <v>0.2576</v>
      </c>
      <c r="L112" s="4">
        <v>0.38</v>
      </c>
      <c r="M112" s="4">
        <v>0.1045</v>
      </c>
      <c r="N112" s="4">
        <v>127</v>
      </c>
      <c r="O112" s="2">
        <v>132</v>
      </c>
      <c r="P112" s="2" t="str">
        <f t="shared" si="1"/>
        <v>Thursday</v>
      </c>
      <c r="Q112" s="2" t="str">
        <f>IF(Table1[[#This Row],[temp]]&gt;=0.24,"cold","colder")</f>
        <v>cold</v>
      </c>
      <c r="R112" s="4">
        <v>5</v>
      </c>
      <c r="S112" s="16" t="str" cm="1">
        <f t="array" ref="S112">_xlfn.IFS(Table1[[#This Row],[weathersit]]=1,"clear sky",Table1[[#This Row],[weathersit]]=2,"mist",Table1[[#This Row],[weathersit]]=3,"partially dark",Table1[[#This Row],[weathersit]]=4,"rain")</f>
        <v>clear sky</v>
      </c>
    </row>
    <row r="113" spans="1:19" ht="15" customHeight="1" x14ac:dyDescent="0.3">
      <c r="A113" s="2">
        <v>112</v>
      </c>
      <c r="B113" s="3">
        <v>40655</v>
      </c>
      <c r="C113" s="2">
        <v>1</v>
      </c>
      <c r="D113" s="2">
        <v>0</v>
      </c>
      <c r="E113" s="2">
        <v>1</v>
      </c>
      <c r="F113" s="2">
        <v>20</v>
      </c>
      <c r="G113" s="2" t="b">
        <v>0</v>
      </c>
      <c r="H113" s="2">
        <v>3</v>
      </c>
      <c r="I113" s="2">
        <v>1</v>
      </c>
      <c r="J113" s="2">
        <v>0.22</v>
      </c>
      <c r="K113" s="4">
        <v>0.2273</v>
      </c>
      <c r="L113" s="4">
        <v>0.47</v>
      </c>
      <c r="M113" s="4">
        <v>0.16420000000000001</v>
      </c>
      <c r="N113" s="4">
        <v>82</v>
      </c>
      <c r="O113" s="2">
        <v>89</v>
      </c>
      <c r="P113" s="2" t="str">
        <f t="shared" si="1"/>
        <v>Friday</v>
      </c>
      <c r="Q113" s="2" t="str">
        <f>IF(Table1[[#This Row],[temp]]&gt;=0.24,"cold","colder")</f>
        <v>colder</v>
      </c>
      <c r="R113" s="4">
        <v>7</v>
      </c>
      <c r="S113" s="16" t="str" cm="1">
        <f t="array" ref="S113">_xlfn.IFS(Table1[[#This Row],[weathersit]]=1,"clear sky",Table1[[#This Row],[weathersit]]=2,"mist",Table1[[#This Row],[weathersit]]=3,"partially dark",Table1[[#This Row],[weathersit]]=4,"rain")</f>
        <v>clear sky</v>
      </c>
    </row>
    <row r="114" spans="1:19" ht="15" customHeight="1" x14ac:dyDescent="0.3">
      <c r="A114" s="2">
        <v>113</v>
      </c>
      <c r="B114" s="3">
        <v>40656</v>
      </c>
      <c r="C114" s="2">
        <v>1</v>
      </c>
      <c r="D114" s="2">
        <v>0</v>
      </c>
      <c r="E114" s="2">
        <v>1</v>
      </c>
      <c r="F114" s="2">
        <v>21</v>
      </c>
      <c r="G114" s="2" t="b">
        <v>0</v>
      </c>
      <c r="H114" s="2">
        <v>3</v>
      </c>
      <c r="I114" s="2">
        <v>1</v>
      </c>
      <c r="J114" s="2">
        <v>0.2</v>
      </c>
      <c r="K114" s="4">
        <v>0.19700000000000001</v>
      </c>
      <c r="L114" s="4">
        <v>0.51</v>
      </c>
      <c r="M114" s="4">
        <v>0.19400000000000001</v>
      </c>
      <c r="N114" s="4">
        <v>40</v>
      </c>
      <c r="O114" s="2">
        <v>43</v>
      </c>
      <c r="P114" s="2" t="str">
        <f t="shared" si="1"/>
        <v>Saturday</v>
      </c>
      <c r="Q114" s="2" t="str">
        <f>IF(Table1[[#This Row],[temp]]&gt;=0.24,"cold","colder")</f>
        <v>colder</v>
      </c>
      <c r="R114" s="4">
        <v>3</v>
      </c>
      <c r="S114" s="16" t="str" cm="1">
        <f t="array" ref="S114">_xlfn.IFS(Table1[[#This Row],[weathersit]]=1,"clear sky",Table1[[#This Row],[weathersit]]=2,"mist",Table1[[#This Row],[weathersit]]=3,"partially dark",Table1[[#This Row],[weathersit]]=4,"rain")</f>
        <v>clear sky</v>
      </c>
    </row>
    <row r="115" spans="1:19" ht="15" customHeight="1" x14ac:dyDescent="0.3">
      <c r="A115" s="2">
        <v>114</v>
      </c>
      <c r="B115" s="3">
        <v>40657</v>
      </c>
      <c r="C115" s="2">
        <v>1</v>
      </c>
      <c r="D115" s="2">
        <v>0</v>
      </c>
      <c r="E115" s="2">
        <v>1</v>
      </c>
      <c r="F115" s="2">
        <v>22</v>
      </c>
      <c r="G115" s="2" t="b">
        <v>0</v>
      </c>
      <c r="H115" s="2">
        <v>3</v>
      </c>
      <c r="I115" s="2">
        <v>1</v>
      </c>
      <c r="J115" s="2">
        <v>0.18</v>
      </c>
      <c r="K115" s="4">
        <v>0.19700000000000001</v>
      </c>
      <c r="L115" s="4">
        <v>0.55000000000000004</v>
      </c>
      <c r="M115" s="4">
        <v>0.1343</v>
      </c>
      <c r="N115" s="4">
        <v>41</v>
      </c>
      <c r="O115" s="2">
        <v>42</v>
      </c>
      <c r="P115" s="2" t="str">
        <f t="shared" si="1"/>
        <v>Sunday</v>
      </c>
      <c r="Q115" s="2" t="str">
        <f>IF(Table1[[#This Row],[temp]]&gt;=0.24,"cold","colder")</f>
        <v>colder</v>
      </c>
      <c r="R115" s="4">
        <v>1</v>
      </c>
      <c r="S115" s="16" t="str" cm="1">
        <f t="array" ref="S115">_xlfn.IFS(Table1[[#This Row],[weathersit]]=1,"clear sky",Table1[[#This Row],[weathersit]]=2,"mist",Table1[[#This Row],[weathersit]]=3,"partially dark",Table1[[#This Row],[weathersit]]=4,"rain")</f>
        <v>clear sky</v>
      </c>
    </row>
    <row r="116" spans="1:19" ht="15" customHeight="1" x14ac:dyDescent="0.3">
      <c r="A116" s="2">
        <v>115</v>
      </c>
      <c r="B116" s="3">
        <v>40658</v>
      </c>
      <c r="C116" s="2">
        <v>1</v>
      </c>
      <c r="D116" s="2">
        <v>0</v>
      </c>
      <c r="E116" s="2">
        <v>1</v>
      </c>
      <c r="F116" s="2">
        <v>23</v>
      </c>
      <c r="G116" s="2" t="b">
        <v>0</v>
      </c>
      <c r="H116" s="2">
        <v>3</v>
      </c>
      <c r="I116" s="2">
        <v>1</v>
      </c>
      <c r="J116" s="2">
        <v>0.2</v>
      </c>
      <c r="K116" s="4">
        <v>0.2576</v>
      </c>
      <c r="L116" s="4">
        <v>0.47</v>
      </c>
      <c r="M116" s="4">
        <v>0</v>
      </c>
      <c r="N116" s="4">
        <v>18</v>
      </c>
      <c r="O116" s="2">
        <v>19</v>
      </c>
      <c r="P116" s="2" t="str">
        <f t="shared" si="1"/>
        <v>Monday</v>
      </c>
      <c r="Q116" s="2" t="str">
        <f>IF(Table1[[#This Row],[temp]]&gt;=0.24,"cold","colder")</f>
        <v>colder</v>
      </c>
      <c r="R116" s="4">
        <v>1</v>
      </c>
      <c r="S116" s="16" t="str" cm="1">
        <f t="array" ref="S116">_xlfn.IFS(Table1[[#This Row],[weathersit]]=1,"clear sky",Table1[[#This Row],[weathersit]]=2,"mist",Table1[[#This Row],[weathersit]]=3,"partially dark",Table1[[#This Row],[weathersit]]=4,"rain")</f>
        <v>clear sky</v>
      </c>
    </row>
    <row r="117" spans="1:19" ht="15" customHeight="1" x14ac:dyDescent="0.3">
      <c r="A117" s="2">
        <v>116</v>
      </c>
      <c r="B117" s="3">
        <v>40659</v>
      </c>
      <c r="C117" s="2">
        <v>1</v>
      </c>
      <c r="D117" s="2">
        <v>0</v>
      </c>
      <c r="E117" s="2">
        <v>1</v>
      </c>
      <c r="F117" s="2">
        <v>0</v>
      </c>
      <c r="G117" s="2" t="b">
        <v>0</v>
      </c>
      <c r="H117" s="2">
        <v>4</v>
      </c>
      <c r="I117" s="2">
        <v>1</v>
      </c>
      <c r="J117" s="2">
        <v>0.18</v>
      </c>
      <c r="K117" s="4">
        <v>0.2424</v>
      </c>
      <c r="L117" s="4">
        <v>0.55000000000000004</v>
      </c>
      <c r="M117" s="4">
        <v>0</v>
      </c>
      <c r="N117" s="4">
        <v>11</v>
      </c>
      <c r="O117" s="2">
        <v>11</v>
      </c>
      <c r="P117" s="2" t="str">
        <f t="shared" si="1"/>
        <v>Tuesday</v>
      </c>
      <c r="Q117" s="2" t="str">
        <f>IF(Table1[[#This Row],[temp]]&gt;=0.24,"cold","colder")</f>
        <v>colder</v>
      </c>
      <c r="R117" s="4">
        <v>0</v>
      </c>
      <c r="S117" s="16" t="str" cm="1">
        <f t="array" ref="S117">_xlfn.IFS(Table1[[#This Row],[weathersit]]=1,"clear sky",Table1[[#This Row],[weathersit]]=2,"mist",Table1[[#This Row],[weathersit]]=3,"partially dark",Table1[[#This Row],[weathersit]]=4,"rain")</f>
        <v>clear sky</v>
      </c>
    </row>
    <row r="118" spans="1:19" ht="15" customHeight="1" x14ac:dyDescent="0.3">
      <c r="A118" s="2">
        <v>117</v>
      </c>
      <c r="B118" s="3">
        <v>40660</v>
      </c>
      <c r="C118" s="2">
        <v>1</v>
      </c>
      <c r="D118" s="2">
        <v>0</v>
      </c>
      <c r="E118" s="2">
        <v>1</v>
      </c>
      <c r="F118" s="2">
        <v>1</v>
      </c>
      <c r="G118" s="2" t="b">
        <v>0</v>
      </c>
      <c r="H118" s="2">
        <v>4</v>
      </c>
      <c r="I118" s="2">
        <v>1</v>
      </c>
      <c r="J118" s="2">
        <v>0.16</v>
      </c>
      <c r="K118" s="4">
        <v>0.2273</v>
      </c>
      <c r="L118" s="4">
        <v>0.64</v>
      </c>
      <c r="M118" s="4">
        <v>0</v>
      </c>
      <c r="N118" s="4">
        <v>4</v>
      </c>
      <c r="O118" s="2">
        <v>4</v>
      </c>
      <c r="P118" s="2" t="str">
        <f t="shared" si="1"/>
        <v>Wednesday</v>
      </c>
      <c r="Q118" s="2" t="str">
        <f>IF(Table1[[#This Row],[temp]]&gt;=0.24,"cold","colder")</f>
        <v>colder</v>
      </c>
      <c r="R118" s="4">
        <v>0</v>
      </c>
      <c r="S118" s="16" t="str" cm="1">
        <f t="array" ref="S118">_xlfn.IFS(Table1[[#This Row],[weathersit]]=1,"clear sky",Table1[[#This Row],[weathersit]]=2,"mist",Table1[[#This Row],[weathersit]]=3,"partially dark",Table1[[#This Row],[weathersit]]=4,"rain")</f>
        <v>clear sky</v>
      </c>
    </row>
    <row r="119" spans="1:19" ht="15" customHeight="1" x14ac:dyDescent="0.3">
      <c r="A119" s="2">
        <v>118</v>
      </c>
      <c r="B119" s="3">
        <v>40661</v>
      </c>
      <c r="C119" s="2">
        <v>1</v>
      </c>
      <c r="D119" s="2">
        <v>0</v>
      </c>
      <c r="E119" s="2">
        <v>1</v>
      </c>
      <c r="F119" s="2">
        <v>2</v>
      </c>
      <c r="G119" s="2" t="b">
        <v>0</v>
      </c>
      <c r="H119" s="2">
        <v>4</v>
      </c>
      <c r="I119" s="2">
        <v>1</v>
      </c>
      <c r="J119" s="2">
        <v>0.16</v>
      </c>
      <c r="K119" s="4">
        <v>0.2273</v>
      </c>
      <c r="L119" s="4">
        <v>0.64</v>
      </c>
      <c r="M119" s="4">
        <v>0</v>
      </c>
      <c r="N119" s="4">
        <v>2</v>
      </c>
      <c r="O119" s="2">
        <v>2</v>
      </c>
      <c r="P119" s="2" t="str">
        <f t="shared" si="1"/>
        <v>Thursday</v>
      </c>
      <c r="Q119" s="2" t="str">
        <f>IF(Table1[[#This Row],[temp]]&gt;=0.24,"cold","colder")</f>
        <v>colder</v>
      </c>
      <c r="R119" s="4">
        <v>0</v>
      </c>
      <c r="S119" s="16" t="str" cm="1">
        <f t="array" ref="S119">_xlfn.IFS(Table1[[#This Row],[weathersit]]=1,"clear sky",Table1[[#This Row],[weathersit]]=2,"mist",Table1[[#This Row],[weathersit]]=3,"partially dark",Table1[[#This Row],[weathersit]]=4,"rain")</f>
        <v>clear sky</v>
      </c>
    </row>
    <row r="120" spans="1:19" ht="15" customHeight="1" x14ac:dyDescent="0.3">
      <c r="A120" s="2">
        <v>119</v>
      </c>
      <c r="B120" s="3">
        <v>40662</v>
      </c>
      <c r="C120" s="2">
        <v>1</v>
      </c>
      <c r="D120" s="2">
        <v>0</v>
      </c>
      <c r="E120" s="2">
        <v>1</v>
      </c>
      <c r="F120" s="2">
        <v>4</v>
      </c>
      <c r="G120" s="2" t="b">
        <v>0</v>
      </c>
      <c r="H120" s="2">
        <v>4</v>
      </c>
      <c r="I120" s="2">
        <v>2</v>
      </c>
      <c r="J120" s="2">
        <v>0.16</v>
      </c>
      <c r="K120" s="4">
        <v>0.19700000000000001</v>
      </c>
      <c r="L120" s="4">
        <v>0.64</v>
      </c>
      <c r="M120" s="4">
        <v>8.9599999999999999E-2</v>
      </c>
      <c r="N120" s="4">
        <v>1</v>
      </c>
      <c r="O120" s="2">
        <v>1</v>
      </c>
      <c r="P120" s="2" t="str">
        <f t="shared" si="1"/>
        <v>Friday</v>
      </c>
      <c r="Q120" s="2" t="str">
        <f>IF(Table1[[#This Row],[temp]]&gt;=0.24,"cold","colder")</f>
        <v>colder</v>
      </c>
      <c r="R120" s="4">
        <v>0</v>
      </c>
      <c r="S120" s="16" t="str" cm="1">
        <f t="array" ref="S120">_xlfn.IFS(Table1[[#This Row],[weathersit]]=1,"clear sky",Table1[[#This Row],[weathersit]]=2,"mist",Table1[[#This Row],[weathersit]]=3,"partially dark",Table1[[#This Row],[weathersit]]=4,"rain")</f>
        <v>mist</v>
      </c>
    </row>
    <row r="121" spans="1:19" ht="15" customHeight="1" x14ac:dyDescent="0.3">
      <c r="A121" s="2">
        <v>120</v>
      </c>
      <c r="B121" s="3">
        <v>40663</v>
      </c>
      <c r="C121" s="2">
        <v>1</v>
      </c>
      <c r="D121" s="2">
        <v>0</v>
      </c>
      <c r="E121" s="2">
        <v>1</v>
      </c>
      <c r="F121" s="2">
        <v>5</v>
      </c>
      <c r="G121" s="2" t="b">
        <v>0</v>
      </c>
      <c r="H121" s="2">
        <v>4</v>
      </c>
      <c r="I121" s="2">
        <v>2</v>
      </c>
      <c r="J121" s="2">
        <v>0.14000000000000001</v>
      </c>
      <c r="K121" s="4">
        <v>0.18179999999999999</v>
      </c>
      <c r="L121" s="4">
        <v>0.69</v>
      </c>
      <c r="M121" s="4">
        <v>8.9599999999999999E-2</v>
      </c>
      <c r="N121" s="4">
        <v>4</v>
      </c>
      <c r="O121" s="2">
        <v>4</v>
      </c>
      <c r="P121" s="2" t="str">
        <f t="shared" si="1"/>
        <v>Saturday</v>
      </c>
      <c r="Q121" s="2" t="str">
        <f>IF(Table1[[#This Row],[temp]]&gt;=0.24,"cold","colder")</f>
        <v>colder</v>
      </c>
      <c r="R121" s="4">
        <v>0</v>
      </c>
      <c r="S121" s="16" t="str" cm="1">
        <f t="array" ref="S121">_xlfn.IFS(Table1[[#This Row],[weathersit]]=1,"clear sky",Table1[[#This Row],[weathersit]]=2,"mist",Table1[[#This Row],[weathersit]]=3,"partially dark",Table1[[#This Row],[weathersit]]=4,"rain")</f>
        <v>mist</v>
      </c>
    </row>
    <row r="122" spans="1:19" ht="15" customHeight="1" x14ac:dyDescent="0.3">
      <c r="A122" s="2">
        <v>121</v>
      </c>
      <c r="B122" s="3">
        <v>40664</v>
      </c>
      <c r="C122" s="2">
        <v>1</v>
      </c>
      <c r="D122" s="2">
        <v>0</v>
      </c>
      <c r="E122" s="2">
        <v>1</v>
      </c>
      <c r="F122" s="2">
        <v>6</v>
      </c>
      <c r="G122" s="2" t="b">
        <v>0</v>
      </c>
      <c r="H122" s="2">
        <v>4</v>
      </c>
      <c r="I122" s="2">
        <v>2</v>
      </c>
      <c r="J122" s="2">
        <v>0.14000000000000001</v>
      </c>
      <c r="K122" s="4">
        <v>0.16669999999999999</v>
      </c>
      <c r="L122" s="4">
        <v>0.63</v>
      </c>
      <c r="M122" s="4">
        <v>0.1045</v>
      </c>
      <c r="N122" s="4">
        <v>36</v>
      </c>
      <c r="O122" s="2">
        <v>36</v>
      </c>
      <c r="P122" s="2" t="str">
        <f t="shared" si="1"/>
        <v>Sunday</v>
      </c>
      <c r="Q122" s="2" t="str">
        <f>IF(Table1[[#This Row],[temp]]&gt;=0.24,"cold","colder")</f>
        <v>colder</v>
      </c>
      <c r="R122" s="4">
        <v>0</v>
      </c>
      <c r="S122" s="16" t="str" cm="1">
        <f t="array" ref="S122">_xlfn.IFS(Table1[[#This Row],[weathersit]]=1,"clear sky",Table1[[#This Row],[weathersit]]=2,"mist",Table1[[#This Row],[weathersit]]=3,"partially dark",Table1[[#This Row],[weathersit]]=4,"rain")</f>
        <v>mist</v>
      </c>
    </row>
    <row r="123" spans="1:19" ht="15" customHeight="1" x14ac:dyDescent="0.3">
      <c r="A123" s="2">
        <v>122</v>
      </c>
      <c r="B123" s="3">
        <v>40665</v>
      </c>
      <c r="C123" s="2">
        <v>1</v>
      </c>
      <c r="D123" s="2">
        <v>0</v>
      </c>
      <c r="E123" s="2">
        <v>1</v>
      </c>
      <c r="F123" s="2">
        <v>7</v>
      </c>
      <c r="G123" s="2" t="b">
        <v>0</v>
      </c>
      <c r="H123" s="2">
        <v>4</v>
      </c>
      <c r="I123" s="2">
        <v>2</v>
      </c>
      <c r="J123" s="2">
        <v>0.16</v>
      </c>
      <c r="K123" s="4">
        <v>0.2273</v>
      </c>
      <c r="L123" s="4">
        <v>0.59</v>
      </c>
      <c r="M123" s="4">
        <v>0</v>
      </c>
      <c r="N123" s="4">
        <v>95</v>
      </c>
      <c r="O123" s="2">
        <v>95</v>
      </c>
      <c r="P123" s="2" t="str">
        <f t="shared" si="1"/>
        <v>Monday</v>
      </c>
      <c r="Q123" s="2" t="str">
        <f>IF(Table1[[#This Row],[temp]]&gt;=0.24,"cold","colder")</f>
        <v>colder</v>
      </c>
      <c r="R123" s="4">
        <v>0</v>
      </c>
      <c r="S123" s="16" t="str" cm="1">
        <f t="array" ref="S123">_xlfn.IFS(Table1[[#This Row],[weathersit]]=1,"clear sky",Table1[[#This Row],[weathersit]]=2,"mist",Table1[[#This Row],[weathersit]]=3,"partially dark",Table1[[#This Row],[weathersit]]=4,"rain")</f>
        <v>mist</v>
      </c>
    </row>
    <row r="124" spans="1:19" ht="15" customHeight="1" x14ac:dyDescent="0.3">
      <c r="A124" s="2">
        <v>123</v>
      </c>
      <c r="B124" s="3">
        <v>40666</v>
      </c>
      <c r="C124" s="2">
        <v>1</v>
      </c>
      <c r="D124" s="2">
        <v>0</v>
      </c>
      <c r="E124" s="2">
        <v>1</v>
      </c>
      <c r="F124" s="2">
        <v>8</v>
      </c>
      <c r="G124" s="2" t="b">
        <v>0</v>
      </c>
      <c r="H124" s="2">
        <v>4</v>
      </c>
      <c r="I124" s="2">
        <v>1</v>
      </c>
      <c r="J124" s="2">
        <v>0.16</v>
      </c>
      <c r="K124" s="4">
        <v>0.2273</v>
      </c>
      <c r="L124" s="4">
        <v>0.59</v>
      </c>
      <c r="M124" s="4">
        <v>0</v>
      </c>
      <c r="N124" s="4">
        <v>216</v>
      </c>
      <c r="O124" s="2">
        <v>219</v>
      </c>
      <c r="P124" s="2" t="str">
        <f t="shared" si="1"/>
        <v>Tuesday</v>
      </c>
      <c r="Q124" s="2" t="str">
        <f>IF(Table1[[#This Row],[temp]]&gt;=0.24,"cold","colder")</f>
        <v>colder</v>
      </c>
      <c r="R124" s="4">
        <v>3</v>
      </c>
      <c r="S124" s="16" t="str" cm="1">
        <f t="array" ref="S124">_xlfn.IFS(Table1[[#This Row],[weathersit]]=1,"clear sky",Table1[[#This Row],[weathersit]]=2,"mist",Table1[[#This Row],[weathersit]]=3,"partially dark",Table1[[#This Row],[weathersit]]=4,"rain")</f>
        <v>clear sky</v>
      </c>
    </row>
    <row r="125" spans="1:19" ht="15" customHeight="1" x14ac:dyDescent="0.3">
      <c r="A125" s="2">
        <v>124</v>
      </c>
      <c r="B125" s="3">
        <v>40667</v>
      </c>
      <c r="C125" s="2">
        <v>1</v>
      </c>
      <c r="D125" s="2">
        <v>0</v>
      </c>
      <c r="E125" s="2">
        <v>1</v>
      </c>
      <c r="F125" s="2">
        <v>9</v>
      </c>
      <c r="G125" s="2" t="b">
        <v>0</v>
      </c>
      <c r="H125" s="2">
        <v>4</v>
      </c>
      <c r="I125" s="2">
        <v>2</v>
      </c>
      <c r="J125" s="2">
        <v>0.18</v>
      </c>
      <c r="K125" s="4">
        <v>0.2424</v>
      </c>
      <c r="L125" s="4">
        <v>0.51</v>
      </c>
      <c r="M125" s="4">
        <v>0</v>
      </c>
      <c r="N125" s="4">
        <v>116</v>
      </c>
      <c r="O125" s="2">
        <v>122</v>
      </c>
      <c r="P125" s="2" t="str">
        <f t="shared" si="1"/>
        <v>Wednesday</v>
      </c>
      <c r="Q125" s="2" t="str">
        <f>IF(Table1[[#This Row],[temp]]&gt;=0.24,"cold","colder")</f>
        <v>colder</v>
      </c>
      <c r="R125" s="4">
        <v>6</v>
      </c>
      <c r="S125" s="16" t="str" cm="1">
        <f t="array" ref="S125">_xlfn.IFS(Table1[[#This Row],[weathersit]]=1,"clear sky",Table1[[#This Row],[weathersit]]=2,"mist",Table1[[#This Row],[weathersit]]=3,"partially dark",Table1[[#This Row],[weathersit]]=4,"rain")</f>
        <v>mist</v>
      </c>
    </row>
    <row r="126" spans="1:19" ht="15" customHeight="1" x14ac:dyDescent="0.3">
      <c r="A126" s="2">
        <v>125</v>
      </c>
      <c r="B126" s="3">
        <v>40668</v>
      </c>
      <c r="C126" s="2">
        <v>1</v>
      </c>
      <c r="D126" s="2">
        <v>0</v>
      </c>
      <c r="E126" s="2">
        <v>1</v>
      </c>
      <c r="F126" s="2">
        <v>10</v>
      </c>
      <c r="G126" s="2" t="b">
        <v>0</v>
      </c>
      <c r="H126" s="2">
        <v>4</v>
      </c>
      <c r="I126" s="2">
        <v>1</v>
      </c>
      <c r="J126" s="2">
        <v>0.2</v>
      </c>
      <c r="K126" s="4">
        <v>0.2576</v>
      </c>
      <c r="L126" s="4">
        <v>0.47</v>
      </c>
      <c r="M126" s="4">
        <v>0</v>
      </c>
      <c r="N126" s="4">
        <v>42</v>
      </c>
      <c r="O126" s="2">
        <v>45</v>
      </c>
      <c r="P126" s="2" t="str">
        <f t="shared" si="1"/>
        <v>Thursday</v>
      </c>
      <c r="Q126" s="2" t="str">
        <f>IF(Table1[[#This Row],[temp]]&gt;=0.24,"cold","colder")</f>
        <v>colder</v>
      </c>
      <c r="R126" s="4">
        <v>3</v>
      </c>
      <c r="S126" s="16" t="str" cm="1">
        <f t="array" ref="S126">_xlfn.IFS(Table1[[#This Row],[weathersit]]=1,"clear sky",Table1[[#This Row],[weathersit]]=2,"mist",Table1[[#This Row],[weathersit]]=3,"partially dark",Table1[[#This Row],[weathersit]]=4,"rain")</f>
        <v>clear sky</v>
      </c>
    </row>
    <row r="127" spans="1:19" ht="15" customHeight="1" x14ac:dyDescent="0.3">
      <c r="A127" s="2">
        <v>126</v>
      </c>
      <c r="B127" s="3">
        <v>40669</v>
      </c>
      <c r="C127" s="2">
        <v>1</v>
      </c>
      <c r="D127" s="2">
        <v>0</v>
      </c>
      <c r="E127" s="2">
        <v>1</v>
      </c>
      <c r="F127" s="2">
        <v>11</v>
      </c>
      <c r="G127" s="2" t="b">
        <v>0</v>
      </c>
      <c r="H127" s="2">
        <v>4</v>
      </c>
      <c r="I127" s="2">
        <v>1</v>
      </c>
      <c r="J127" s="2">
        <v>0.22</v>
      </c>
      <c r="K127" s="4">
        <v>0.2576</v>
      </c>
      <c r="L127" s="4">
        <v>0.44</v>
      </c>
      <c r="M127" s="4">
        <v>8.9599999999999999E-2</v>
      </c>
      <c r="N127" s="4">
        <v>57</v>
      </c>
      <c r="O127" s="2">
        <v>59</v>
      </c>
      <c r="P127" s="2" t="str">
        <f t="shared" si="1"/>
        <v>Friday</v>
      </c>
      <c r="Q127" s="2" t="str">
        <f>IF(Table1[[#This Row],[temp]]&gt;=0.24,"cold","colder")</f>
        <v>colder</v>
      </c>
      <c r="R127" s="4">
        <v>2</v>
      </c>
      <c r="S127" s="16" t="str" cm="1">
        <f t="array" ref="S127">_xlfn.IFS(Table1[[#This Row],[weathersit]]=1,"clear sky",Table1[[#This Row],[weathersit]]=2,"mist",Table1[[#This Row],[weathersit]]=3,"partially dark",Table1[[#This Row],[weathersit]]=4,"rain")</f>
        <v>clear sky</v>
      </c>
    </row>
    <row r="128" spans="1:19" ht="15" customHeight="1" x14ac:dyDescent="0.3">
      <c r="A128" s="2">
        <v>127</v>
      </c>
      <c r="B128" s="3">
        <v>40670</v>
      </c>
      <c r="C128" s="2">
        <v>1</v>
      </c>
      <c r="D128" s="2">
        <v>0</v>
      </c>
      <c r="E128" s="2">
        <v>1</v>
      </c>
      <c r="F128" s="2">
        <v>12</v>
      </c>
      <c r="G128" s="2" t="b">
        <v>0</v>
      </c>
      <c r="H128" s="2">
        <v>4</v>
      </c>
      <c r="I128" s="2">
        <v>1</v>
      </c>
      <c r="J128" s="2">
        <v>0.26</v>
      </c>
      <c r="K128" s="4">
        <v>0.28789999999999999</v>
      </c>
      <c r="L128" s="4">
        <v>0.35</v>
      </c>
      <c r="M128" s="4">
        <v>0</v>
      </c>
      <c r="N128" s="4">
        <v>78</v>
      </c>
      <c r="O128" s="2">
        <v>84</v>
      </c>
      <c r="P128" s="2" t="str">
        <f t="shared" si="1"/>
        <v>Saturday</v>
      </c>
      <c r="Q128" s="2" t="str">
        <f>IF(Table1[[#This Row],[temp]]&gt;=0.24,"cold","colder")</f>
        <v>cold</v>
      </c>
      <c r="R128" s="4">
        <v>6</v>
      </c>
      <c r="S128" s="16" t="str" cm="1">
        <f t="array" ref="S128">_xlfn.IFS(Table1[[#This Row],[weathersit]]=1,"clear sky",Table1[[#This Row],[weathersit]]=2,"mist",Table1[[#This Row],[weathersit]]=3,"partially dark",Table1[[#This Row],[weathersit]]=4,"rain")</f>
        <v>clear sky</v>
      </c>
    </row>
    <row r="129" spans="1:19" ht="15" customHeight="1" x14ac:dyDescent="0.3">
      <c r="A129" s="2">
        <v>128</v>
      </c>
      <c r="B129" s="3">
        <v>40671</v>
      </c>
      <c r="C129" s="2">
        <v>1</v>
      </c>
      <c r="D129" s="2">
        <v>0</v>
      </c>
      <c r="E129" s="2">
        <v>1</v>
      </c>
      <c r="F129" s="2">
        <v>13</v>
      </c>
      <c r="G129" s="2" t="b">
        <v>0</v>
      </c>
      <c r="H129" s="2">
        <v>4</v>
      </c>
      <c r="I129" s="2">
        <v>1</v>
      </c>
      <c r="J129" s="2">
        <v>0.26</v>
      </c>
      <c r="K129" s="4">
        <v>0.2727</v>
      </c>
      <c r="L129" s="4">
        <v>0.35</v>
      </c>
      <c r="M129" s="4">
        <v>0.1045</v>
      </c>
      <c r="N129" s="4">
        <v>55</v>
      </c>
      <c r="O129" s="2">
        <v>67</v>
      </c>
      <c r="P129" s="2" t="str">
        <f t="shared" si="1"/>
        <v>Sunday</v>
      </c>
      <c r="Q129" s="2" t="str">
        <f>IF(Table1[[#This Row],[temp]]&gt;=0.24,"cold","colder")</f>
        <v>cold</v>
      </c>
      <c r="R129" s="4">
        <v>12</v>
      </c>
      <c r="S129" s="16" t="str" cm="1">
        <f t="array" ref="S129">_xlfn.IFS(Table1[[#This Row],[weathersit]]=1,"clear sky",Table1[[#This Row],[weathersit]]=2,"mist",Table1[[#This Row],[weathersit]]=3,"partially dark",Table1[[#This Row],[weathersit]]=4,"rain")</f>
        <v>clear sky</v>
      </c>
    </row>
    <row r="130" spans="1:19" ht="15" customHeight="1" x14ac:dyDescent="0.3">
      <c r="A130" s="2">
        <v>129</v>
      </c>
      <c r="B130" s="3">
        <v>40672</v>
      </c>
      <c r="C130" s="2">
        <v>1</v>
      </c>
      <c r="D130" s="2">
        <v>0</v>
      </c>
      <c r="E130" s="2">
        <v>1</v>
      </c>
      <c r="F130" s="2">
        <v>14</v>
      </c>
      <c r="G130" s="2" t="b">
        <v>0</v>
      </c>
      <c r="H130" s="2">
        <v>4</v>
      </c>
      <c r="I130" s="2">
        <v>1</v>
      </c>
      <c r="J130" s="2">
        <v>0.28000000000000003</v>
      </c>
      <c r="K130" s="4">
        <v>0.2727</v>
      </c>
      <c r="L130" s="4">
        <v>0.36</v>
      </c>
      <c r="M130" s="4">
        <v>0.16420000000000001</v>
      </c>
      <c r="N130" s="4">
        <v>59</v>
      </c>
      <c r="O130" s="2">
        <v>70</v>
      </c>
      <c r="P130" s="2" t="str">
        <f t="shared" ref="P130:P193" si="2">TEXT(B130,"dddd")</f>
        <v>Monday</v>
      </c>
      <c r="Q130" s="2" t="str">
        <f>IF(Table1[[#This Row],[temp]]&gt;=0.24,"cold","colder")</f>
        <v>cold</v>
      </c>
      <c r="R130" s="4">
        <v>11</v>
      </c>
      <c r="S130" s="16" t="str" cm="1">
        <f t="array" ref="S130">_xlfn.IFS(Table1[[#This Row],[weathersit]]=1,"clear sky",Table1[[#This Row],[weathersit]]=2,"mist",Table1[[#This Row],[weathersit]]=3,"partially dark",Table1[[#This Row],[weathersit]]=4,"rain")</f>
        <v>clear sky</v>
      </c>
    </row>
    <row r="131" spans="1:19" ht="15" customHeight="1" x14ac:dyDescent="0.3">
      <c r="A131" s="2">
        <v>130</v>
      </c>
      <c r="B131" s="3">
        <v>40673</v>
      </c>
      <c r="C131" s="2">
        <v>1</v>
      </c>
      <c r="D131" s="2">
        <v>0</v>
      </c>
      <c r="E131" s="2">
        <v>1</v>
      </c>
      <c r="F131" s="2">
        <v>15</v>
      </c>
      <c r="G131" s="2" t="b">
        <v>0</v>
      </c>
      <c r="H131" s="2">
        <v>4</v>
      </c>
      <c r="I131" s="2">
        <v>1</v>
      </c>
      <c r="J131" s="2">
        <v>0.28000000000000003</v>
      </c>
      <c r="K131" s="4">
        <v>0.2727</v>
      </c>
      <c r="L131" s="4">
        <v>0.36</v>
      </c>
      <c r="M131" s="4">
        <v>0</v>
      </c>
      <c r="N131" s="4">
        <v>54</v>
      </c>
      <c r="O131" s="2">
        <v>62</v>
      </c>
      <c r="P131" s="2" t="str">
        <f t="shared" si="2"/>
        <v>Tuesday</v>
      </c>
      <c r="Q131" s="2" t="str">
        <f>IF(Table1[[#This Row],[temp]]&gt;=0.24,"cold","colder")</f>
        <v>cold</v>
      </c>
      <c r="R131" s="4">
        <v>8</v>
      </c>
      <c r="S131" s="16" t="str" cm="1">
        <f t="array" ref="S131">_xlfn.IFS(Table1[[#This Row],[weathersit]]=1,"clear sky",Table1[[#This Row],[weathersit]]=2,"mist",Table1[[#This Row],[weathersit]]=3,"partially dark",Table1[[#This Row],[weathersit]]=4,"rain")</f>
        <v>clear sky</v>
      </c>
    </row>
    <row r="132" spans="1:19" ht="15" customHeight="1" x14ac:dyDescent="0.3">
      <c r="A132" s="2">
        <v>131</v>
      </c>
      <c r="B132" s="3">
        <v>40674</v>
      </c>
      <c r="C132" s="2">
        <v>1</v>
      </c>
      <c r="D132" s="2">
        <v>0</v>
      </c>
      <c r="E132" s="2">
        <v>1</v>
      </c>
      <c r="F132" s="2">
        <v>16</v>
      </c>
      <c r="G132" s="2" t="b">
        <v>0</v>
      </c>
      <c r="H132" s="2">
        <v>4</v>
      </c>
      <c r="I132" s="2">
        <v>1</v>
      </c>
      <c r="J132" s="2">
        <v>0.26</v>
      </c>
      <c r="K132" s="4">
        <v>0.2576</v>
      </c>
      <c r="L132" s="4">
        <v>0.38</v>
      </c>
      <c r="M132" s="4">
        <v>0.16420000000000001</v>
      </c>
      <c r="N132" s="4">
        <v>74</v>
      </c>
      <c r="O132" s="2">
        <v>86</v>
      </c>
      <c r="P132" s="2" t="str">
        <f t="shared" si="2"/>
        <v>Wednesday</v>
      </c>
      <c r="Q132" s="2" t="str">
        <f>IF(Table1[[#This Row],[temp]]&gt;=0.24,"cold","colder")</f>
        <v>cold</v>
      </c>
      <c r="R132" s="4">
        <v>12</v>
      </c>
      <c r="S132" s="16" t="str" cm="1">
        <f t="array" ref="S132">_xlfn.IFS(Table1[[#This Row],[weathersit]]=1,"clear sky",Table1[[#This Row],[weathersit]]=2,"mist",Table1[[#This Row],[weathersit]]=3,"partially dark",Table1[[#This Row],[weathersit]]=4,"rain")</f>
        <v>clear sky</v>
      </c>
    </row>
    <row r="133" spans="1:19" ht="15" customHeight="1" x14ac:dyDescent="0.3">
      <c r="A133" s="2">
        <v>132</v>
      </c>
      <c r="B133" s="3">
        <v>40675</v>
      </c>
      <c r="C133" s="2">
        <v>1</v>
      </c>
      <c r="D133" s="2">
        <v>0</v>
      </c>
      <c r="E133" s="2">
        <v>1</v>
      </c>
      <c r="F133" s="2">
        <v>17</v>
      </c>
      <c r="G133" s="2" t="b">
        <v>0</v>
      </c>
      <c r="H133" s="2">
        <v>4</v>
      </c>
      <c r="I133" s="2">
        <v>1</v>
      </c>
      <c r="J133" s="2">
        <v>0.22</v>
      </c>
      <c r="K133" s="4">
        <v>0.2273</v>
      </c>
      <c r="L133" s="4">
        <v>0.51</v>
      </c>
      <c r="M133" s="4">
        <v>0.16420000000000001</v>
      </c>
      <c r="N133" s="4">
        <v>163</v>
      </c>
      <c r="O133" s="2">
        <v>172</v>
      </c>
      <c r="P133" s="2" t="str">
        <f t="shared" si="2"/>
        <v>Thursday</v>
      </c>
      <c r="Q133" s="2" t="str">
        <f>IF(Table1[[#This Row],[temp]]&gt;=0.24,"cold","colder")</f>
        <v>colder</v>
      </c>
      <c r="R133" s="4">
        <v>9</v>
      </c>
      <c r="S133" s="16" t="str" cm="1">
        <f t="array" ref="S133">_xlfn.IFS(Table1[[#This Row],[weathersit]]=1,"clear sky",Table1[[#This Row],[weathersit]]=2,"mist",Table1[[#This Row],[weathersit]]=3,"partially dark",Table1[[#This Row],[weathersit]]=4,"rain")</f>
        <v>clear sky</v>
      </c>
    </row>
    <row r="134" spans="1:19" ht="15" customHeight="1" x14ac:dyDescent="0.3">
      <c r="A134" s="2">
        <v>133</v>
      </c>
      <c r="B134" s="3">
        <v>40676</v>
      </c>
      <c r="C134" s="2">
        <v>1</v>
      </c>
      <c r="D134" s="2">
        <v>0</v>
      </c>
      <c r="E134" s="2">
        <v>1</v>
      </c>
      <c r="F134" s="2">
        <v>18</v>
      </c>
      <c r="G134" s="2" t="b">
        <v>0</v>
      </c>
      <c r="H134" s="2">
        <v>4</v>
      </c>
      <c r="I134" s="2">
        <v>1</v>
      </c>
      <c r="J134" s="2">
        <v>0.22</v>
      </c>
      <c r="K134" s="4">
        <v>0.2273</v>
      </c>
      <c r="L134" s="4">
        <v>0.51</v>
      </c>
      <c r="M134" s="4">
        <v>0.1343</v>
      </c>
      <c r="N134" s="4">
        <v>158</v>
      </c>
      <c r="O134" s="2">
        <v>163</v>
      </c>
      <c r="P134" s="2" t="str">
        <f t="shared" si="2"/>
        <v>Friday</v>
      </c>
      <c r="Q134" s="2" t="str">
        <f>IF(Table1[[#This Row],[temp]]&gt;=0.24,"cold","colder")</f>
        <v>colder</v>
      </c>
      <c r="R134" s="4">
        <v>5</v>
      </c>
      <c r="S134" s="16" t="str" cm="1">
        <f t="array" ref="S134">_xlfn.IFS(Table1[[#This Row],[weathersit]]=1,"clear sky",Table1[[#This Row],[weathersit]]=2,"mist",Table1[[#This Row],[weathersit]]=3,"partially dark",Table1[[#This Row],[weathersit]]=4,"rain")</f>
        <v>clear sky</v>
      </c>
    </row>
    <row r="135" spans="1:19" ht="15" customHeight="1" x14ac:dyDescent="0.3">
      <c r="A135" s="2">
        <v>134</v>
      </c>
      <c r="B135" s="3">
        <v>40677</v>
      </c>
      <c r="C135" s="2">
        <v>1</v>
      </c>
      <c r="D135" s="2">
        <v>0</v>
      </c>
      <c r="E135" s="2">
        <v>1</v>
      </c>
      <c r="F135" s="2">
        <v>19</v>
      </c>
      <c r="G135" s="2" t="b">
        <v>0</v>
      </c>
      <c r="H135" s="2">
        <v>4</v>
      </c>
      <c r="I135" s="2">
        <v>1</v>
      </c>
      <c r="J135" s="2">
        <v>0.22</v>
      </c>
      <c r="K135" s="4">
        <v>0.2576</v>
      </c>
      <c r="L135" s="4">
        <v>0.55000000000000004</v>
      </c>
      <c r="M135" s="4">
        <v>8.9599999999999999E-2</v>
      </c>
      <c r="N135" s="4">
        <v>109</v>
      </c>
      <c r="O135" s="2">
        <v>112</v>
      </c>
      <c r="P135" s="2" t="str">
        <f t="shared" si="2"/>
        <v>Saturday</v>
      </c>
      <c r="Q135" s="2" t="str">
        <f>IF(Table1[[#This Row],[temp]]&gt;=0.24,"cold","colder")</f>
        <v>colder</v>
      </c>
      <c r="R135" s="4">
        <v>3</v>
      </c>
      <c r="S135" s="16" t="str" cm="1">
        <f t="array" ref="S135">_xlfn.IFS(Table1[[#This Row],[weathersit]]=1,"clear sky",Table1[[#This Row],[weathersit]]=2,"mist",Table1[[#This Row],[weathersit]]=3,"partially dark",Table1[[#This Row],[weathersit]]=4,"rain")</f>
        <v>clear sky</v>
      </c>
    </row>
    <row r="136" spans="1:19" ht="15" customHeight="1" x14ac:dyDescent="0.3">
      <c r="A136" s="2">
        <v>135</v>
      </c>
      <c r="B136" s="3">
        <v>40678</v>
      </c>
      <c r="C136" s="2">
        <v>1</v>
      </c>
      <c r="D136" s="2">
        <v>0</v>
      </c>
      <c r="E136" s="2">
        <v>1</v>
      </c>
      <c r="F136" s="2">
        <v>20</v>
      </c>
      <c r="G136" s="2" t="b">
        <v>0</v>
      </c>
      <c r="H136" s="2">
        <v>4</v>
      </c>
      <c r="I136" s="2">
        <v>1</v>
      </c>
      <c r="J136" s="2">
        <v>0.2</v>
      </c>
      <c r="K136" s="4">
        <v>0.21210000000000001</v>
      </c>
      <c r="L136" s="4">
        <v>0.51</v>
      </c>
      <c r="M136" s="4">
        <v>0.16420000000000001</v>
      </c>
      <c r="N136" s="4">
        <v>66</v>
      </c>
      <c r="O136" s="2">
        <v>69</v>
      </c>
      <c r="P136" s="2" t="str">
        <f t="shared" si="2"/>
        <v>Sunday</v>
      </c>
      <c r="Q136" s="2" t="str">
        <f>IF(Table1[[#This Row],[temp]]&gt;=0.24,"cold","colder")</f>
        <v>colder</v>
      </c>
      <c r="R136" s="4">
        <v>3</v>
      </c>
      <c r="S136" s="16" t="str" cm="1">
        <f t="array" ref="S136">_xlfn.IFS(Table1[[#This Row],[weathersit]]=1,"clear sky",Table1[[#This Row],[weathersit]]=2,"mist",Table1[[#This Row],[weathersit]]=3,"partially dark",Table1[[#This Row],[weathersit]]=4,"rain")</f>
        <v>clear sky</v>
      </c>
    </row>
    <row r="137" spans="1:19" ht="15" customHeight="1" x14ac:dyDescent="0.3">
      <c r="A137" s="2">
        <v>136</v>
      </c>
      <c r="B137" s="3">
        <v>40679</v>
      </c>
      <c r="C137" s="2">
        <v>1</v>
      </c>
      <c r="D137" s="2">
        <v>0</v>
      </c>
      <c r="E137" s="2">
        <v>1</v>
      </c>
      <c r="F137" s="2">
        <v>21</v>
      </c>
      <c r="G137" s="2" t="b">
        <v>0</v>
      </c>
      <c r="H137" s="2">
        <v>4</v>
      </c>
      <c r="I137" s="2">
        <v>2</v>
      </c>
      <c r="J137" s="2">
        <v>0.22</v>
      </c>
      <c r="K137" s="4">
        <v>0.21210000000000001</v>
      </c>
      <c r="L137" s="4">
        <v>0.55000000000000004</v>
      </c>
      <c r="M137" s="4">
        <v>0.22389999999999999</v>
      </c>
      <c r="N137" s="4">
        <v>48</v>
      </c>
      <c r="O137" s="2">
        <v>48</v>
      </c>
      <c r="P137" s="2" t="str">
        <f t="shared" si="2"/>
        <v>Monday</v>
      </c>
      <c r="Q137" s="2" t="str">
        <f>IF(Table1[[#This Row],[temp]]&gt;=0.24,"cold","colder")</f>
        <v>colder</v>
      </c>
      <c r="R137" s="4">
        <v>0</v>
      </c>
      <c r="S137" s="16" t="str" cm="1">
        <f t="array" ref="S137">_xlfn.IFS(Table1[[#This Row],[weathersit]]=1,"clear sky",Table1[[#This Row],[weathersit]]=2,"mist",Table1[[#This Row],[weathersit]]=3,"partially dark",Table1[[#This Row],[weathersit]]=4,"rain")</f>
        <v>mist</v>
      </c>
    </row>
    <row r="138" spans="1:19" ht="15" customHeight="1" x14ac:dyDescent="0.3">
      <c r="A138" s="2">
        <v>137</v>
      </c>
      <c r="B138" s="3">
        <v>40680</v>
      </c>
      <c r="C138" s="2">
        <v>1</v>
      </c>
      <c r="D138" s="2">
        <v>0</v>
      </c>
      <c r="E138" s="2">
        <v>1</v>
      </c>
      <c r="F138" s="2">
        <v>22</v>
      </c>
      <c r="G138" s="2" t="b">
        <v>0</v>
      </c>
      <c r="H138" s="2">
        <v>4</v>
      </c>
      <c r="I138" s="2">
        <v>2</v>
      </c>
      <c r="J138" s="2">
        <v>0.22</v>
      </c>
      <c r="K138" s="4">
        <v>0.21210000000000001</v>
      </c>
      <c r="L138" s="4">
        <v>0.51</v>
      </c>
      <c r="M138" s="4">
        <v>0.28360000000000002</v>
      </c>
      <c r="N138" s="4">
        <v>51</v>
      </c>
      <c r="O138" s="2">
        <v>52</v>
      </c>
      <c r="P138" s="2" t="str">
        <f t="shared" si="2"/>
        <v>Tuesday</v>
      </c>
      <c r="Q138" s="2" t="str">
        <f>IF(Table1[[#This Row],[temp]]&gt;=0.24,"cold","colder")</f>
        <v>colder</v>
      </c>
      <c r="R138" s="4">
        <v>1</v>
      </c>
      <c r="S138" s="16" t="str" cm="1">
        <f t="array" ref="S138">_xlfn.IFS(Table1[[#This Row],[weathersit]]=1,"clear sky",Table1[[#This Row],[weathersit]]=2,"mist",Table1[[#This Row],[weathersit]]=3,"partially dark",Table1[[#This Row],[weathersit]]=4,"rain")</f>
        <v>mist</v>
      </c>
    </row>
    <row r="139" spans="1:19" ht="15" customHeight="1" x14ac:dyDescent="0.3">
      <c r="A139" s="2">
        <v>138</v>
      </c>
      <c r="B139" s="3">
        <v>40681</v>
      </c>
      <c r="C139" s="2">
        <v>1</v>
      </c>
      <c r="D139" s="2">
        <v>0</v>
      </c>
      <c r="E139" s="2">
        <v>1</v>
      </c>
      <c r="F139" s="2">
        <v>23</v>
      </c>
      <c r="G139" s="2" t="b">
        <v>0</v>
      </c>
      <c r="H139" s="2">
        <v>4</v>
      </c>
      <c r="I139" s="2">
        <v>2</v>
      </c>
      <c r="J139" s="2">
        <v>0.2</v>
      </c>
      <c r="K139" s="4">
        <v>0.19700000000000001</v>
      </c>
      <c r="L139" s="4">
        <v>0.59</v>
      </c>
      <c r="M139" s="4">
        <v>0.19400000000000001</v>
      </c>
      <c r="N139" s="4">
        <v>19</v>
      </c>
      <c r="O139" s="2">
        <v>23</v>
      </c>
      <c r="P139" s="2" t="str">
        <f t="shared" si="2"/>
        <v>Wednesday</v>
      </c>
      <c r="Q139" s="2" t="str">
        <f>IF(Table1[[#This Row],[temp]]&gt;=0.24,"cold","colder")</f>
        <v>colder</v>
      </c>
      <c r="R139" s="4">
        <v>4</v>
      </c>
      <c r="S139" s="16" t="str" cm="1">
        <f t="array" ref="S139">_xlfn.IFS(Table1[[#This Row],[weathersit]]=1,"clear sky",Table1[[#This Row],[weathersit]]=2,"mist",Table1[[#This Row],[weathersit]]=3,"partially dark",Table1[[#This Row],[weathersit]]=4,"rain")</f>
        <v>mist</v>
      </c>
    </row>
    <row r="140" spans="1:19" ht="15" customHeight="1" x14ac:dyDescent="0.3">
      <c r="A140" s="2">
        <v>139</v>
      </c>
      <c r="B140" s="3">
        <v>40682</v>
      </c>
      <c r="C140" s="2">
        <v>1</v>
      </c>
      <c r="D140" s="2">
        <v>0</v>
      </c>
      <c r="E140" s="2">
        <v>1</v>
      </c>
      <c r="F140" s="2">
        <v>0</v>
      </c>
      <c r="G140" s="2" t="b">
        <v>0</v>
      </c>
      <c r="H140" s="2">
        <v>5</v>
      </c>
      <c r="I140" s="2">
        <v>2</v>
      </c>
      <c r="J140" s="2">
        <v>0.2</v>
      </c>
      <c r="K140" s="4">
        <v>0.19700000000000001</v>
      </c>
      <c r="L140" s="4">
        <v>0.64</v>
      </c>
      <c r="M140" s="4">
        <v>0.19400000000000001</v>
      </c>
      <c r="N140" s="4">
        <v>13</v>
      </c>
      <c r="O140" s="2">
        <v>17</v>
      </c>
      <c r="P140" s="2" t="str">
        <f t="shared" si="2"/>
        <v>Thursday</v>
      </c>
      <c r="Q140" s="2" t="str">
        <f>IF(Table1[[#This Row],[temp]]&gt;=0.24,"cold","colder")</f>
        <v>colder</v>
      </c>
      <c r="R140" s="4">
        <v>4</v>
      </c>
      <c r="S140" s="16" t="str" cm="1">
        <f t="array" ref="S140">_xlfn.IFS(Table1[[#This Row],[weathersit]]=1,"clear sky",Table1[[#This Row],[weathersit]]=2,"mist",Table1[[#This Row],[weathersit]]=3,"partially dark",Table1[[#This Row],[weathersit]]=4,"rain")</f>
        <v>mist</v>
      </c>
    </row>
    <row r="141" spans="1:19" ht="15" customHeight="1" x14ac:dyDescent="0.3">
      <c r="A141" s="2">
        <v>140</v>
      </c>
      <c r="B141" s="3">
        <v>40683</v>
      </c>
      <c r="C141" s="2">
        <v>1</v>
      </c>
      <c r="D141" s="2">
        <v>0</v>
      </c>
      <c r="E141" s="2">
        <v>1</v>
      </c>
      <c r="F141" s="2">
        <v>1</v>
      </c>
      <c r="G141" s="2" t="b">
        <v>0</v>
      </c>
      <c r="H141" s="2">
        <v>5</v>
      </c>
      <c r="I141" s="2">
        <v>2</v>
      </c>
      <c r="J141" s="2">
        <v>0.2</v>
      </c>
      <c r="K141" s="4">
        <v>0.19700000000000001</v>
      </c>
      <c r="L141" s="4">
        <v>0.69</v>
      </c>
      <c r="M141" s="4">
        <v>0.22389999999999999</v>
      </c>
      <c r="N141" s="4">
        <v>5</v>
      </c>
      <c r="O141" s="2">
        <v>7</v>
      </c>
      <c r="P141" s="2" t="str">
        <f t="shared" si="2"/>
        <v>Friday</v>
      </c>
      <c r="Q141" s="2" t="str">
        <f>IF(Table1[[#This Row],[temp]]&gt;=0.24,"cold","colder")</f>
        <v>colder</v>
      </c>
      <c r="R141" s="4">
        <v>2</v>
      </c>
      <c r="S141" s="16" t="str" cm="1">
        <f t="array" ref="S141">_xlfn.IFS(Table1[[#This Row],[weathersit]]=1,"clear sky",Table1[[#This Row],[weathersit]]=2,"mist",Table1[[#This Row],[weathersit]]=3,"partially dark",Table1[[#This Row],[weathersit]]=4,"rain")</f>
        <v>mist</v>
      </c>
    </row>
    <row r="142" spans="1:19" ht="15" customHeight="1" x14ac:dyDescent="0.3">
      <c r="A142" s="2">
        <v>141</v>
      </c>
      <c r="B142" s="3">
        <v>40684</v>
      </c>
      <c r="C142" s="2">
        <v>1</v>
      </c>
      <c r="D142" s="2">
        <v>0</v>
      </c>
      <c r="E142" s="2">
        <v>1</v>
      </c>
      <c r="F142" s="2">
        <v>2</v>
      </c>
      <c r="G142" s="2" t="b">
        <v>0</v>
      </c>
      <c r="H142" s="2">
        <v>5</v>
      </c>
      <c r="I142" s="2">
        <v>2</v>
      </c>
      <c r="J142" s="2">
        <v>0.2</v>
      </c>
      <c r="K142" s="4">
        <v>0.19700000000000001</v>
      </c>
      <c r="L142" s="4">
        <v>0.69</v>
      </c>
      <c r="M142" s="4">
        <v>0.22389999999999999</v>
      </c>
      <c r="N142" s="4">
        <v>1</v>
      </c>
      <c r="O142" s="2">
        <v>1</v>
      </c>
      <c r="P142" s="2" t="str">
        <f t="shared" si="2"/>
        <v>Saturday</v>
      </c>
      <c r="Q142" s="2" t="str">
        <f>IF(Table1[[#This Row],[temp]]&gt;=0.24,"cold","colder")</f>
        <v>colder</v>
      </c>
      <c r="R142" s="4">
        <v>0</v>
      </c>
      <c r="S142" s="16" t="str" cm="1">
        <f t="array" ref="S142">_xlfn.IFS(Table1[[#This Row],[weathersit]]=1,"clear sky",Table1[[#This Row],[weathersit]]=2,"mist",Table1[[#This Row],[weathersit]]=3,"partially dark",Table1[[#This Row],[weathersit]]=4,"rain")</f>
        <v>mist</v>
      </c>
    </row>
    <row r="143" spans="1:19" ht="15" customHeight="1" x14ac:dyDescent="0.3">
      <c r="A143" s="2">
        <v>142</v>
      </c>
      <c r="B143" s="3">
        <v>40685</v>
      </c>
      <c r="C143" s="2">
        <v>1</v>
      </c>
      <c r="D143" s="2">
        <v>0</v>
      </c>
      <c r="E143" s="2">
        <v>1</v>
      </c>
      <c r="F143" s="2">
        <v>4</v>
      </c>
      <c r="G143" s="2" t="b">
        <v>0</v>
      </c>
      <c r="H143" s="2">
        <v>5</v>
      </c>
      <c r="I143" s="2">
        <v>2</v>
      </c>
      <c r="J143" s="2">
        <v>0.2</v>
      </c>
      <c r="K143" s="4">
        <v>0.21210000000000001</v>
      </c>
      <c r="L143" s="4">
        <v>0.69</v>
      </c>
      <c r="M143" s="4">
        <v>0.1343</v>
      </c>
      <c r="N143" s="4">
        <v>1</v>
      </c>
      <c r="O143" s="2">
        <v>1</v>
      </c>
      <c r="P143" s="2" t="str">
        <f t="shared" si="2"/>
        <v>Sunday</v>
      </c>
      <c r="Q143" s="2" t="str">
        <f>IF(Table1[[#This Row],[temp]]&gt;=0.24,"cold","colder")</f>
        <v>colder</v>
      </c>
      <c r="R143" s="4">
        <v>0</v>
      </c>
      <c r="S143" s="16" t="str" cm="1">
        <f t="array" ref="S143">_xlfn.IFS(Table1[[#This Row],[weathersit]]=1,"clear sky",Table1[[#This Row],[weathersit]]=2,"mist",Table1[[#This Row],[weathersit]]=3,"partially dark",Table1[[#This Row],[weathersit]]=4,"rain")</f>
        <v>mist</v>
      </c>
    </row>
    <row r="144" spans="1:19" ht="15" customHeight="1" x14ac:dyDescent="0.3">
      <c r="A144" s="2">
        <v>143</v>
      </c>
      <c r="B144" s="3">
        <v>40686</v>
      </c>
      <c r="C144" s="2">
        <v>1</v>
      </c>
      <c r="D144" s="2">
        <v>0</v>
      </c>
      <c r="E144" s="2">
        <v>1</v>
      </c>
      <c r="F144" s="2">
        <v>5</v>
      </c>
      <c r="G144" s="2" t="b">
        <v>0</v>
      </c>
      <c r="H144" s="2">
        <v>5</v>
      </c>
      <c r="I144" s="2">
        <v>3</v>
      </c>
      <c r="J144" s="2">
        <v>0.22</v>
      </c>
      <c r="K144" s="4">
        <v>0.2727</v>
      </c>
      <c r="L144" s="4">
        <v>0.55000000000000004</v>
      </c>
      <c r="M144" s="4">
        <v>0</v>
      </c>
      <c r="N144" s="4">
        <v>5</v>
      </c>
      <c r="O144" s="2">
        <v>5</v>
      </c>
      <c r="P144" s="2" t="str">
        <f t="shared" si="2"/>
        <v>Monday</v>
      </c>
      <c r="Q144" s="2" t="str">
        <f>IF(Table1[[#This Row],[temp]]&gt;=0.24,"cold","colder")</f>
        <v>colder</v>
      </c>
      <c r="R144" s="4">
        <v>0</v>
      </c>
      <c r="S144" s="16" t="str" cm="1">
        <f t="array" ref="S144">_xlfn.IFS(Table1[[#This Row],[weathersit]]=1,"clear sky",Table1[[#This Row],[weathersit]]=2,"mist",Table1[[#This Row],[weathersit]]=3,"partially dark",Table1[[#This Row],[weathersit]]=4,"rain")</f>
        <v>partially dark</v>
      </c>
    </row>
    <row r="145" spans="1:19" ht="15" customHeight="1" x14ac:dyDescent="0.3">
      <c r="A145" s="2">
        <v>144</v>
      </c>
      <c r="B145" s="3">
        <v>40687</v>
      </c>
      <c r="C145" s="2">
        <v>1</v>
      </c>
      <c r="D145" s="2">
        <v>0</v>
      </c>
      <c r="E145" s="2">
        <v>1</v>
      </c>
      <c r="F145" s="2">
        <v>6</v>
      </c>
      <c r="G145" s="2" t="b">
        <v>0</v>
      </c>
      <c r="H145" s="2">
        <v>5</v>
      </c>
      <c r="I145" s="2">
        <v>2</v>
      </c>
      <c r="J145" s="2">
        <v>0.2</v>
      </c>
      <c r="K145" s="4">
        <v>0.2576</v>
      </c>
      <c r="L145" s="4">
        <v>0.69</v>
      </c>
      <c r="M145" s="4">
        <v>0</v>
      </c>
      <c r="N145" s="4">
        <v>26</v>
      </c>
      <c r="O145" s="2">
        <v>34</v>
      </c>
      <c r="P145" s="2" t="str">
        <f t="shared" si="2"/>
        <v>Tuesday</v>
      </c>
      <c r="Q145" s="2" t="str">
        <f>IF(Table1[[#This Row],[temp]]&gt;=0.24,"cold","colder")</f>
        <v>colder</v>
      </c>
      <c r="R145" s="4">
        <v>8</v>
      </c>
      <c r="S145" s="16" t="str" cm="1">
        <f t="array" ref="S145">_xlfn.IFS(Table1[[#This Row],[weathersit]]=1,"clear sky",Table1[[#This Row],[weathersit]]=2,"mist",Table1[[#This Row],[weathersit]]=3,"partially dark",Table1[[#This Row],[weathersit]]=4,"rain")</f>
        <v>mist</v>
      </c>
    </row>
    <row r="146" spans="1:19" ht="15" customHeight="1" x14ac:dyDescent="0.3">
      <c r="A146" s="2">
        <v>145</v>
      </c>
      <c r="B146" s="3">
        <v>40688</v>
      </c>
      <c r="C146" s="2">
        <v>1</v>
      </c>
      <c r="D146" s="2">
        <v>0</v>
      </c>
      <c r="E146" s="2">
        <v>1</v>
      </c>
      <c r="F146" s="2">
        <v>7</v>
      </c>
      <c r="G146" s="2" t="b">
        <v>0</v>
      </c>
      <c r="H146" s="2">
        <v>5</v>
      </c>
      <c r="I146" s="2">
        <v>1</v>
      </c>
      <c r="J146" s="2">
        <v>0.2</v>
      </c>
      <c r="K146" s="4">
        <v>0.21210000000000001</v>
      </c>
      <c r="L146" s="4">
        <v>0.69</v>
      </c>
      <c r="M146" s="4">
        <v>0.1343</v>
      </c>
      <c r="N146" s="4">
        <v>76</v>
      </c>
      <c r="O146" s="2">
        <v>84</v>
      </c>
      <c r="P146" s="2" t="str">
        <f t="shared" si="2"/>
        <v>Wednesday</v>
      </c>
      <c r="Q146" s="2" t="str">
        <f>IF(Table1[[#This Row],[temp]]&gt;=0.24,"cold","colder")</f>
        <v>colder</v>
      </c>
      <c r="R146" s="4">
        <v>8</v>
      </c>
      <c r="S146" s="16" t="str" cm="1">
        <f t="array" ref="S146">_xlfn.IFS(Table1[[#This Row],[weathersit]]=1,"clear sky",Table1[[#This Row],[weathersit]]=2,"mist",Table1[[#This Row],[weathersit]]=3,"partially dark",Table1[[#This Row],[weathersit]]=4,"rain")</f>
        <v>clear sky</v>
      </c>
    </row>
    <row r="147" spans="1:19" ht="15" customHeight="1" x14ac:dyDescent="0.3">
      <c r="A147" s="2">
        <v>146</v>
      </c>
      <c r="B147" s="3">
        <v>40689</v>
      </c>
      <c r="C147" s="2">
        <v>1</v>
      </c>
      <c r="D147" s="2">
        <v>0</v>
      </c>
      <c r="E147" s="2">
        <v>1</v>
      </c>
      <c r="F147" s="2">
        <v>8</v>
      </c>
      <c r="G147" s="2" t="b">
        <v>0</v>
      </c>
      <c r="H147" s="2">
        <v>5</v>
      </c>
      <c r="I147" s="2">
        <v>1</v>
      </c>
      <c r="J147" s="2">
        <v>0.2</v>
      </c>
      <c r="K147" s="4">
        <v>0.19700000000000001</v>
      </c>
      <c r="L147" s="4">
        <v>0.51</v>
      </c>
      <c r="M147" s="4">
        <v>0.25369999999999998</v>
      </c>
      <c r="N147" s="4">
        <v>190</v>
      </c>
      <c r="O147" s="2">
        <v>210</v>
      </c>
      <c r="P147" s="2" t="str">
        <f t="shared" si="2"/>
        <v>Thursday</v>
      </c>
      <c r="Q147" s="2" t="str">
        <f>IF(Table1[[#This Row],[temp]]&gt;=0.24,"cold","colder")</f>
        <v>colder</v>
      </c>
      <c r="R147" s="4">
        <v>20</v>
      </c>
      <c r="S147" s="16" t="str" cm="1">
        <f t="array" ref="S147">_xlfn.IFS(Table1[[#This Row],[weathersit]]=1,"clear sky",Table1[[#This Row],[weathersit]]=2,"mist",Table1[[#This Row],[weathersit]]=3,"partially dark",Table1[[#This Row],[weathersit]]=4,"rain")</f>
        <v>clear sky</v>
      </c>
    </row>
    <row r="148" spans="1:19" ht="15" customHeight="1" x14ac:dyDescent="0.3">
      <c r="A148" s="2">
        <v>147</v>
      </c>
      <c r="B148" s="3">
        <v>40690</v>
      </c>
      <c r="C148" s="2">
        <v>1</v>
      </c>
      <c r="D148" s="2">
        <v>0</v>
      </c>
      <c r="E148" s="2">
        <v>1</v>
      </c>
      <c r="F148" s="2">
        <v>9</v>
      </c>
      <c r="G148" s="2" t="b">
        <v>0</v>
      </c>
      <c r="H148" s="2">
        <v>5</v>
      </c>
      <c r="I148" s="2">
        <v>1</v>
      </c>
      <c r="J148" s="2">
        <v>0.2</v>
      </c>
      <c r="K148" s="4">
        <v>0.18179999999999999</v>
      </c>
      <c r="L148" s="4">
        <v>0.47</v>
      </c>
      <c r="M148" s="4">
        <v>0.29849999999999999</v>
      </c>
      <c r="N148" s="4">
        <v>125</v>
      </c>
      <c r="O148" s="2">
        <v>134</v>
      </c>
      <c r="P148" s="2" t="str">
        <f t="shared" si="2"/>
        <v>Friday</v>
      </c>
      <c r="Q148" s="2" t="str">
        <f>IF(Table1[[#This Row],[temp]]&gt;=0.24,"cold","colder")</f>
        <v>colder</v>
      </c>
      <c r="R148" s="4">
        <v>9</v>
      </c>
      <c r="S148" s="16" t="str" cm="1">
        <f t="array" ref="S148">_xlfn.IFS(Table1[[#This Row],[weathersit]]=1,"clear sky",Table1[[#This Row],[weathersit]]=2,"mist",Table1[[#This Row],[weathersit]]=3,"partially dark",Table1[[#This Row],[weathersit]]=4,"rain")</f>
        <v>clear sky</v>
      </c>
    </row>
    <row r="149" spans="1:19" ht="15" customHeight="1" x14ac:dyDescent="0.3">
      <c r="A149" s="2">
        <v>148</v>
      </c>
      <c r="B149" s="3">
        <v>40691</v>
      </c>
      <c r="C149" s="2">
        <v>1</v>
      </c>
      <c r="D149" s="2">
        <v>0</v>
      </c>
      <c r="E149" s="2">
        <v>1</v>
      </c>
      <c r="F149" s="2">
        <v>10</v>
      </c>
      <c r="G149" s="2" t="b">
        <v>0</v>
      </c>
      <c r="H149" s="2">
        <v>5</v>
      </c>
      <c r="I149" s="2">
        <v>1</v>
      </c>
      <c r="J149" s="2">
        <v>0.22</v>
      </c>
      <c r="K149" s="4">
        <v>0.19700000000000001</v>
      </c>
      <c r="L149" s="4">
        <v>0.37</v>
      </c>
      <c r="M149" s="4">
        <v>0.32840000000000003</v>
      </c>
      <c r="N149" s="4">
        <v>47</v>
      </c>
      <c r="O149" s="2">
        <v>63</v>
      </c>
      <c r="P149" s="2" t="str">
        <f t="shared" si="2"/>
        <v>Saturday</v>
      </c>
      <c r="Q149" s="2" t="str">
        <f>IF(Table1[[#This Row],[temp]]&gt;=0.24,"cold","colder")</f>
        <v>colder</v>
      </c>
      <c r="R149" s="4">
        <v>16</v>
      </c>
      <c r="S149" s="16" t="str" cm="1">
        <f t="array" ref="S149">_xlfn.IFS(Table1[[#This Row],[weathersit]]=1,"clear sky",Table1[[#This Row],[weathersit]]=2,"mist",Table1[[#This Row],[weathersit]]=3,"partially dark",Table1[[#This Row],[weathersit]]=4,"rain")</f>
        <v>clear sky</v>
      </c>
    </row>
    <row r="150" spans="1:19" ht="15" customHeight="1" x14ac:dyDescent="0.3">
      <c r="A150" s="2">
        <v>149</v>
      </c>
      <c r="B150" s="3">
        <v>40692</v>
      </c>
      <c r="C150" s="2">
        <v>1</v>
      </c>
      <c r="D150" s="2">
        <v>0</v>
      </c>
      <c r="E150" s="2">
        <v>1</v>
      </c>
      <c r="F150" s="2">
        <v>11</v>
      </c>
      <c r="G150" s="2" t="b">
        <v>0</v>
      </c>
      <c r="H150" s="2">
        <v>5</v>
      </c>
      <c r="I150" s="2">
        <v>2</v>
      </c>
      <c r="J150" s="2">
        <v>0.2</v>
      </c>
      <c r="K150" s="4">
        <v>0.19700000000000001</v>
      </c>
      <c r="L150" s="4">
        <v>0.4</v>
      </c>
      <c r="M150" s="4">
        <v>0.22389999999999999</v>
      </c>
      <c r="N150" s="4">
        <v>48</v>
      </c>
      <c r="O150" s="2">
        <v>67</v>
      </c>
      <c r="P150" s="2" t="str">
        <f t="shared" si="2"/>
        <v>Sunday</v>
      </c>
      <c r="Q150" s="2" t="str">
        <f>IF(Table1[[#This Row],[temp]]&gt;=0.24,"cold","colder")</f>
        <v>colder</v>
      </c>
      <c r="R150" s="4">
        <v>19</v>
      </c>
      <c r="S150" s="16" t="str" cm="1">
        <f t="array" ref="S150">_xlfn.IFS(Table1[[#This Row],[weathersit]]=1,"clear sky",Table1[[#This Row],[weathersit]]=2,"mist",Table1[[#This Row],[weathersit]]=3,"partially dark",Table1[[#This Row],[weathersit]]=4,"rain")</f>
        <v>mist</v>
      </c>
    </row>
    <row r="151" spans="1:19" ht="15" customHeight="1" x14ac:dyDescent="0.3">
      <c r="A151" s="2">
        <v>150</v>
      </c>
      <c r="B151" s="3">
        <v>40693</v>
      </c>
      <c r="C151" s="2">
        <v>1</v>
      </c>
      <c r="D151" s="2">
        <v>0</v>
      </c>
      <c r="E151" s="2">
        <v>1</v>
      </c>
      <c r="F151" s="2">
        <v>12</v>
      </c>
      <c r="G151" s="2" t="b">
        <v>0</v>
      </c>
      <c r="H151" s="2">
        <v>5</v>
      </c>
      <c r="I151" s="2">
        <v>2</v>
      </c>
      <c r="J151" s="2">
        <v>0.2</v>
      </c>
      <c r="K151" s="4">
        <v>0.19700000000000001</v>
      </c>
      <c r="L151" s="4">
        <v>0.37</v>
      </c>
      <c r="M151" s="4">
        <v>0.25369999999999998</v>
      </c>
      <c r="N151" s="4">
        <v>50</v>
      </c>
      <c r="O151" s="2">
        <v>59</v>
      </c>
      <c r="P151" s="2" t="str">
        <f t="shared" si="2"/>
        <v>Monday</v>
      </c>
      <c r="Q151" s="2" t="str">
        <f>IF(Table1[[#This Row],[temp]]&gt;=0.24,"cold","colder")</f>
        <v>colder</v>
      </c>
      <c r="R151" s="4">
        <v>9</v>
      </c>
      <c r="S151" s="16" t="str" cm="1">
        <f t="array" ref="S151">_xlfn.IFS(Table1[[#This Row],[weathersit]]=1,"clear sky",Table1[[#This Row],[weathersit]]=2,"mist",Table1[[#This Row],[weathersit]]=3,"partially dark",Table1[[#This Row],[weathersit]]=4,"rain")</f>
        <v>mist</v>
      </c>
    </row>
    <row r="152" spans="1:19" ht="15" customHeight="1" x14ac:dyDescent="0.3">
      <c r="A152" s="2">
        <v>151</v>
      </c>
      <c r="B152" s="3">
        <v>40694</v>
      </c>
      <c r="C152" s="2">
        <v>1</v>
      </c>
      <c r="D152" s="2">
        <v>0</v>
      </c>
      <c r="E152" s="2">
        <v>1</v>
      </c>
      <c r="F152" s="2">
        <v>13</v>
      </c>
      <c r="G152" s="2" t="b">
        <v>0</v>
      </c>
      <c r="H152" s="2">
        <v>5</v>
      </c>
      <c r="I152" s="2">
        <v>2</v>
      </c>
      <c r="J152" s="2">
        <v>0.2</v>
      </c>
      <c r="K152" s="4">
        <v>0.18179999999999999</v>
      </c>
      <c r="L152" s="4">
        <v>0.37</v>
      </c>
      <c r="M152" s="4">
        <v>0.28360000000000002</v>
      </c>
      <c r="N152" s="4">
        <v>64</v>
      </c>
      <c r="O152" s="2">
        <v>73</v>
      </c>
      <c r="P152" s="2" t="str">
        <f t="shared" si="2"/>
        <v>Tuesday</v>
      </c>
      <c r="Q152" s="2" t="str">
        <f>IF(Table1[[#This Row],[temp]]&gt;=0.24,"cold","colder")</f>
        <v>colder</v>
      </c>
      <c r="R152" s="4">
        <v>9</v>
      </c>
      <c r="S152" s="16" t="str" cm="1">
        <f t="array" ref="S152">_xlfn.IFS(Table1[[#This Row],[weathersit]]=1,"clear sky",Table1[[#This Row],[weathersit]]=2,"mist",Table1[[#This Row],[weathersit]]=3,"partially dark",Table1[[#This Row],[weathersit]]=4,"rain")</f>
        <v>mist</v>
      </c>
    </row>
    <row r="153" spans="1:19" ht="15" customHeight="1" x14ac:dyDescent="0.3">
      <c r="A153" s="2">
        <v>152</v>
      </c>
      <c r="B153" s="3">
        <v>40695</v>
      </c>
      <c r="C153" s="2">
        <v>1</v>
      </c>
      <c r="D153" s="2">
        <v>0</v>
      </c>
      <c r="E153" s="2">
        <v>1</v>
      </c>
      <c r="F153" s="2">
        <v>14</v>
      </c>
      <c r="G153" s="2" t="b">
        <v>0</v>
      </c>
      <c r="H153" s="2">
        <v>5</v>
      </c>
      <c r="I153" s="2">
        <v>2</v>
      </c>
      <c r="J153" s="2">
        <v>0.2</v>
      </c>
      <c r="K153" s="4">
        <v>0.19700000000000001</v>
      </c>
      <c r="L153" s="4">
        <v>0.4</v>
      </c>
      <c r="M153" s="4">
        <v>0.25369999999999998</v>
      </c>
      <c r="N153" s="4">
        <v>43</v>
      </c>
      <c r="O153" s="2">
        <v>50</v>
      </c>
      <c r="P153" s="2" t="str">
        <f t="shared" si="2"/>
        <v>Wednesday</v>
      </c>
      <c r="Q153" s="2" t="str">
        <f>IF(Table1[[#This Row],[temp]]&gt;=0.24,"cold","colder")</f>
        <v>colder</v>
      </c>
      <c r="R153" s="4">
        <v>7</v>
      </c>
      <c r="S153" s="16" t="str" cm="1">
        <f t="array" ref="S153">_xlfn.IFS(Table1[[#This Row],[weathersit]]=1,"clear sky",Table1[[#This Row],[weathersit]]=2,"mist",Table1[[#This Row],[weathersit]]=3,"partially dark",Table1[[#This Row],[weathersit]]=4,"rain")</f>
        <v>mist</v>
      </c>
    </row>
    <row r="154" spans="1:19" ht="15" customHeight="1" x14ac:dyDescent="0.3">
      <c r="A154" s="2">
        <v>153</v>
      </c>
      <c r="B154" s="3">
        <v>40696</v>
      </c>
      <c r="C154" s="2">
        <v>1</v>
      </c>
      <c r="D154" s="2">
        <v>0</v>
      </c>
      <c r="E154" s="2">
        <v>1</v>
      </c>
      <c r="F154" s="2">
        <v>15</v>
      </c>
      <c r="G154" s="2" t="b">
        <v>0</v>
      </c>
      <c r="H154" s="2">
        <v>5</v>
      </c>
      <c r="I154" s="2">
        <v>2</v>
      </c>
      <c r="J154" s="2">
        <v>0.2</v>
      </c>
      <c r="K154" s="4">
        <v>0.21210000000000001</v>
      </c>
      <c r="L154" s="4">
        <v>0.37</v>
      </c>
      <c r="M154" s="4">
        <v>0.16420000000000001</v>
      </c>
      <c r="N154" s="4">
        <v>63</v>
      </c>
      <c r="O154" s="2">
        <v>72</v>
      </c>
      <c r="P154" s="2" t="str">
        <f t="shared" si="2"/>
        <v>Thursday</v>
      </c>
      <c r="Q154" s="2" t="str">
        <f>IF(Table1[[#This Row],[temp]]&gt;=0.24,"cold","colder")</f>
        <v>colder</v>
      </c>
      <c r="R154" s="4">
        <v>9</v>
      </c>
      <c r="S154" s="16" t="str" cm="1">
        <f t="array" ref="S154">_xlfn.IFS(Table1[[#This Row],[weathersit]]=1,"clear sky",Table1[[#This Row],[weathersit]]=2,"mist",Table1[[#This Row],[weathersit]]=3,"partially dark",Table1[[#This Row],[weathersit]]=4,"rain")</f>
        <v>mist</v>
      </c>
    </row>
    <row r="155" spans="1:19" ht="15" customHeight="1" x14ac:dyDescent="0.3">
      <c r="A155" s="2">
        <v>154</v>
      </c>
      <c r="B155" s="3">
        <v>40697</v>
      </c>
      <c r="C155" s="2">
        <v>1</v>
      </c>
      <c r="D155" s="2">
        <v>0</v>
      </c>
      <c r="E155" s="2">
        <v>1</v>
      </c>
      <c r="F155" s="2">
        <v>16</v>
      </c>
      <c r="G155" s="2" t="b">
        <v>0</v>
      </c>
      <c r="H155" s="2">
        <v>5</v>
      </c>
      <c r="I155" s="2">
        <v>2</v>
      </c>
      <c r="J155" s="2">
        <v>0.2</v>
      </c>
      <c r="K155" s="4">
        <v>0.21210000000000001</v>
      </c>
      <c r="L155" s="4">
        <v>0.37</v>
      </c>
      <c r="M155" s="4">
        <v>0.16420000000000001</v>
      </c>
      <c r="N155" s="4">
        <v>82</v>
      </c>
      <c r="O155" s="2">
        <v>87</v>
      </c>
      <c r="P155" s="2" t="str">
        <f t="shared" si="2"/>
        <v>Friday</v>
      </c>
      <c r="Q155" s="2" t="str">
        <f>IF(Table1[[#This Row],[temp]]&gt;=0.24,"cold","colder")</f>
        <v>colder</v>
      </c>
      <c r="R155" s="4">
        <v>5</v>
      </c>
      <c r="S155" s="16" t="str" cm="1">
        <f t="array" ref="S155">_xlfn.IFS(Table1[[#This Row],[weathersit]]=1,"clear sky",Table1[[#This Row],[weathersit]]=2,"mist",Table1[[#This Row],[weathersit]]=3,"partially dark",Table1[[#This Row],[weathersit]]=4,"rain")</f>
        <v>mist</v>
      </c>
    </row>
    <row r="156" spans="1:19" ht="15" customHeight="1" x14ac:dyDescent="0.3">
      <c r="A156" s="2">
        <v>155</v>
      </c>
      <c r="B156" s="3">
        <v>40698</v>
      </c>
      <c r="C156" s="2">
        <v>1</v>
      </c>
      <c r="D156" s="2">
        <v>0</v>
      </c>
      <c r="E156" s="2">
        <v>1</v>
      </c>
      <c r="F156" s="2">
        <v>17</v>
      </c>
      <c r="G156" s="2" t="b">
        <v>0</v>
      </c>
      <c r="H156" s="2">
        <v>5</v>
      </c>
      <c r="I156" s="2">
        <v>2</v>
      </c>
      <c r="J156" s="2">
        <v>0.2</v>
      </c>
      <c r="K156" s="4">
        <v>0.2576</v>
      </c>
      <c r="L156" s="4">
        <v>0.37</v>
      </c>
      <c r="M156" s="4">
        <v>0</v>
      </c>
      <c r="N156" s="4">
        <v>178</v>
      </c>
      <c r="O156" s="2">
        <v>187</v>
      </c>
      <c r="P156" s="2" t="str">
        <f t="shared" si="2"/>
        <v>Saturday</v>
      </c>
      <c r="Q156" s="2" t="str">
        <f>IF(Table1[[#This Row],[temp]]&gt;=0.24,"cold","colder")</f>
        <v>colder</v>
      </c>
      <c r="R156" s="4">
        <v>9</v>
      </c>
      <c r="S156" s="16" t="str" cm="1">
        <f t="array" ref="S156">_xlfn.IFS(Table1[[#This Row],[weathersit]]=1,"clear sky",Table1[[#This Row],[weathersit]]=2,"mist",Table1[[#This Row],[weathersit]]=3,"partially dark",Table1[[#This Row],[weathersit]]=4,"rain")</f>
        <v>mist</v>
      </c>
    </row>
    <row r="157" spans="1:19" ht="15" customHeight="1" x14ac:dyDescent="0.3">
      <c r="A157" s="2">
        <v>156</v>
      </c>
      <c r="B157" s="3">
        <v>40699</v>
      </c>
      <c r="C157" s="2">
        <v>1</v>
      </c>
      <c r="D157" s="2">
        <v>0</v>
      </c>
      <c r="E157" s="2">
        <v>1</v>
      </c>
      <c r="F157" s="2">
        <v>18</v>
      </c>
      <c r="G157" s="2" t="b">
        <v>0</v>
      </c>
      <c r="H157" s="2">
        <v>5</v>
      </c>
      <c r="I157" s="2">
        <v>1</v>
      </c>
      <c r="J157" s="2">
        <v>0.2</v>
      </c>
      <c r="K157" s="4">
        <v>0.2273</v>
      </c>
      <c r="L157" s="4">
        <v>0.4</v>
      </c>
      <c r="M157" s="4">
        <v>8.9599999999999999E-2</v>
      </c>
      <c r="N157" s="4">
        <v>116</v>
      </c>
      <c r="O157" s="2">
        <v>123</v>
      </c>
      <c r="P157" s="2" t="str">
        <f t="shared" si="2"/>
        <v>Sunday</v>
      </c>
      <c r="Q157" s="2" t="str">
        <f>IF(Table1[[#This Row],[temp]]&gt;=0.24,"cold","colder")</f>
        <v>colder</v>
      </c>
      <c r="R157" s="4">
        <v>7</v>
      </c>
      <c r="S157" s="16" t="str" cm="1">
        <f t="array" ref="S157">_xlfn.IFS(Table1[[#This Row],[weathersit]]=1,"clear sky",Table1[[#This Row],[weathersit]]=2,"mist",Table1[[#This Row],[weathersit]]=3,"partially dark",Table1[[#This Row],[weathersit]]=4,"rain")</f>
        <v>clear sky</v>
      </c>
    </row>
    <row r="158" spans="1:19" ht="15" customHeight="1" x14ac:dyDescent="0.3">
      <c r="A158" s="2">
        <v>157</v>
      </c>
      <c r="B158" s="3">
        <v>40700</v>
      </c>
      <c r="C158" s="2">
        <v>1</v>
      </c>
      <c r="D158" s="2">
        <v>0</v>
      </c>
      <c r="E158" s="2">
        <v>1</v>
      </c>
      <c r="F158" s="2">
        <v>19</v>
      </c>
      <c r="G158" s="2" t="b">
        <v>0</v>
      </c>
      <c r="H158" s="2">
        <v>5</v>
      </c>
      <c r="I158" s="2">
        <v>1</v>
      </c>
      <c r="J158" s="2">
        <v>0.16</v>
      </c>
      <c r="K158" s="4">
        <v>0.19700000000000001</v>
      </c>
      <c r="L158" s="4">
        <v>0.55000000000000004</v>
      </c>
      <c r="M158" s="4">
        <v>8.9599999999999999E-2</v>
      </c>
      <c r="N158" s="4">
        <v>92</v>
      </c>
      <c r="O158" s="2">
        <v>95</v>
      </c>
      <c r="P158" s="2" t="str">
        <f t="shared" si="2"/>
        <v>Monday</v>
      </c>
      <c r="Q158" s="2" t="str">
        <f>IF(Table1[[#This Row],[temp]]&gt;=0.24,"cold","colder")</f>
        <v>colder</v>
      </c>
      <c r="R158" s="4">
        <v>3</v>
      </c>
      <c r="S158" s="16" t="str" cm="1">
        <f t="array" ref="S158">_xlfn.IFS(Table1[[#This Row],[weathersit]]=1,"clear sky",Table1[[#This Row],[weathersit]]=2,"mist",Table1[[#This Row],[weathersit]]=3,"partially dark",Table1[[#This Row],[weathersit]]=4,"rain")</f>
        <v>clear sky</v>
      </c>
    </row>
    <row r="159" spans="1:19" ht="15" customHeight="1" x14ac:dyDescent="0.3">
      <c r="A159" s="2">
        <v>158</v>
      </c>
      <c r="B159" s="3">
        <v>40701</v>
      </c>
      <c r="C159" s="2">
        <v>1</v>
      </c>
      <c r="D159" s="2">
        <v>0</v>
      </c>
      <c r="E159" s="2">
        <v>1</v>
      </c>
      <c r="F159" s="2">
        <v>20</v>
      </c>
      <c r="G159" s="2" t="b">
        <v>0</v>
      </c>
      <c r="H159" s="2">
        <v>5</v>
      </c>
      <c r="I159" s="2">
        <v>1</v>
      </c>
      <c r="J159" s="2">
        <v>0.18</v>
      </c>
      <c r="K159" s="4">
        <v>0.21210000000000001</v>
      </c>
      <c r="L159" s="4">
        <v>0.47</v>
      </c>
      <c r="M159" s="4">
        <v>0.1045</v>
      </c>
      <c r="N159" s="4">
        <v>50</v>
      </c>
      <c r="O159" s="2">
        <v>51</v>
      </c>
      <c r="P159" s="2" t="str">
        <f t="shared" si="2"/>
        <v>Tuesday</v>
      </c>
      <c r="Q159" s="2" t="str">
        <f>IF(Table1[[#This Row],[temp]]&gt;=0.24,"cold","colder")</f>
        <v>colder</v>
      </c>
      <c r="R159" s="4">
        <v>1</v>
      </c>
      <c r="S159" s="16" t="str" cm="1">
        <f t="array" ref="S159">_xlfn.IFS(Table1[[#This Row],[weathersit]]=1,"clear sky",Table1[[#This Row],[weathersit]]=2,"mist",Table1[[#This Row],[weathersit]]=3,"partially dark",Table1[[#This Row],[weathersit]]=4,"rain")</f>
        <v>clear sky</v>
      </c>
    </row>
    <row r="160" spans="1:19" ht="15" customHeight="1" x14ac:dyDescent="0.3">
      <c r="A160" s="2">
        <v>159</v>
      </c>
      <c r="B160" s="3">
        <v>40702</v>
      </c>
      <c r="C160" s="2">
        <v>1</v>
      </c>
      <c r="D160" s="2">
        <v>0</v>
      </c>
      <c r="E160" s="2">
        <v>1</v>
      </c>
      <c r="F160" s="2">
        <v>21</v>
      </c>
      <c r="G160" s="2" t="b">
        <v>0</v>
      </c>
      <c r="H160" s="2">
        <v>5</v>
      </c>
      <c r="I160" s="2">
        <v>1</v>
      </c>
      <c r="J160" s="2">
        <v>0.18</v>
      </c>
      <c r="K160" s="4">
        <v>0.19700000000000001</v>
      </c>
      <c r="L160" s="4">
        <v>0.47</v>
      </c>
      <c r="M160" s="4">
        <v>0.1343</v>
      </c>
      <c r="N160" s="4">
        <v>39</v>
      </c>
      <c r="O160" s="2">
        <v>39</v>
      </c>
      <c r="P160" s="2" t="str">
        <f t="shared" si="2"/>
        <v>Wednesday</v>
      </c>
      <c r="Q160" s="2" t="str">
        <f>IF(Table1[[#This Row],[temp]]&gt;=0.24,"cold","colder")</f>
        <v>colder</v>
      </c>
      <c r="R160" s="4">
        <v>0</v>
      </c>
      <c r="S160" s="16" t="str" cm="1">
        <f t="array" ref="S160">_xlfn.IFS(Table1[[#This Row],[weathersit]]=1,"clear sky",Table1[[#This Row],[weathersit]]=2,"mist",Table1[[#This Row],[weathersit]]=3,"partially dark",Table1[[#This Row],[weathersit]]=4,"rain")</f>
        <v>clear sky</v>
      </c>
    </row>
    <row r="161" spans="1:19" ht="15" customHeight="1" x14ac:dyDescent="0.3">
      <c r="A161" s="2">
        <v>160</v>
      </c>
      <c r="B161" s="3">
        <v>40703</v>
      </c>
      <c r="C161" s="2">
        <v>1</v>
      </c>
      <c r="D161" s="2">
        <v>0</v>
      </c>
      <c r="E161" s="2">
        <v>1</v>
      </c>
      <c r="F161" s="2">
        <v>22</v>
      </c>
      <c r="G161" s="2" t="b">
        <v>0</v>
      </c>
      <c r="H161" s="2">
        <v>5</v>
      </c>
      <c r="I161" s="2">
        <v>2</v>
      </c>
      <c r="J161" s="2">
        <v>0.18</v>
      </c>
      <c r="K161" s="4">
        <v>0.19700000000000001</v>
      </c>
      <c r="L161" s="4">
        <v>0.43</v>
      </c>
      <c r="M161" s="4">
        <v>0.16420000000000001</v>
      </c>
      <c r="N161" s="4">
        <v>34</v>
      </c>
      <c r="O161" s="2">
        <v>36</v>
      </c>
      <c r="P161" s="2" t="str">
        <f t="shared" si="2"/>
        <v>Thursday</v>
      </c>
      <c r="Q161" s="2" t="str">
        <f>IF(Table1[[#This Row],[temp]]&gt;=0.24,"cold","colder")</f>
        <v>colder</v>
      </c>
      <c r="R161" s="4">
        <v>2</v>
      </c>
      <c r="S161" s="16" t="str" cm="1">
        <f t="array" ref="S161">_xlfn.IFS(Table1[[#This Row],[weathersit]]=1,"clear sky",Table1[[#This Row],[weathersit]]=2,"mist",Table1[[#This Row],[weathersit]]=3,"partially dark",Table1[[#This Row],[weathersit]]=4,"rain")</f>
        <v>mist</v>
      </c>
    </row>
    <row r="162" spans="1:19" ht="15" customHeight="1" x14ac:dyDescent="0.3">
      <c r="A162" s="2">
        <v>161</v>
      </c>
      <c r="B162" s="3">
        <v>40704</v>
      </c>
      <c r="C162" s="2">
        <v>1</v>
      </c>
      <c r="D162" s="2">
        <v>0</v>
      </c>
      <c r="E162" s="2">
        <v>1</v>
      </c>
      <c r="F162" s="2">
        <v>23</v>
      </c>
      <c r="G162" s="2" t="b">
        <v>0</v>
      </c>
      <c r="H162" s="2">
        <v>5</v>
      </c>
      <c r="I162" s="2">
        <v>2</v>
      </c>
      <c r="J162" s="2">
        <v>0.18</v>
      </c>
      <c r="K162" s="4">
        <v>0.19700000000000001</v>
      </c>
      <c r="L162" s="4">
        <v>0.51</v>
      </c>
      <c r="M162" s="4">
        <v>0.16420000000000001</v>
      </c>
      <c r="N162" s="4">
        <v>14</v>
      </c>
      <c r="O162" s="2">
        <v>15</v>
      </c>
      <c r="P162" s="2" t="str">
        <f t="shared" si="2"/>
        <v>Friday</v>
      </c>
      <c r="Q162" s="2" t="str">
        <f>IF(Table1[[#This Row],[temp]]&gt;=0.24,"cold","colder")</f>
        <v>colder</v>
      </c>
      <c r="R162" s="4">
        <v>1</v>
      </c>
      <c r="S162" s="16" t="str" cm="1">
        <f t="array" ref="S162">_xlfn.IFS(Table1[[#This Row],[weathersit]]=1,"clear sky",Table1[[#This Row],[weathersit]]=2,"mist",Table1[[#This Row],[weathersit]]=3,"partially dark",Table1[[#This Row],[weathersit]]=4,"rain")</f>
        <v>mist</v>
      </c>
    </row>
    <row r="163" spans="1:19" ht="15" customHeight="1" x14ac:dyDescent="0.3">
      <c r="A163" s="2">
        <v>162</v>
      </c>
      <c r="B163" s="3">
        <v>40705</v>
      </c>
      <c r="C163" s="2">
        <v>1</v>
      </c>
      <c r="D163" s="2">
        <v>0</v>
      </c>
      <c r="E163" s="2">
        <v>1</v>
      </c>
      <c r="F163" s="2">
        <v>0</v>
      </c>
      <c r="G163" s="2" t="b">
        <v>0</v>
      </c>
      <c r="H163" s="2">
        <v>6</v>
      </c>
      <c r="I163" s="2">
        <v>2</v>
      </c>
      <c r="J163" s="2">
        <v>0.18</v>
      </c>
      <c r="K163" s="4">
        <v>0.19700000000000001</v>
      </c>
      <c r="L163" s="4">
        <v>0.51</v>
      </c>
      <c r="M163" s="4">
        <v>0.16420000000000001</v>
      </c>
      <c r="N163" s="4">
        <v>24</v>
      </c>
      <c r="O163" s="2">
        <v>25</v>
      </c>
      <c r="P163" s="2" t="str">
        <f t="shared" si="2"/>
        <v>Saturday</v>
      </c>
      <c r="Q163" s="2" t="str">
        <f>IF(Table1[[#This Row],[temp]]&gt;=0.24,"cold","colder")</f>
        <v>colder</v>
      </c>
      <c r="R163" s="4">
        <v>1</v>
      </c>
      <c r="S163" s="16" t="str" cm="1">
        <f t="array" ref="S163">_xlfn.IFS(Table1[[#This Row],[weathersit]]=1,"clear sky",Table1[[#This Row],[weathersit]]=2,"mist",Table1[[#This Row],[weathersit]]=3,"partially dark",Table1[[#This Row],[weathersit]]=4,"rain")</f>
        <v>mist</v>
      </c>
    </row>
    <row r="164" spans="1:19" ht="15" customHeight="1" x14ac:dyDescent="0.3">
      <c r="A164" s="2">
        <v>163</v>
      </c>
      <c r="B164" s="3">
        <v>40706</v>
      </c>
      <c r="C164" s="2">
        <v>1</v>
      </c>
      <c r="D164" s="2">
        <v>0</v>
      </c>
      <c r="E164" s="2">
        <v>1</v>
      </c>
      <c r="F164" s="2">
        <v>1</v>
      </c>
      <c r="G164" s="2" t="b">
        <v>0</v>
      </c>
      <c r="H164" s="2">
        <v>6</v>
      </c>
      <c r="I164" s="2">
        <v>2</v>
      </c>
      <c r="J164" s="2">
        <v>0.18</v>
      </c>
      <c r="K164" s="4">
        <v>0.21210000000000001</v>
      </c>
      <c r="L164" s="4">
        <v>0.55000000000000004</v>
      </c>
      <c r="M164" s="4">
        <v>8.9599999999999999E-2</v>
      </c>
      <c r="N164" s="4">
        <v>15</v>
      </c>
      <c r="O164" s="2">
        <v>16</v>
      </c>
      <c r="P164" s="2" t="str">
        <f t="shared" si="2"/>
        <v>Sunday</v>
      </c>
      <c r="Q164" s="2" t="str">
        <f>IF(Table1[[#This Row],[temp]]&gt;=0.24,"cold","colder")</f>
        <v>colder</v>
      </c>
      <c r="R164" s="4">
        <v>1</v>
      </c>
      <c r="S164" s="16" t="str" cm="1">
        <f t="array" ref="S164">_xlfn.IFS(Table1[[#This Row],[weathersit]]=1,"clear sky",Table1[[#This Row],[weathersit]]=2,"mist",Table1[[#This Row],[weathersit]]=3,"partially dark",Table1[[#This Row],[weathersit]]=4,"rain")</f>
        <v>mist</v>
      </c>
    </row>
    <row r="165" spans="1:19" ht="15" customHeight="1" x14ac:dyDescent="0.3">
      <c r="A165" s="2">
        <v>164</v>
      </c>
      <c r="B165" s="3">
        <v>40707</v>
      </c>
      <c r="C165" s="2">
        <v>1</v>
      </c>
      <c r="D165" s="2">
        <v>0</v>
      </c>
      <c r="E165" s="2">
        <v>1</v>
      </c>
      <c r="F165" s="2">
        <v>2</v>
      </c>
      <c r="G165" s="2" t="b">
        <v>0</v>
      </c>
      <c r="H165" s="2">
        <v>6</v>
      </c>
      <c r="I165" s="2">
        <v>2</v>
      </c>
      <c r="J165" s="2">
        <v>0.18</v>
      </c>
      <c r="K165" s="4">
        <v>0.2424</v>
      </c>
      <c r="L165" s="4">
        <v>0.55000000000000004</v>
      </c>
      <c r="M165" s="4">
        <v>0</v>
      </c>
      <c r="N165" s="4">
        <v>13</v>
      </c>
      <c r="O165" s="2">
        <v>16</v>
      </c>
      <c r="P165" s="2" t="str">
        <f t="shared" si="2"/>
        <v>Monday</v>
      </c>
      <c r="Q165" s="2" t="str">
        <f>IF(Table1[[#This Row],[temp]]&gt;=0.24,"cold","colder")</f>
        <v>colder</v>
      </c>
      <c r="R165" s="4">
        <v>3</v>
      </c>
      <c r="S165" s="16" t="str" cm="1">
        <f t="array" ref="S165">_xlfn.IFS(Table1[[#This Row],[weathersit]]=1,"clear sky",Table1[[#This Row],[weathersit]]=2,"mist",Table1[[#This Row],[weathersit]]=3,"partially dark",Table1[[#This Row],[weathersit]]=4,"rain")</f>
        <v>mist</v>
      </c>
    </row>
    <row r="166" spans="1:19" ht="15" customHeight="1" x14ac:dyDescent="0.3">
      <c r="A166" s="2">
        <v>165</v>
      </c>
      <c r="B166" s="3">
        <v>40708</v>
      </c>
      <c r="C166" s="2">
        <v>1</v>
      </c>
      <c r="D166" s="2">
        <v>0</v>
      </c>
      <c r="E166" s="2">
        <v>1</v>
      </c>
      <c r="F166" s="2">
        <v>3</v>
      </c>
      <c r="G166" s="2" t="b">
        <v>0</v>
      </c>
      <c r="H166" s="2">
        <v>6</v>
      </c>
      <c r="I166" s="2">
        <v>3</v>
      </c>
      <c r="J166" s="2">
        <v>0.18</v>
      </c>
      <c r="K166" s="4">
        <v>0.19700000000000001</v>
      </c>
      <c r="L166" s="4">
        <v>0.55000000000000004</v>
      </c>
      <c r="M166" s="4">
        <v>0.16420000000000001</v>
      </c>
      <c r="N166" s="4">
        <v>7</v>
      </c>
      <c r="O166" s="2">
        <v>7</v>
      </c>
      <c r="P166" s="2" t="str">
        <f t="shared" si="2"/>
        <v>Tuesday</v>
      </c>
      <c r="Q166" s="2" t="str">
        <f>IF(Table1[[#This Row],[temp]]&gt;=0.24,"cold","colder")</f>
        <v>colder</v>
      </c>
      <c r="R166" s="4">
        <v>0</v>
      </c>
      <c r="S166" s="16" t="str" cm="1">
        <f t="array" ref="S166">_xlfn.IFS(Table1[[#This Row],[weathersit]]=1,"clear sky",Table1[[#This Row],[weathersit]]=2,"mist",Table1[[#This Row],[weathersit]]=3,"partially dark",Table1[[#This Row],[weathersit]]=4,"rain")</f>
        <v>partially dark</v>
      </c>
    </row>
    <row r="167" spans="1:19" ht="15" customHeight="1" x14ac:dyDescent="0.3">
      <c r="A167" s="2">
        <v>166</v>
      </c>
      <c r="B167" s="3">
        <v>40709</v>
      </c>
      <c r="C167" s="2">
        <v>1</v>
      </c>
      <c r="D167" s="2">
        <v>0</v>
      </c>
      <c r="E167" s="2">
        <v>1</v>
      </c>
      <c r="F167" s="2">
        <v>4</v>
      </c>
      <c r="G167" s="2" t="b">
        <v>0</v>
      </c>
      <c r="H167" s="2">
        <v>6</v>
      </c>
      <c r="I167" s="2">
        <v>3</v>
      </c>
      <c r="J167" s="2">
        <v>0.18</v>
      </c>
      <c r="K167" s="4">
        <v>0.19700000000000001</v>
      </c>
      <c r="L167" s="4">
        <v>0.55000000000000004</v>
      </c>
      <c r="M167" s="4">
        <v>0.16420000000000001</v>
      </c>
      <c r="N167" s="4">
        <v>1</v>
      </c>
      <c r="O167" s="2">
        <v>1</v>
      </c>
      <c r="P167" s="2" t="str">
        <f t="shared" si="2"/>
        <v>Wednesday</v>
      </c>
      <c r="Q167" s="2" t="str">
        <f>IF(Table1[[#This Row],[temp]]&gt;=0.24,"cold","colder")</f>
        <v>colder</v>
      </c>
      <c r="R167" s="4">
        <v>0</v>
      </c>
      <c r="S167" s="16" t="str" cm="1">
        <f t="array" ref="S167">_xlfn.IFS(Table1[[#This Row],[weathersit]]=1,"clear sky",Table1[[#This Row],[weathersit]]=2,"mist",Table1[[#This Row],[weathersit]]=3,"partially dark",Table1[[#This Row],[weathersit]]=4,"rain")</f>
        <v>partially dark</v>
      </c>
    </row>
    <row r="168" spans="1:19" ht="15" customHeight="1" x14ac:dyDescent="0.3">
      <c r="A168" s="2">
        <v>167</v>
      </c>
      <c r="B168" s="3">
        <v>40710</v>
      </c>
      <c r="C168" s="2">
        <v>1</v>
      </c>
      <c r="D168" s="2">
        <v>0</v>
      </c>
      <c r="E168" s="2">
        <v>1</v>
      </c>
      <c r="F168" s="2">
        <v>5</v>
      </c>
      <c r="G168" s="2" t="b">
        <v>0</v>
      </c>
      <c r="H168" s="2">
        <v>6</v>
      </c>
      <c r="I168" s="2">
        <v>2</v>
      </c>
      <c r="J168" s="2">
        <v>0.16</v>
      </c>
      <c r="K168" s="4">
        <v>0.16669999999999999</v>
      </c>
      <c r="L168" s="4">
        <v>0.74</v>
      </c>
      <c r="M168" s="4">
        <v>0.16420000000000001</v>
      </c>
      <c r="N168" s="4">
        <v>5</v>
      </c>
      <c r="O168" s="2">
        <v>5</v>
      </c>
      <c r="P168" s="2" t="str">
        <f t="shared" si="2"/>
        <v>Thursday</v>
      </c>
      <c r="Q168" s="2" t="str">
        <f>IF(Table1[[#This Row],[temp]]&gt;=0.24,"cold","colder")</f>
        <v>colder</v>
      </c>
      <c r="R168" s="4">
        <v>0</v>
      </c>
      <c r="S168" s="16" t="str" cm="1">
        <f t="array" ref="S168">_xlfn.IFS(Table1[[#This Row],[weathersit]]=1,"clear sky",Table1[[#This Row],[weathersit]]=2,"mist",Table1[[#This Row],[weathersit]]=3,"partially dark",Table1[[#This Row],[weathersit]]=4,"rain")</f>
        <v>mist</v>
      </c>
    </row>
    <row r="169" spans="1:19" ht="15" customHeight="1" x14ac:dyDescent="0.3">
      <c r="A169" s="2">
        <v>168</v>
      </c>
      <c r="B169" s="3">
        <v>40711</v>
      </c>
      <c r="C169" s="2">
        <v>1</v>
      </c>
      <c r="D169" s="2">
        <v>0</v>
      </c>
      <c r="E169" s="2">
        <v>1</v>
      </c>
      <c r="F169" s="2">
        <v>6</v>
      </c>
      <c r="G169" s="2" t="b">
        <v>0</v>
      </c>
      <c r="H169" s="2">
        <v>6</v>
      </c>
      <c r="I169" s="2">
        <v>2</v>
      </c>
      <c r="J169" s="2">
        <v>0.16</v>
      </c>
      <c r="K169" s="4">
        <v>0.16669999999999999</v>
      </c>
      <c r="L169" s="4">
        <v>0.74</v>
      </c>
      <c r="M169" s="4">
        <v>0.16420000000000001</v>
      </c>
      <c r="N169" s="4">
        <v>2</v>
      </c>
      <c r="O169" s="2">
        <v>2</v>
      </c>
      <c r="P169" s="2" t="str">
        <f t="shared" si="2"/>
        <v>Friday</v>
      </c>
      <c r="Q169" s="2" t="str">
        <f>IF(Table1[[#This Row],[temp]]&gt;=0.24,"cold","colder")</f>
        <v>colder</v>
      </c>
      <c r="R169" s="4">
        <v>0</v>
      </c>
      <c r="S169" s="16" t="str" cm="1">
        <f t="array" ref="S169">_xlfn.IFS(Table1[[#This Row],[weathersit]]=1,"clear sky",Table1[[#This Row],[weathersit]]=2,"mist",Table1[[#This Row],[weathersit]]=3,"partially dark",Table1[[#This Row],[weathersit]]=4,"rain")</f>
        <v>mist</v>
      </c>
    </row>
    <row r="170" spans="1:19" ht="15" customHeight="1" x14ac:dyDescent="0.3">
      <c r="A170" s="2">
        <v>169</v>
      </c>
      <c r="B170" s="3">
        <v>40712</v>
      </c>
      <c r="C170" s="2">
        <v>1</v>
      </c>
      <c r="D170" s="2">
        <v>0</v>
      </c>
      <c r="E170" s="2">
        <v>1</v>
      </c>
      <c r="F170" s="2">
        <v>7</v>
      </c>
      <c r="G170" s="2" t="b">
        <v>0</v>
      </c>
      <c r="H170" s="2">
        <v>6</v>
      </c>
      <c r="I170" s="2">
        <v>2</v>
      </c>
      <c r="J170" s="2">
        <v>0.16</v>
      </c>
      <c r="K170" s="4">
        <v>0.18179999999999999</v>
      </c>
      <c r="L170" s="4">
        <v>0.74</v>
      </c>
      <c r="M170" s="4">
        <v>0.1045</v>
      </c>
      <c r="N170" s="4">
        <v>8</v>
      </c>
      <c r="O170" s="2">
        <v>9</v>
      </c>
      <c r="P170" s="2" t="str">
        <f t="shared" si="2"/>
        <v>Saturday</v>
      </c>
      <c r="Q170" s="2" t="str">
        <f>IF(Table1[[#This Row],[temp]]&gt;=0.24,"cold","colder")</f>
        <v>colder</v>
      </c>
      <c r="R170" s="4">
        <v>1</v>
      </c>
      <c r="S170" s="16" t="str" cm="1">
        <f t="array" ref="S170">_xlfn.IFS(Table1[[#This Row],[weathersit]]=1,"clear sky",Table1[[#This Row],[weathersit]]=2,"mist",Table1[[#This Row],[weathersit]]=3,"partially dark",Table1[[#This Row],[weathersit]]=4,"rain")</f>
        <v>mist</v>
      </c>
    </row>
    <row r="171" spans="1:19" ht="15" customHeight="1" x14ac:dyDescent="0.3">
      <c r="A171" s="2">
        <v>170</v>
      </c>
      <c r="B171" s="3">
        <v>40713</v>
      </c>
      <c r="C171" s="2">
        <v>1</v>
      </c>
      <c r="D171" s="2">
        <v>0</v>
      </c>
      <c r="E171" s="2">
        <v>1</v>
      </c>
      <c r="F171" s="2">
        <v>8</v>
      </c>
      <c r="G171" s="2" t="b">
        <v>0</v>
      </c>
      <c r="H171" s="2">
        <v>6</v>
      </c>
      <c r="I171" s="2">
        <v>3</v>
      </c>
      <c r="J171" s="2">
        <v>0.16</v>
      </c>
      <c r="K171" s="4">
        <v>0.18179999999999999</v>
      </c>
      <c r="L171" s="4">
        <v>0.93</v>
      </c>
      <c r="M171" s="4">
        <v>0.1045</v>
      </c>
      <c r="N171" s="4">
        <v>15</v>
      </c>
      <c r="O171" s="2">
        <v>15</v>
      </c>
      <c r="P171" s="2" t="str">
        <f t="shared" si="2"/>
        <v>Sunday</v>
      </c>
      <c r="Q171" s="2" t="str">
        <f>IF(Table1[[#This Row],[temp]]&gt;=0.24,"cold","colder")</f>
        <v>colder</v>
      </c>
      <c r="R171" s="4">
        <v>0</v>
      </c>
      <c r="S171" s="16" t="str" cm="1">
        <f t="array" ref="S171">_xlfn.IFS(Table1[[#This Row],[weathersit]]=1,"clear sky",Table1[[#This Row],[weathersit]]=2,"mist",Table1[[#This Row],[weathersit]]=3,"partially dark",Table1[[#This Row],[weathersit]]=4,"rain")</f>
        <v>partially dark</v>
      </c>
    </row>
    <row r="172" spans="1:19" ht="15" customHeight="1" x14ac:dyDescent="0.3">
      <c r="A172" s="2">
        <v>171</v>
      </c>
      <c r="B172" s="3">
        <v>40714</v>
      </c>
      <c r="C172" s="2">
        <v>1</v>
      </c>
      <c r="D172" s="2">
        <v>0</v>
      </c>
      <c r="E172" s="2">
        <v>1</v>
      </c>
      <c r="F172" s="2">
        <v>9</v>
      </c>
      <c r="G172" s="2" t="b">
        <v>0</v>
      </c>
      <c r="H172" s="2">
        <v>6</v>
      </c>
      <c r="I172" s="2">
        <v>3</v>
      </c>
      <c r="J172" s="2">
        <v>0.16</v>
      </c>
      <c r="K172" s="4">
        <v>0.18179999999999999</v>
      </c>
      <c r="L172" s="4">
        <v>0.93</v>
      </c>
      <c r="M172" s="4">
        <v>0.1045</v>
      </c>
      <c r="N172" s="4">
        <v>20</v>
      </c>
      <c r="O172" s="2">
        <v>20</v>
      </c>
      <c r="P172" s="2" t="str">
        <f t="shared" si="2"/>
        <v>Monday</v>
      </c>
      <c r="Q172" s="2" t="str">
        <f>IF(Table1[[#This Row],[temp]]&gt;=0.24,"cold","colder")</f>
        <v>colder</v>
      </c>
      <c r="R172" s="4">
        <v>0</v>
      </c>
      <c r="S172" s="16" t="str" cm="1">
        <f t="array" ref="S172">_xlfn.IFS(Table1[[#This Row],[weathersit]]=1,"clear sky",Table1[[#This Row],[weathersit]]=2,"mist",Table1[[#This Row],[weathersit]]=3,"partially dark",Table1[[#This Row],[weathersit]]=4,"rain")</f>
        <v>partially dark</v>
      </c>
    </row>
    <row r="173" spans="1:19" ht="15" customHeight="1" x14ac:dyDescent="0.3">
      <c r="A173" s="2">
        <v>172</v>
      </c>
      <c r="B173" s="3">
        <v>40715</v>
      </c>
      <c r="C173" s="2">
        <v>1</v>
      </c>
      <c r="D173" s="2">
        <v>0</v>
      </c>
      <c r="E173" s="2">
        <v>1</v>
      </c>
      <c r="F173" s="2">
        <v>10</v>
      </c>
      <c r="G173" s="2" t="b">
        <v>0</v>
      </c>
      <c r="H173" s="2">
        <v>6</v>
      </c>
      <c r="I173" s="2">
        <v>2</v>
      </c>
      <c r="J173" s="2">
        <v>0.18</v>
      </c>
      <c r="K173" s="4">
        <v>0.19700000000000001</v>
      </c>
      <c r="L173" s="4">
        <v>0.8</v>
      </c>
      <c r="M173" s="4">
        <v>0.16420000000000001</v>
      </c>
      <c r="N173" s="4">
        <v>56</v>
      </c>
      <c r="O173" s="2">
        <v>61</v>
      </c>
      <c r="P173" s="2" t="str">
        <f t="shared" si="2"/>
        <v>Tuesday</v>
      </c>
      <c r="Q173" s="2" t="str">
        <f>IF(Table1[[#This Row],[temp]]&gt;=0.24,"cold","colder")</f>
        <v>colder</v>
      </c>
      <c r="R173" s="4">
        <v>5</v>
      </c>
      <c r="S173" s="16" t="str" cm="1">
        <f t="array" ref="S173">_xlfn.IFS(Table1[[#This Row],[weathersit]]=1,"clear sky",Table1[[#This Row],[weathersit]]=2,"mist",Table1[[#This Row],[weathersit]]=3,"partially dark",Table1[[#This Row],[weathersit]]=4,"rain")</f>
        <v>mist</v>
      </c>
    </row>
    <row r="174" spans="1:19" ht="15" customHeight="1" x14ac:dyDescent="0.3">
      <c r="A174" s="2">
        <v>173</v>
      </c>
      <c r="B174" s="3">
        <v>40716</v>
      </c>
      <c r="C174" s="2">
        <v>1</v>
      </c>
      <c r="D174" s="2">
        <v>0</v>
      </c>
      <c r="E174" s="2">
        <v>1</v>
      </c>
      <c r="F174" s="2">
        <v>11</v>
      </c>
      <c r="G174" s="2" t="b">
        <v>0</v>
      </c>
      <c r="H174" s="2">
        <v>6</v>
      </c>
      <c r="I174" s="2">
        <v>2</v>
      </c>
      <c r="J174" s="2">
        <v>0.2</v>
      </c>
      <c r="K174" s="4">
        <v>0.18179999999999999</v>
      </c>
      <c r="L174" s="4">
        <v>0.69</v>
      </c>
      <c r="M174" s="4">
        <v>0.3881</v>
      </c>
      <c r="N174" s="4">
        <v>60</v>
      </c>
      <c r="O174" s="2">
        <v>62</v>
      </c>
      <c r="P174" s="2" t="str">
        <f t="shared" si="2"/>
        <v>Wednesday</v>
      </c>
      <c r="Q174" s="2" t="str">
        <f>IF(Table1[[#This Row],[temp]]&gt;=0.24,"cold","colder")</f>
        <v>colder</v>
      </c>
      <c r="R174" s="4">
        <v>2</v>
      </c>
      <c r="S174" s="16" t="str" cm="1">
        <f t="array" ref="S174">_xlfn.IFS(Table1[[#This Row],[weathersit]]=1,"clear sky",Table1[[#This Row],[weathersit]]=2,"mist",Table1[[#This Row],[weathersit]]=3,"partially dark",Table1[[#This Row],[weathersit]]=4,"rain")</f>
        <v>mist</v>
      </c>
    </row>
    <row r="175" spans="1:19" ht="15" customHeight="1" x14ac:dyDescent="0.3">
      <c r="A175" s="2">
        <v>174</v>
      </c>
      <c r="B175" s="3">
        <v>40717</v>
      </c>
      <c r="C175" s="2">
        <v>1</v>
      </c>
      <c r="D175" s="2">
        <v>0</v>
      </c>
      <c r="E175" s="2">
        <v>1</v>
      </c>
      <c r="F175" s="2">
        <v>12</v>
      </c>
      <c r="G175" s="2" t="b">
        <v>0</v>
      </c>
      <c r="H175" s="2">
        <v>6</v>
      </c>
      <c r="I175" s="2">
        <v>2</v>
      </c>
      <c r="J175" s="2">
        <v>0.2</v>
      </c>
      <c r="K175" s="4">
        <v>0.18179999999999999</v>
      </c>
      <c r="L175" s="4">
        <v>0.59</v>
      </c>
      <c r="M175" s="4">
        <v>0.35820000000000002</v>
      </c>
      <c r="N175" s="4">
        <v>90</v>
      </c>
      <c r="O175" s="2">
        <v>98</v>
      </c>
      <c r="P175" s="2" t="str">
        <f t="shared" si="2"/>
        <v>Thursday</v>
      </c>
      <c r="Q175" s="2" t="str">
        <f>IF(Table1[[#This Row],[temp]]&gt;=0.24,"cold","colder")</f>
        <v>colder</v>
      </c>
      <c r="R175" s="4">
        <v>8</v>
      </c>
      <c r="S175" s="16" t="str" cm="1">
        <f t="array" ref="S175">_xlfn.IFS(Table1[[#This Row],[weathersit]]=1,"clear sky",Table1[[#This Row],[weathersit]]=2,"mist",Table1[[#This Row],[weathersit]]=3,"partially dark",Table1[[#This Row],[weathersit]]=4,"rain")</f>
        <v>mist</v>
      </c>
    </row>
    <row r="176" spans="1:19" ht="15" customHeight="1" x14ac:dyDescent="0.3">
      <c r="A176" s="2">
        <v>175</v>
      </c>
      <c r="B176" s="3">
        <v>40718</v>
      </c>
      <c r="C176" s="2">
        <v>1</v>
      </c>
      <c r="D176" s="2">
        <v>0</v>
      </c>
      <c r="E176" s="2">
        <v>1</v>
      </c>
      <c r="F176" s="2">
        <v>13</v>
      </c>
      <c r="G176" s="2" t="b">
        <v>0</v>
      </c>
      <c r="H176" s="2">
        <v>6</v>
      </c>
      <c r="I176" s="2">
        <v>1</v>
      </c>
      <c r="J176" s="2">
        <v>0.2</v>
      </c>
      <c r="K176" s="4">
        <v>0.18179999999999999</v>
      </c>
      <c r="L176" s="4">
        <v>0.44</v>
      </c>
      <c r="M176" s="4">
        <v>0.32840000000000003</v>
      </c>
      <c r="N176" s="4">
        <v>95</v>
      </c>
      <c r="O176" s="2">
        <v>102</v>
      </c>
      <c r="P176" s="2" t="str">
        <f t="shared" si="2"/>
        <v>Friday</v>
      </c>
      <c r="Q176" s="2" t="str">
        <f>IF(Table1[[#This Row],[temp]]&gt;=0.24,"cold","colder")</f>
        <v>colder</v>
      </c>
      <c r="R176" s="4">
        <v>7</v>
      </c>
      <c r="S176" s="16" t="str" cm="1">
        <f t="array" ref="S176">_xlfn.IFS(Table1[[#This Row],[weathersit]]=1,"clear sky",Table1[[#This Row],[weathersit]]=2,"mist",Table1[[#This Row],[weathersit]]=3,"partially dark",Table1[[#This Row],[weathersit]]=4,"rain")</f>
        <v>clear sky</v>
      </c>
    </row>
    <row r="177" spans="1:19" ht="15" customHeight="1" x14ac:dyDescent="0.3">
      <c r="A177" s="2">
        <v>176</v>
      </c>
      <c r="B177" s="3">
        <v>40719</v>
      </c>
      <c r="C177" s="2">
        <v>1</v>
      </c>
      <c r="D177" s="2">
        <v>0</v>
      </c>
      <c r="E177" s="2">
        <v>1</v>
      </c>
      <c r="F177" s="2">
        <v>14</v>
      </c>
      <c r="G177" s="2" t="b">
        <v>0</v>
      </c>
      <c r="H177" s="2">
        <v>6</v>
      </c>
      <c r="I177" s="2">
        <v>1</v>
      </c>
      <c r="J177" s="2">
        <v>0.2</v>
      </c>
      <c r="K177" s="4">
        <v>0.16669999999999999</v>
      </c>
      <c r="L177" s="4">
        <v>0.32</v>
      </c>
      <c r="M177" s="4">
        <v>0.49249999999999999</v>
      </c>
      <c r="N177" s="4">
        <v>83</v>
      </c>
      <c r="O177" s="2">
        <v>95</v>
      </c>
      <c r="P177" s="2" t="str">
        <f t="shared" si="2"/>
        <v>Saturday</v>
      </c>
      <c r="Q177" s="2" t="str">
        <f>IF(Table1[[#This Row],[temp]]&gt;=0.24,"cold","colder")</f>
        <v>colder</v>
      </c>
      <c r="R177" s="4">
        <v>12</v>
      </c>
      <c r="S177" s="16" t="str" cm="1">
        <f t="array" ref="S177">_xlfn.IFS(Table1[[#This Row],[weathersit]]=1,"clear sky",Table1[[#This Row],[weathersit]]=2,"mist",Table1[[#This Row],[weathersit]]=3,"partially dark",Table1[[#This Row],[weathersit]]=4,"rain")</f>
        <v>clear sky</v>
      </c>
    </row>
    <row r="178" spans="1:19" ht="15" customHeight="1" x14ac:dyDescent="0.3">
      <c r="A178" s="2">
        <v>177</v>
      </c>
      <c r="B178" s="3">
        <v>40720</v>
      </c>
      <c r="C178" s="2">
        <v>1</v>
      </c>
      <c r="D178" s="2">
        <v>0</v>
      </c>
      <c r="E178" s="2">
        <v>1</v>
      </c>
      <c r="F178" s="2">
        <v>15</v>
      </c>
      <c r="G178" s="2" t="b">
        <v>0</v>
      </c>
      <c r="H178" s="2">
        <v>6</v>
      </c>
      <c r="I178" s="2">
        <v>1</v>
      </c>
      <c r="J178" s="2">
        <v>0.2</v>
      </c>
      <c r="K178" s="4">
        <v>0.16669999999999999</v>
      </c>
      <c r="L178" s="4">
        <v>0.32</v>
      </c>
      <c r="M178" s="4">
        <v>0.44779999999999998</v>
      </c>
      <c r="N178" s="4">
        <v>69</v>
      </c>
      <c r="O178" s="2">
        <v>74</v>
      </c>
      <c r="P178" s="2" t="str">
        <f t="shared" si="2"/>
        <v>Sunday</v>
      </c>
      <c r="Q178" s="2" t="str">
        <f>IF(Table1[[#This Row],[temp]]&gt;=0.24,"cold","colder")</f>
        <v>colder</v>
      </c>
      <c r="R178" s="4">
        <v>5</v>
      </c>
      <c r="S178" s="16" t="str" cm="1">
        <f t="array" ref="S178">_xlfn.IFS(Table1[[#This Row],[weathersit]]=1,"clear sky",Table1[[#This Row],[weathersit]]=2,"mist",Table1[[#This Row],[weathersit]]=3,"partially dark",Table1[[#This Row],[weathersit]]=4,"rain")</f>
        <v>clear sky</v>
      </c>
    </row>
    <row r="179" spans="1:19" ht="15" customHeight="1" x14ac:dyDescent="0.3">
      <c r="A179" s="2">
        <v>178</v>
      </c>
      <c r="B179" s="3">
        <v>40721</v>
      </c>
      <c r="C179" s="2">
        <v>1</v>
      </c>
      <c r="D179" s="2">
        <v>0</v>
      </c>
      <c r="E179" s="2">
        <v>1</v>
      </c>
      <c r="F179" s="2">
        <v>16</v>
      </c>
      <c r="G179" s="2" t="b">
        <v>0</v>
      </c>
      <c r="H179" s="2">
        <v>6</v>
      </c>
      <c r="I179" s="2">
        <v>1</v>
      </c>
      <c r="J179" s="2">
        <v>0.18</v>
      </c>
      <c r="K179" s="4">
        <v>0.13639999999999999</v>
      </c>
      <c r="L179" s="4">
        <v>0.28999999999999998</v>
      </c>
      <c r="M179" s="4">
        <v>0.44779999999999998</v>
      </c>
      <c r="N179" s="4">
        <v>68</v>
      </c>
      <c r="O179" s="2">
        <v>76</v>
      </c>
      <c r="P179" s="2" t="str">
        <f t="shared" si="2"/>
        <v>Monday</v>
      </c>
      <c r="Q179" s="2" t="str">
        <f>IF(Table1[[#This Row],[temp]]&gt;=0.24,"cold","colder")</f>
        <v>colder</v>
      </c>
      <c r="R179" s="4">
        <v>8</v>
      </c>
      <c r="S179" s="16" t="str" cm="1">
        <f t="array" ref="S179">_xlfn.IFS(Table1[[#This Row],[weathersit]]=1,"clear sky",Table1[[#This Row],[weathersit]]=2,"mist",Table1[[#This Row],[weathersit]]=3,"partially dark",Table1[[#This Row],[weathersit]]=4,"rain")</f>
        <v>clear sky</v>
      </c>
    </row>
    <row r="180" spans="1:19" ht="15" customHeight="1" x14ac:dyDescent="0.3">
      <c r="A180" s="2">
        <v>179</v>
      </c>
      <c r="B180" s="3">
        <v>40722</v>
      </c>
      <c r="C180" s="2">
        <v>1</v>
      </c>
      <c r="D180" s="2">
        <v>0</v>
      </c>
      <c r="E180" s="2">
        <v>1</v>
      </c>
      <c r="F180" s="2">
        <v>17</v>
      </c>
      <c r="G180" s="2" t="b">
        <v>0</v>
      </c>
      <c r="H180" s="2">
        <v>6</v>
      </c>
      <c r="I180" s="2">
        <v>1</v>
      </c>
      <c r="J180" s="2">
        <v>0.16</v>
      </c>
      <c r="K180" s="4">
        <v>0.1212</v>
      </c>
      <c r="L180" s="4">
        <v>0.37</v>
      </c>
      <c r="M180" s="4">
        <v>0.55220000000000002</v>
      </c>
      <c r="N180" s="4">
        <v>64</v>
      </c>
      <c r="O180" s="2">
        <v>69</v>
      </c>
      <c r="P180" s="2" t="str">
        <f t="shared" si="2"/>
        <v>Tuesday</v>
      </c>
      <c r="Q180" s="2" t="str">
        <f>IF(Table1[[#This Row],[temp]]&gt;=0.24,"cold","colder")</f>
        <v>colder</v>
      </c>
      <c r="R180" s="4">
        <v>5</v>
      </c>
      <c r="S180" s="16" t="str" cm="1">
        <f t="array" ref="S180">_xlfn.IFS(Table1[[#This Row],[weathersit]]=1,"clear sky",Table1[[#This Row],[weathersit]]=2,"mist",Table1[[#This Row],[weathersit]]=3,"partially dark",Table1[[#This Row],[weathersit]]=4,"rain")</f>
        <v>clear sky</v>
      </c>
    </row>
    <row r="181" spans="1:19" ht="15" customHeight="1" x14ac:dyDescent="0.3">
      <c r="A181" s="2">
        <v>180</v>
      </c>
      <c r="B181" s="3">
        <v>40723</v>
      </c>
      <c r="C181" s="2">
        <v>1</v>
      </c>
      <c r="D181" s="2">
        <v>0</v>
      </c>
      <c r="E181" s="2">
        <v>1</v>
      </c>
      <c r="F181" s="2">
        <v>18</v>
      </c>
      <c r="G181" s="2" t="b">
        <v>0</v>
      </c>
      <c r="H181" s="2">
        <v>6</v>
      </c>
      <c r="I181" s="2">
        <v>1</v>
      </c>
      <c r="J181" s="2">
        <v>0.14000000000000001</v>
      </c>
      <c r="K181" s="4">
        <v>0.1212</v>
      </c>
      <c r="L181" s="4">
        <v>0.39</v>
      </c>
      <c r="M181" s="4">
        <v>0.29849999999999999</v>
      </c>
      <c r="N181" s="4">
        <v>52</v>
      </c>
      <c r="O181" s="2">
        <v>55</v>
      </c>
      <c r="P181" s="2" t="str">
        <f t="shared" si="2"/>
        <v>Wednesday</v>
      </c>
      <c r="Q181" s="2" t="str">
        <f>IF(Table1[[#This Row],[temp]]&gt;=0.24,"cold","colder")</f>
        <v>colder</v>
      </c>
      <c r="R181" s="4">
        <v>3</v>
      </c>
      <c r="S181" s="16" t="str" cm="1">
        <f t="array" ref="S181">_xlfn.IFS(Table1[[#This Row],[weathersit]]=1,"clear sky",Table1[[#This Row],[weathersit]]=2,"mist",Table1[[#This Row],[weathersit]]=3,"partially dark",Table1[[#This Row],[weathersit]]=4,"rain")</f>
        <v>clear sky</v>
      </c>
    </row>
    <row r="182" spans="1:19" ht="15" customHeight="1" x14ac:dyDescent="0.3">
      <c r="A182" s="2">
        <v>181</v>
      </c>
      <c r="B182" s="3">
        <v>40724</v>
      </c>
      <c r="C182" s="2">
        <v>1</v>
      </c>
      <c r="D182" s="2">
        <v>0</v>
      </c>
      <c r="E182" s="2">
        <v>1</v>
      </c>
      <c r="F182" s="2">
        <v>19</v>
      </c>
      <c r="G182" s="2" t="b">
        <v>0</v>
      </c>
      <c r="H182" s="2">
        <v>6</v>
      </c>
      <c r="I182" s="2">
        <v>1</v>
      </c>
      <c r="J182" s="2">
        <v>0.14000000000000001</v>
      </c>
      <c r="K182" s="4">
        <v>0.1212</v>
      </c>
      <c r="L182" s="4">
        <v>0.36</v>
      </c>
      <c r="M182" s="4">
        <v>0.25369999999999998</v>
      </c>
      <c r="N182" s="4">
        <v>26</v>
      </c>
      <c r="O182" s="2">
        <v>30</v>
      </c>
      <c r="P182" s="2" t="str">
        <f t="shared" si="2"/>
        <v>Thursday</v>
      </c>
      <c r="Q182" s="2" t="str">
        <f>IF(Table1[[#This Row],[temp]]&gt;=0.24,"cold","colder")</f>
        <v>colder</v>
      </c>
      <c r="R182" s="4">
        <v>4</v>
      </c>
      <c r="S182" s="16" t="str" cm="1">
        <f t="array" ref="S182">_xlfn.IFS(Table1[[#This Row],[weathersit]]=1,"clear sky",Table1[[#This Row],[weathersit]]=2,"mist",Table1[[#This Row],[weathersit]]=3,"partially dark",Table1[[#This Row],[weathersit]]=4,"rain")</f>
        <v>clear sky</v>
      </c>
    </row>
    <row r="183" spans="1:19" ht="15" customHeight="1" x14ac:dyDescent="0.3">
      <c r="A183" s="2">
        <v>182</v>
      </c>
      <c r="B183" s="3">
        <v>40725</v>
      </c>
      <c r="C183" s="2">
        <v>1</v>
      </c>
      <c r="D183" s="2">
        <v>0</v>
      </c>
      <c r="E183" s="2">
        <v>1</v>
      </c>
      <c r="F183" s="2">
        <v>20</v>
      </c>
      <c r="G183" s="2" t="b">
        <v>0</v>
      </c>
      <c r="H183" s="2">
        <v>6</v>
      </c>
      <c r="I183" s="2">
        <v>1</v>
      </c>
      <c r="J183" s="2">
        <v>0.12</v>
      </c>
      <c r="K183" s="4">
        <v>0.1212</v>
      </c>
      <c r="L183" s="4">
        <v>0.36</v>
      </c>
      <c r="M183" s="4">
        <v>0.25369999999999998</v>
      </c>
      <c r="N183" s="4">
        <v>28</v>
      </c>
      <c r="O183" s="2">
        <v>28</v>
      </c>
      <c r="P183" s="2" t="str">
        <f t="shared" si="2"/>
        <v>Friday</v>
      </c>
      <c r="Q183" s="2" t="str">
        <f>IF(Table1[[#This Row],[temp]]&gt;=0.24,"cold","colder")</f>
        <v>colder</v>
      </c>
      <c r="R183" s="4">
        <v>0</v>
      </c>
      <c r="S183" s="16" t="str" cm="1">
        <f t="array" ref="S183">_xlfn.IFS(Table1[[#This Row],[weathersit]]=1,"clear sky",Table1[[#This Row],[weathersit]]=2,"mist",Table1[[#This Row],[weathersit]]=3,"partially dark",Table1[[#This Row],[weathersit]]=4,"rain")</f>
        <v>clear sky</v>
      </c>
    </row>
    <row r="184" spans="1:19" ht="15" customHeight="1" x14ac:dyDescent="0.3">
      <c r="A184" s="2">
        <v>183</v>
      </c>
      <c r="B184" s="3">
        <v>40726</v>
      </c>
      <c r="C184" s="2">
        <v>1</v>
      </c>
      <c r="D184" s="2">
        <v>0</v>
      </c>
      <c r="E184" s="2">
        <v>1</v>
      </c>
      <c r="F184" s="2">
        <v>21</v>
      </c>
      <c r="G184" s="2" t="b">
        <v>0</v>
      </c>
      <c r="H184" s="2">
        <v>6</v>
      </c>
      <c r="I184" s="2">
        <v>1</v>
      </c>
      <c r="J184" s="2">
        <v>0.12</v>
      </c>
      <c r="K184" s="4">
        <v>0.1061</v>
      </c>
      <c r="L184" s="4">
        <v>0.39</v>
      </c>
      <c r="M184" s="4">
        <v>0.35820000000000002</v>
      </c>
      <c r="N184" s="4">
        <v>35</v>
      </c>
      <c r="O184" s="2">
        <v>37</v>
      </c>
      <c r="P184" s="2" t="str">
        <f t="shared" si="2"/>
        <v>Saturday</v>
      </c>
      <c r="Q184" s="2" t="str">
        <f>IF(Table1[[#This Row],[temp]]&gt;=0.24,"cold","colder")</f>
        <v>colder</v>
      </c>
      <c r="R184" s="4">
        <v>2</v>
      </c>
      <c r="S184" s="16" t="str" cm="1">
        <f t="array" ref="S184">_xlfn.IFS(Table1[[#This Row],[weathersit]]=1,"clear sky",Table1[[#This Row],[weathersit]]=2,"mist",Table1[[#This Row],[weathersit]]=3,"partially dark",Table1[[#This Row],[weathersit]]=4,"rain")</f>
        <v>clear sky</v>
      </c>
    </row>
    <row r="185" spans="1:19" ht="15" customHeight="1" x14ac:dyDescent="0.3">
      <c r="A185" s="2">
        <v>184</v>
      </c>
      <c r="B185" s="3">
        <v>40727</v>
      </c>
      <c r="C185" s="2">
        <v>1</v>
      </c>
      <c r="D185" s="2">
        <v>0</v>
      </c>
      <c r="E185" s="2">
        <v>1</v>
      </c>
      <c r="F185" s="2">
        <v>22</v>
      </c>
      <c r="G185" s="2" t="b">
        <v>0</v>
      </c>
      <c r="H185" s="2">
        <v>6</v>
      </c>
      <c r="I185" s="2">
        <v>1</v>
      </c>
      <c r="J185" s="2">
        <v>0.12</v>
      </c>
      <c r="K185" s="4">
        <v>0.1061</v>
      </c>
      <c r="L185" s="4">
        <v>0.36</v>
      </c>
      <c r="M185" s="4">
        <v>0.3881</v>
      </c>
      <c r="N185" s="4">
        <v>33</v>
      </c>
      <c r="O185" s="2">
        <v>34</v>
      </c>
      <c r="P185" s="2" t="str">
        <f t="shared" si="2"/>
        <v>Sunday</v>
      </c>
      <c r="Q185" s="2" t="str">
        <f>IF(Table1[[#This Row],[temp]]&gt;=0.24,"cold","colder")</f>
        <v>colder</v>
      </c>
      <c r="R185" s="4">
        <v>1</v>
      </c>
      <c r="S185" s="16" t="str" cm="1">
        <f t="array" ref="S185">_xlfn.IFS(Table1[[#This Row],[weathersit]]=1,"clear sky",Table1[[#This Row],[weathersit]]=2,"mist",Table1[[#This Row],[weathersit]]=3,"partially dark",Table1[[#This Row],[weathersit]]=4,"rain")</f>
        <v>clear sky</v>
      </c>
    </row>
    <row r="186" spans="1:19" ht="15" customHeight="1" x14ac:dyDescent="0.3">
      <c r="A186" s="2">
        <v>185</v>
      </c>
      <c r="B186" s="3">
        <v>40728</v>
      </c>
      <c r="C186" s="2">
        <v>1</v>
      </c>
      <c r="D186" s="2">
        <v>0</v>
      </c>
      <c r="E186" s="2">
        <v>1</v>
      </c>
      <c r="F186" s="2">
        <v>23</v>
      </c>
      <c r="G186" s="2" t="b">
        <v>0</v>
      </c>
      <c r="H186" s="2">
        <v>6</v>
      </c>
      <c r="I186" s="2">
        <v>1</v>
      </c>
      <c r="J186" s="2">
        <v>0.1</v>
      </c>
      <c r="K186" s="4">
        <v>6.0600000000000001E-2</v>
      </c>
      <c r="L186" s="4">
        <v>0.39</v>
      </c>
      <c r="M186" s="4">
        <v>0.44779999999999998</v>
      </c>
      <c r="N186" s="4">
        <v>22</v>
      </c>
      <c r="O186" s="2">
        <v>22</v>
      </c>
      <c r="P186" s="2" t="str">
        <f t="shared" si="2"/>
        <v>Monday</v>
      </c>
      <c r="Q186" s="2" t="str">
        <f>IF(Table1[[#This Row],[temp]]&gt;=0.24,"cold","colder")</f>
        <v>colder</v>
      </c>
      <c r="R186" s="4">
        <v>0</v>
      </c>
      <c r="S186" s="16" t="str" cm="1">
        <f t="array" ref="S186">_xlfn.IFS(Table1[[#This Row],[weathersit]]=1,"clear sky",Table1[[#This Row],[weathersit]]=2,"mist",Table1[[#This Row],[weathersit]]=3,"partially dark",Table1[[#This Row],[weathersit]]=4,"rain")</f>
        <v>clear sky</v>
      </c>
    </row>
    <row r="187" spans="1:19" ht="15" customHeight="1" x14ac:dyDescent="0.3">
      <c r="A187" s="2">
        <v>186</v>
      </c>
      <c r="B187" s="3">
        <v>40729</v>
      </c>
      <c r="C187" s="2">
        <v>1</v>
      </c>
      <c r="D187" s="2">
        <v>0</v>
      </c>
      <c r="E187" s="2">
        <v>1</v>
      </c>
      <c r="F187" s="2">
        <v>0</v>
      </c>
      <c r="G187" s="2" t="b">
        <v>0</v>
      </c>
      <c r="H187" s="2">
        <v>0</v>
      </c>
      <c r="I187" s="2">
        <v>1</v>
      </c>
      <c r="J187" s="2">
        <v>0.1</v>
      </c>
      <c r="K187" s="4">
        <v>7.5800000000000006E-2</v>
      </c>
      <c r="L187" s="4">
        <v>0.42</v>
      </c>
      <c r="M187" s="4">
        <v>0.3881</v>
      </c>
      <c r="N187" s="4">
        <v>24</v>
      </c>
      <c r="O187" s="2">
        <v>25</v>
      </c>
      <c r="P187" s="2" t="str">
        <f t="shared" si="2"/>
        <v>Tuesday</v>
      </c>
      <c r="Q187" s="2" t="str">
        <f>IF(Table1[[#This Row],[temp]]&gt;=0.24,"cold","colder")</f>
        <v>colder</v>
      </c>
      <c r="R187" s="4">
        <v>1</v>
      </c>
      <c r="S187" s="16" t="str" cm="1">
        <f t="array" ref="S187">_xlfn.IFS(Table1[[#This Row],[weathersit]]=1,"clear sky",Table1[[#This Row],[weathersit]]=2,"mist",Table1[[#This Row],[weathersit]]=3,"partially dark",Table1[[#This Row],[weathersit]]=4,"rain")</f>
        <v>clear sky</v>
      </c>
    </row>
    <row r="188" spans="1:19" ht="15" customHeight="1" x14ac:dyDescent="0.3">
      <c r="A188" s="2">
        <v>187</v>
      </c>
      <c r="B188" s="3">
        <v>40730</v>
      </c>
      <c r="C188" s="2">
        <v>1</v>
      </c>
      <c r="D188" s="2">
        <v>0</v>
      </c>
      <c r="E188" s="2">
        <v>1</v>
      </c>
      <c r="F188" s="2">
        <v>1</v>
      </c>
      <c r="G188" s="2" t="b">
        <v>0</v>
      </c>
      <c r="H188" s="2">
        <v>0</v>
      </c>
      <c r="I188" s="2">
        <v>1</v>
      </c>
      <c r="J188" s="2">
        <v>0.1</v>
      </c>
      <c r="K188" s="4">
        <v>6.0600000000000001E-2</v>
      </c>
      <c r="L188" s="4">
        <v>0.42</v>
      </c>
      <c r="M188" s="4">
        <v>0.4627</v>
      </c>
      <c r="N188" s="4">
        <v>12</v>
      </c>
      <c r="O188" s="2">
        <v>12</v>
      </c>
      <c r="P188" s="2" t="str">
        <f t="shared" si="2"/>
        <v>Wednesday</v>
      </c>
      <c r="Q188" s="2" t="str">
        <f>IF(Table1[[#This Row],[temp]]&gt;=0.24,"cold","colder")</f>
        <v>colder</v>
      </c>
      <c r="R188" s="4">
        <v>0</v>
      </c>
      <c r="S188" s="16" t="str" cm="1">
        <f t="array" ref="S188">_xlfn.IFS(Table1[[#This Row],[weathersit]]=1,"clear sky",Table1[[#This Row],[weathersit]]=2,"mist",Table1[[#This Row],[weathersit]]=3,"partially dark",Table1[[#This Row],[weathersit]]=4,"rain")</f>
        <v>clear sky</v>
      </c>
    </row>
    <row r="189" spans="1:19" ht="15" customHeight="1" x14ac:dyDescent="0.3">
      <c r="A189" s="2">
        <v>188</v>
      </c>
      <c r="B189" s="3">
        <v>40731</v>
      </c>
      <c r="C189" s="2">
        <v>1</v>
      </c>
      <c r="D189" s="2">
        <v>0</v>
      </c>
      <c r="E189" s="2">
        <v>1</v>
      </c>
      <c r="F189" s="2">
        <v>2</v>
      </c>
      <c r="G189" s="2" t="b">
        <v>0</v>
      </c>
      <c r="H189" s="2">
        <v>0</v>
      </c>
      <c r="I189" s="2">
        <v>1</v>
      </c>
      <c r="J189" s="2">
        <v>0.1</v>
      </c>
      <c r="K189" s="4">
        <v>6.0600000000000001E-2</v>
      </c>
      <c r="L189" s="4">
        <v>0.46</v>
      </c>
      <c r="M189" s="4">
        <v>0.4627</v>
      </c>
      <c r="N189" s="4">
        <v>11</v>
      </c>
      <c r="O189" s="2">
        <v>11</v>
      </c>
      <c r="P189" s="2" t="str">
        <f t="shared" si="2"/>
        <v>Thursday</v>
      </c>
      <c r="Q189" s="2" t="str">
        <f>IF(Table1[[#This Row],[temp]]&gt;=0.24,"cold","colder")</f>
        <v>colder</v>
      </c>
      <c r="R189" s="4">
        <v>0</v>
      </c>
      <c r="S189" s="16" t="str" cm="1">
        <f t="array" ref="S189">_xlfn.IFS(Table1[[#This Row],[weathersit]]=1,"clear sky",Table1[[#This Row],[weathersit]]=2,"mist",Table1[[#This Row],[weathersit]]=3,"partially dark",Table1[[#This Row],[weathersit]]=4,"rain")</f>
        <v>clear sky</v>
      </c>
    </row>
    <row r="190" spans="1:19" ht="15" customHeight="1" x14ac:dyDescent="0.3">
      <c r="A190" s="2">
        <v>189</v>
      </c>
      <c r="B190" s="3">
        <v>40732</v>
      </c>
      <c r="C190" s="2">
        <v>1</v>
      </c>
      <c r="D190" s="2">
        <v>0</v>
      </c>
      <c r="E190" s="2">
        <v>1</v>
      </c>
      <c r="F190" s="2">
        <v>3</v>
      </c>
      <c r="G190" s="2" t="b">
        <v>0</v>
      </c>
      <c r="H190" s="2">
        <v>0</v>
      </c>
      <c r="I190" s="2">
        <v>1</v>
      </c>
      <c r="J190" s="2">
        <v>0.1</v>
      </c>
      <c r="K190" s="4">
        <v>7.5800000000000006E-2</v>
      </c>
      <c r="L190" s="4">
        <v>0.46</v>
      </c>
      <c r="M190" s="4">
        <v>0.41789999999999999</v>
      </c>
      <c r="N190" s="4">
        <v>4</v>
      </c>
      <c r="O190" s="2">
        <v>4</v>
      </c>
      <c r="P190" s="2" t="str">
        <f t="shared" si="2"/>
        <v>Friday</v>
      </c>
      <c r="Q190" s="2" t="str">
        <f>IF(Table1[[#This Row],[temp]]&gt;=0.24,"cold","colder")</f>
        <v>colder</v>
      </c>
      <c r="R190" s="4">
        <v>0</v>
      </c>
      <c r="S190" s="16" t="str" cm="1">
        <f t="array" ref="S190">_xlfn.IFS(Table1[[#This Row],[weathersit]]=1,"clear sky",Table1[[#This Row],[weathersit]]=2,"mist",Table1[[#This Row],[weathersit]]=3,"partially dark",Table1[[#This Row],[weathersit]]=4,"rain")</f>
        <v>clear sky</v>
      </c>
    </row>
    <row r="191" spans="1:19" ht="15" customHeight="1" x14ac:dyDescent="0.3">
      <c r="A191" s="2">
        <v>190</v>
      </c>
      <c r="B191" s="3">
        <v>40733</v>
      </c>
      <c r="C191" s="2">
        <v>1</v>
      </c>
      <c r="D191" s="2">
        <v>0</v>
      </c>
      <c r="E191" s="2">
        <v>1</v>
      </c>
      <c r="F191" s="2">
        <v>4</v>
      </c>
      <c r="G191" s="2" t="b">
        <v>0</v>
      </c>
      <c r="H191" s="2">
        <v>0</v>
      </c>
      <c r="I191" s="2">
        <v>1</v>
      </c>
      <c r="J191" s="2">
        <v>0.08</v>
      </c>
      <c r="K191" s="4">
        <v>9.0899999999999995E-2</v>
      </c>
      <c r="L191" s="4">
        <v>0.53</v>
      </c>
      <c r="M191" s="4">
        <v>0.19400000000000001</v>
      </c>
      <c r="N191" s="4">
        <v>1</v>
      </c>
      <c r="O191" s="2">
        <v>1</v>
      </c>
      <c r="P191" s="2" t="str">
        <f t="shared" si="2"/>
        <v>Saturday</v>
      </c>
      <c r="Q191" s="2" t="str">
        <f>IF(Table1[[#This Row],[temp]]&gt;=0.24,"cold","colder")</f>
        <v>colder</v>
      </c>
      <c r="R191" s="4">
        <v>0</v>
      </c>
      <c r="S191" s="16" t="str" cm="1">
        <f t="array" ref="S191">_xlfn.IFS(Table1[[#This Row],[weathersit]]=1,"clear sky",Table1[[#This Row],[weathersit]]=2,"mist",Table1[[#This Row],[weathersit]]=3,"partially dark",Table1[[#This Row],[weathersit]]=4,"rain")</f>
        <v>clear sky</v>
      </c>
    </row>
    <row r="192" spans="1:19" ht="15" customHeight="1" x14ac:dyDescent="0.3">
      <c r="A192" s="2">
        <v>191</v>
      </c>
      <c r="B192" s="3">
        <v>40734</v>
      </c>
      <c r="C192" s="2">
        <v>1</v>
      </c>
      <c r="D192" s="2">
        <v>0</v>
      </c>
      <c r="E192" s="2">
        <v>1</v>
      </c>
      <c r="F192" s="2">
        <v>5</v>
      </c>
      <c r="G192" s="2" t="b">
        <v>0</v>
      </c>
      <c r="H192" s="2">
        <v>0</v>
      </c>
      <c r="I192" s="2">
        <v>1</v>
      </c>
      <c r="J192" s="2">
        <v>0.08</v>
      </c>
      <c r="K192" s="4">
        <v>9.0899999999999995E-2</v>
      </c>
      <c r="L192" s="4">
        <v>0.53</v>
      </c>
      <c r="M192" s="4">
        <v>0.19400000000000001</v>
      </c>
      <c r="N192" s="4">
        <v>1</v>
      </c>
      <c r="O192" s="2">
        <v>1</v>
      </c>
      <c r="P192" s="2" t="str">
        <f t="shared" si="2"/>
        <v>Sunday</v>
      </c>
      <c r="Q192" s="2" t="str">
        <f>IF(Table1[[#This Row],[temp]]&gt;=0.24,"cold","colder")</f>
        <v>colder</v>
      </c>
      <c r="R192" s="4">
        <v>0</v>
      </c>
      <c r="S192" s="16" t="str" cm="1">
        <f t="array" ref="S192">_xlfn.IFS(Table1[[#This Row],[weathersit]]=1,"clear sky",Table1[[#This Row],[weathersit]]=2,"mist",Table1[[#This Row],[weathersit]]=3,"partially dark",Table1[[#This Row],[weathersit]]=4,"rain")</f>
        <v>clear sky</v>
      </c>
    </row>
    <row r="193" spans="1:19" ht="15" customHeight="1" x14ac:dyDescent="0.3">
      <c r="A193" s="2">
        <v>192</v>
      </c>
      <c r="B193" s="3">
        <v>40735</v>
      </c>
      <c r="C193" s="2">
        <v>1</v>
      </c>
      <c r="D193" s="2">
        <v>0</v>
      </c>
      <c r="E193" s="2">
        <v>1</v>
      </c>
      <c r="F193" s="2">
        <v>6</v>
      </c>
      <c r="G193" s="2" t="b">
        <v>0</v>
      </c>
      <c r="H193" s="2">
        <v>0</v>
      </c>
      <c r="I193" s="2">
        <v>1</v>
      </c>
      <c r="J193" s="2">
        <v>0.1</v>
      </c>
      <c r="K193" s="4">
        <v>9.0899999999999995E-2</v>
      </c>
      <c r="L193" s="4">
        <v>0.49</v>
      </c>
      <c r="M193" s="4">
        <v>0.28360000000000002</v>
      </c>
      <c r="N193" s="4">
        <v>1</v>
      </c>
      <c r="O193" s="2">
        <v>1</v>
      </c>
      <c r="P193" s="2" t="str">
        <f t="shared" si="2"/>
        <v>Monday</v>
      </c>
      <c r="Q193" s="2" t="str">
        <f>IF(Table1[[#This Row],[temp]]&gt;=0.24,"cold","colder")</f>
        <v>colder</v>
      </c>
      <c r="R193" s="4">
        <v>0</v>
      </c>
      <c r="S193" s="16" t="str" cm="1">
        <f t="array" ref="S193">_xlfn.IFS(Table1[[#This Row],[weathersit]]=1,"clear sky",Table1[[#This Row],[weathersit]]=2,"mist",Table1[[#This Row],[weathersit]]=3,"partially dark",Table1[[#This Row],[weathersit]]=4,"rain")</f>
        <v>clear sky</v>
      </c>
    </row>
    <row r="194" spans="1:19" ht="15" customHeight="1" x14ac:dyDescent="0.3">
      <c r="A194" s="2">
        <v>193</v>
      </c>
      <c r="B194" s="3">
        <v>40736</v>
      </c>
      <c r="C194" s="2">
        <v>1</v>
      </c>
      <c r="D194" s="2">
        <v>0</v>
      </c>
      <c r="E194" s="2">
        <v>1</v>
      </c>
      <c r="F194" s="2">
        <v>7</v>
      </c>
      <c r="G194" s="2" t="b">
        <v>0</v>
      </c>
      <c r="H194" s="2">
        <v>0</v>
      </c>
      <c r="I194" s="2">
        <v>1</v>
      </c>
      <c r="J194" s="2">
        <v>0.08</v>
      </c>
      <c r="K194" s="4">
        <v>9.0899999999999995E-2</v>
      </c>
      <c r="L194" s="4">
        <v>0.53</v>
      </c>
      <c r="M194" s="4">
        <v>0.19400000000000001</v>
      </c>
      <c r="N194" s="4">
        <v>5</v>
      </c>
      <c r="O194" s="2">
        <v>6</v>
      </c>
      <c r="P194" s="2" t="str">
        <f t="shared" ref="P194:P257" si="3">TEXT(B194,"dddd")</f>
        <v>Tuesday</v>
      </c>
      <c r="Q194" s="2" t="str">
        <f>IF(Table1[[#This Row],[temp]]&gt;=0.24,"cold","colder")</f>
        <v>colder</v>
      </c>
      <c r="R194" s="4">
        <v>1</v>
      </c>
      <c r="S194" s="16" t="str" cm="1">
        <f t="array" ref="S194">_xlfn.IFS(Table1[[#This Row],[weathersit]]=1,"clear sky",Table1[[#This Row],[weathersit]]=2,"mist",Table1[[#This Row],[weathersit]]=3,"partially dark",Table1[[#This Row],[weathersit]]=4,"rain")</f>
        <v>clear sky</v>
      </c>
    </row>
    <row r="195" spans="1:19" ht="15" customHeight="1" x14ac:dyDescent="0.3">
      <c r="A195" s="2">
        <v>194</v>
      </c>
      <c r="B195" s="3">
        <v>40737</v>
      </c>
      <c r="C195" s="2">
        <v>1</v>
      </c>
      <c r="D195" s="2">
        <v>0</v>
      </c>
      <c r="E195" s="2">
        <v>1</v>
      </c>
      <c r="F195" s="2">
        <v>8</v>
      </c>
      <c r="G195" s="2" t="b">
        <v>0</v>
      </c>
      <c r="H195" s="2">
        <v>0</v>
      </c>
      <c r="I195" s="2">
        <v>1</v>
      </c>
      <c r="J195" s="2">
        <v>0.1</v>
      </c>
      <c r="K195" s="4">
        <v>9.0899999999999995E-2</v>
      </c>
      <c r="L195" s="4">
        <v>0.49</v>
      </c>
      <c r="M195" s="4">
        <v>0.28360000000000002</v>
      </c>
      <c r="N195" s="4">
        <v>10</v>
      </c>
      <c r="O195" s="2">
        <v>10</v>
      </c>
      <c r="P195" s="2" t="str">
        <f t="shared" si="3"/>
        <v>Wednesday</v>
      </c>
      <c r="Q195" s="2" t="str">
        <f>IF(Table1[[#This Row],[temp]]&gt;=0.24,"cold","colder")</f>
        <v>colder</v>
      </c>
      <c r="R195" s="4">
        <v>0</v>
      </c>
      <c r="S195" s="16" t="str" cm="1">
        <f t="array" ref="S195">_xlfn.IFS(Table1[[#This Row],[weathersit]]=1,"clear sky",Table1[[#This Row],[weathersit]]=2,"mist",Table1[[#This Row],[weathersit]]=3,"partially dark",Table1[[#This Row],[weathersit]]=4,"rain")</f>
        <v>clear sky</v>
      </c>
    </row>
    <row r="196" spans="1:19" ht="15" customHeight="1" x14ac:dyDescent="0.3">
      <c r="A196" s="2">
        <v>195</v>
      </c>
      <c r="B196" s="3">
        <v>40738</v>
      </c>
      <c r="C196" s="2">
        <v>1</v>
      </c>
      <c r="D196" s="2">
        <v>0</v>
      </c>
      <c r="E196" s="2">
        <v>1</v>
      </c>
      <c r="F196" s="2">
        <v>9</v>
      </c>
      <c r="G196" s="2" t="b">
        <v>0</v>
      </c>
      <c r="H196" s="2">
        <v>0</v>
      </c>
      <c r="I196" s="2">
        <v>1</v>
      </c>
      <c r="J196" s="2">
        <v>0.12</v>
      </c>
      <c r="K196" s="4">
        <v>7.5800000000000006E-2</v>
      </c>
      <c r="L196" s="4">
        <v>0.46</v>
      </c>
      <c r="M196" s="4">
        <v>0.52239999999999998</v>
      </c>
      <c r="N196" s="4">
        <v>19</v>
      </c>
      <c r="O196" s="2">
        <v>19</v>
      </c>
      <c r="P196" s="2" t="str">
        <f t="shared" si="3"/>
        <v>Thursday</v>
      </c>
      <c r="Q196" s="2" t="str">
        <f>IF(Table1[[#This Row],[temp]]&gt;=0.24,"cold","colder")</f>
        <v>colder</v>
      </c>
      <c r="R196" s="4">
        <v>0</v>
      </c>
      <c r="S196" s="16" t="str" cm="1">
        <f t="array" ref="S196">_xlfn.IFS(Table1[[#This Row],[weathersit]]=1,"clear sky",Table1[[#This Row],[weathersit]]=2,"mist",Table1[[#This Row],[weathersit]]=3,"partially dark",Table1[[#This Row],[weathersit]]=4,"rain")</f>
        <v>clear sky</v>
      </c>
    </row>
    <row r="197" spans="1:19" ht="15" customHeight="1" x14ac:dyDescent="0.3">
      <c r="A197" s="2">
        <v>196</v>
      </c>
      <c r="B197" s="3">
        <v>40739</v>
      </c>
      <c r="C197" s="2">
        <v>1</v>
      </c>
      <c r="D197" s="2">
        <v>0</v>
      </c>
      <c r="E197" s="2">
        <v>1</v>
      </c>
      <c r="F197" s="2">
        <v>10</v>
      </c>
      <c r="G197" s="2" t="b">
        <v>0</v>
      </c>
      <c r="H197" s="2">
        <v>0</v>
      </c>
      <c r="I197" s="2">
        <v>1</v>
      </c>
      <c r="J197" s="2">
        <v>0.14000000000000001</v>
      </c>
      <c r="K197" s="4">
        <v>0.1061</v>
      </c>
      <c r="L197" s="4">
        <v>0.43</v>
      </c>
      <c r="M197" s="4">
        <v>0.3881</v>
      </c>
      <c r="N197" s="4">
        <v>49</v>
      </c>
      <c r="O197" s="2">
        <v>49</v>
      </c>
      <c r="P197" s="2" t="str">
        <f t="shared" si="3"/>
        <v>Friday</v>
      </c>
      <c r="Q197" s="2" t="str">
        <f>IF(Table1[[#This Row],[temp]]&gt;=0.24,"cold","colder")</f>
        <v>colder</v>
      </c>
      <c r="R197" s="4">
        <v>0</v>
      </c>
      <c r="S197" s="16" t="str" cm="1">
        <f t="array" ref="S197">_xlfn.IFS(Table1[[#This Row],[weathersit]]=1,"clear sky",Table1[[#This Row],[weathersit]]=2,"mist",Table1[[#This Row],[weathersit]]=3,"partially dark",Table1[[#This Row],[weathersit]]=4,"rain")</f>
        <v>clear sky</v>
      </c>
    </row>
    <row r="198" spans="1:19" ht="15" customHeight="1" x14ac:dyDescent="0.3">
      <c r="A198" s="2">
        <v>197</v>
      </c>
      <c r="B198" s="3">
        <v>40740</v>
      </c>
      <c r="C198" s="2">
        <v>1</v>
      </c>
      <c r="D198" s="2">
        <v>0</v>
      </c>
      <c r="E198" s="2">
        <v>1</v>
      </c>
      <c r="F198" s="2">
        <v>11</v>
      </c>
      <c r="G198" s="2" t="b">
        <v>0</v>
      </c>
      <c r="H198" s="2">
        <v>0</v>
      </c>
      <c r="I198" s="2">
        <v>1</v>
      </c>
      <c r="J198" s="2">
        <v>0.16</v>
      </c>
      <c r="K198" s="4">
        <v>0.1212</v>
      </c>
      <c r="L198" s="4">
        <v>0.4</v>
      </c>
      <c r="M198" s="4">
        <v>0.52239999999999998</v>
      </c>
      <c r="N198" s="4">
        <v>47</v>
      </c>
      <c r="O198" s="2">
        <v>49</v>
      </c>
      <c r="P198" s="2" t="str">
        <f t="shared" si="3"/>
        <v>Saturday</v>
      </c>
      <c r="Q198" s="2" t="str">
        <f>IF(Table1[[#This Row],[temp]]&gt;=0.24,"cold","colder")</f>
        <v>colder</v>
      </c>
      <c r="R198" s="4">
        <v>2</v>
      </c>
      <c r="S198" s="16" t="str" cm="1">
        <f t="array" ref="S198">_xlfn.IFS(Table1[[#This Row],[weathersit]]=1,"clear sky",Table1[[#This Row],[weathersit]]=2,"mist",Table1[[#This Row],[weathersit]]=3,"partially dark",Table1[[#This Row],[weathersit]]=4,"rain")</f>
        <v>clear sky</v>
      </c>
    </row>
    <row r="199" spans="1:19" ht="15" customHeight="1" x14ac:dyDescent="0.3">
      <c r="A199" s="2">
        <v>198</v>
      </c>
      <c r="B199" s="3">
        <v>40741</v>
      </c>
      <c r="C199" s="2">
        <v>1</v>
      </c>
      <c r="D199" s="2">
        <v>0</v>
      </c>
      <c r="E199" s="2">
        <v>1</v>
      </c>
      <c r="F199" s="2">
        <v>12</v>
      </c>
      <c r="G199" s="2" t="b">
        <v>0</v>
      </c>
      <c r="H199" s="2">
        <v>0</v>
      </c>
      <c r="I199" s="2">
        <v>1</v>
      </c>
      <c r="J199" s="2">
        <v>0.18</v>
      </c>
      <c r="K199" s="4">
        <v>0.13639999999999999</v>
      </c>
      <c r="L199" s="4">
        <v>0.37</v>
      </c>
      <c r="M199" s="4">
        <v>0.44779999999999998</v>
      </c>
      <c r="N199" s="4">
        <v>79</v>
      </c>
      <c r="O199" s="2">
        <v>83</v>
      </c>
      <c r="P199" s="2" t="str">
        <f t="shared" si="3"/>
        <v>Sunday</v>
      </c>
      <c r="Q199" s="2" t="str">
        <f>IF(Table1[[#This Row],[temp]]&gt;=0.24,"cold","colder")</f>
        <v>colder</v>
      </c>
      <c r="R199" s="4">
        <v>4</v>
      </c>
      <c r="S199" s="16" t="str" cm="1">
        <f t="array" ref="S199">_xlfn.IFS(Table1[[#This Row],[weathersit]]=1,"clear sky",Table1[[#This Row],[weathersit]]=2,"mist",Table1[[#This Row],[weathersit]]=3,"partially dark",Table1[[#This Row],[weathersit]]=4,"rain")</f>
        <v>clear sky</v>
      </c>
    </row>
    <row r="200" spans="1:19" ht="15" customHeight="1" x14ac:dyDescent="0.3">
      <c r="A200" s="2">
        <v>199</v>
      </c>
      <c r="B200" s="3">
        <v>40742</v>
      </c>
      <c r="C200" s="2">
        <v>1</v>
      </c>
      <c r="D200" s="2">
        <v>0</v>
      </c>
      <c r="E200" s="2">
        <v>1</v>
      </c>
      <c r="F200" s="2">
        <v>13</v>
      </c>
      <c r="G200" s="2" t="b">
        <v>0</v>
      </c>
      <c r="H200" s="2">
        <v>0</v>
      </c>
      <c r="I200" s="2">
        <v>1</v>
      </c>
      <c r="J200" s="2">
        <v>0.2</v>
      </c>
      <c r="K200" s="4">
        <v>0.16669999999999999</v>
      </c>
      <c r="L200" s="4">
        <v>0.34</v>
      </c>
      <c r="M200" s="4">
        <v>0.44779999999999998</v>
      </c>
      <c r="N200" s="4">
        <v>69</v>
      </c>
      <c r="O200" s="2">
        <v>75</v>
      </c>
      <c r="P200" s="2" t="str">
        <f t="shared" si="3"/>
        <v>Monday</v>
      </c>
      <c r="Q200" s="2" t="str">
        <f>IF(Table1[[#This Row],[temp]]&gt;=0.24,"cold","colder")</f>
        <v>colder</v>
      </c>
      <c r="R200" s="4">
        <v>6</v>
      </c>
      <c r="S200" s="16" t="str" cm="1">
        <f t="array" ref="S200">_xlfn.IFS(Table1[[#This Row],[weathersit]]=1,"clear sky",Table1[[#This Row],[weathersit]]=2,"mist",Table1[[#This Row],[weathersit]]=3,"partially dark",Table1[[#This Row],[weathersit]]=4,"rain")</f>
        <v>clear sky</v>
      </c>
    </row>
    <row r="201" spans="1:19" ht="15" customHeight="1" x14ac:dyDescent="0.3">
      <c r="A201" s="2">
        <v>200</v>
      </c>
      <c r="B201" s="3">
        <v>40743</v>
      </c>
      <c r="C201" s="2">
        <v>1</v>
      </c>
      <c r="D201" s="2">
        <v>0</v>
      </c>
      <c r="E201" s="2">
        <v>1</v>
      </c>
      <c r="F201" s="2">
        <v>14</v>
      </c>
      <c r="G201" s="2" t="b">
        <v>0</v>
      </c>
      <c r="H201" s="2">
        <v>0</v>
      </c>
      <c r="I201" s="2">
        <v>1</v>
      </c>
      <c r="J201" s="2">
        <v>0.22</v>
      </c>
      <c r="K201" s="4">
        <v>0.18179999999999999</v>
      </c>
      <c r="L201" s="4">
        <v>0.32</v>
      </c>
      <c r="M201" s="4">
        <v>0.4627</v>
      </c>
      <c r="N201" s="4">
        <v>64</v>
      </c>
      <c r="O201" s="2">
        <v>72</v>
      </c>
      <c r="P201" s="2" t="str">
        <f t="shared" si="3"/>
        <v>Tuesday</v>
      </c>
      <c r="Q201" s="2" t="str">
        <f>IF(Table1[[#This Row],[temp]]&gt;=0.24,"cold","colder")</f>
        <v>colder</v>
      </c>
      <c r="R201" s="4">
        <v>8</v>
      </c>
      <c r="S201" s="16" t="str" cm="1">
        <f t="array" ref="S201">_xlfn.IFS(Table1[[#This Row],[weathersit]]=1,"clear sky",Table1[[#This Row],[weathersit]]=2,"mist",Table1[[#This Row],[weathersit]]=3,"partially dark",Table1[[#This Row],[weathersit]]=4,"rain")</f>
        <v>clear sky</v>
      </c>
    </row>
    <row r="202" spans="1:19" ht="15" customHeight="1" x14ac:dyDescent="0.3">
      <c r="A202" s="2">
        <v>201</v>
      </c>
      <c r="B202" s="3">
        <v>40744</v>
      </c>
      <c r="C202" s="2">
        <v>1</v>
      </c>
      <c r="D202" s="2">
        <v>0</v>
      </c>
      <c r="E202" s="2">
        <v>1</v>
      </c>
      <c r="F202" s="2">
        <v>15</v>
      </c>
      <c r="G202" s="2" t="b">
        <v>0</v>
      </c>
      <c r="H202" s="2">
        <v>0</v>
      </c>
      <c r="I202" s="2">
        <v>1</v>
      </c>
      <c r="J202" s="2">
        <v>0.22</v>
      </c>
      <c r="K202" s="4">
        <v>0.19700000000000001</v>
      </c>
      <c r="L202" s="4">
        <v>0.35</v>
      </c>
      <c r="M202" s="4">
        <v>0.35820000000000002</v>
      </c>
      <c r="N202" s="4">
        <v>77</v>
      </c>
      <c r="O202" s="2">
        <v>82</v>
      </c>
      <c r="P202" s="2" t="str">
        <f t="shared" si="3"/>
        <v>Wednesday</v>
      </c>
      <c r="Q202" s="2" t="str">
        <f>IF(Table1[[#This Row],[temp]]&gt;=0.24,"cold","colder")</f>
        <v>colder</v>
      </c>
      <c r="R202" s="4">
        <v>5</v>
      </c>
      <c r="S202" s="16" t="str" cm="1">
        <f t="array" ref="S202">_xlfn.IFS(Table1[[#This Row],[weathersit]]=1,"clear sky",Table1[[#This Row],[weathersit]]=2,"mist",Table1[[#This Row],[weathersit]]=3,"partially dark",Table1[[#This Row],[weathersit]]=4,"rain")</f>
        <v>clear sky</v>
      </c>
    </row>
    <row r="203" spans="1:19" ht="15" customHeight="1" x14ac:dyDescent="0.3">
      <c r="A203" s="2">
        <v>202</v>
      </c>
      <c r="B203" s="3">
        <v>40745</v>
      </c>
      <c r="C203" s="2">
        <v>1</v>
      </c>
      <c r="D203" s="2">
        <v>0</v>
      </c>
      <c r="E203" s="2">
        <v>1</v>
      </c>
      <c r="F203" s="2">
        <v>16</v>
      </c>
      <c r="G203" s="2" t="b">
        <v>0</v>
      </c>
      <c r="H203" s="2">
        <v>0</v>
      </c>
      <c r="I203" s="2">
        <v>1</v>
      </c>
      <c r="J203" s="2">
        <v>0.2</v>
      </c>
      <c r="K203" s="4">
        <v>0.16669999999999999</v>
      </c>
      <c r="L203" s="4">
        <v>0.34</v>
      </c>
      <c r="M203" s="4">
        <v>0.44779999999999998</v>
      </c>
      <c r="N203" s="4">
        <v>79</v>
      </c>
      <c r="O203" s="2">
        <v>92</v>
      </c>
      <c r="P203" s="2" t="str">
        <f t="shared" si="3"/>
        <v>Thursday</v>
      </c>
      <c r="Q203" s="2" t="str">
        <f>IF(Table1[[#This Row],[temp]]&gt;=0.24,"cold","colder")</f>
        <v>colder</v>
      </c>
      <c r="R203" s="4">
        <v>13</v>
      </c>
      <c r="S203" s="16" t="str" cm="1">
        <f t="array" ref="S203">_xlfn.IFS(Table1[[#This Row],[weathersit]]=1,"clear sky",Table1[[#This Row],[weathersit]]=2,"mist",Table1[[#This Row],[weathersit]]=3,"partially dark",Table1[[#This Row],[weathersit]]=4,"rain")</f>
        <v>clear sky</v>
      </c>
    </row>
    <row r="204" spans="1:19" ht="15" customHeight="1" x14ac:dyDescent="0.3">
      <c r="A204" s="2">
        <v>203</v>
      </c>
      <c r="B204" s="3">
        <v>40746</v>
      </c>
      <c r="C204" s="2">
        <v>1</v>
      </c>
      <c r="D204" s="2">
        <v>0</v>
      </c>
      <c r="E204" s="2">
        <v>1</v>
      </c>
      <c r="F204" s="2">
        <v>17</v>
      </c>
      <c r="G204" s="2" t="b">
        <v>0</v>
      </c>
      <c r="H204" s="2">
        <v>0</v>
      </c>
      <c r="I204" s="2">
        <v>1</v>
      </c>
      <c r="J204" s="2">
        <v>0.18</v>
      </c>
      <c r="K204" s="4">
        <v>0.1515</v>
      </c>
      <c r="L204" s="4">
        <v>0.37</v>
      </c>
      <c r="M204" s="4">
        <v>0.3881</v>
      </c>
      <c r="N204" s="4">
        <v>59</v>
      </c>
      <c r="O204" s="2">
        <v>62</v>
      </c>
      <c r="P204" s="2" t="str">
        <f t="shared" si="3"/>
        <v>Friday</v>
      </c>
      <c r="Q204" s="2" t="str">
        <f>IF(Table1[[#This Row],[temp]]&gt;=0.24,"cold","colder")</f>
        <v>colder</v>
      </c>
      <c r="R204" s="4">
        <v>3</v>
      </c>
      <c r="S204" s="16" t="str" cm="1">
        <f t="array" ref="S204">_xlfn.IFS(Table1[[#This Row],[weathersit]]=1,"clear sky",Table1[[#This Row],[weathersit]]=2,"mist",Table1[[#This Row],[weathersit]]=3,"partially dark",Table1[[#This Row],[weathersit]]=4,"rain")</f>
        <v>clear sky</v>
      </c>
    </row>
    <row r="205" spans="1:19" ht="15" customHeight="1" x14ac:dyDescent="0.3">
      <c r="A205" s="2">
        <v>204</v>
      </c>
      <c r="B205" s="3">
        <v>40747</v>
      </c>
      <c r="C205" s="2">
        <v>1</v>
      </c>
      <c r="D205" s="2">
        <v>0</v>
      </c>
      <c r="E205" s="2">
        <v>1</v>
      </c>
      <c r="F205" s="2">
        <v>18</v>
      </c>
      <c r="G205" s="2" t="b">
        <v>0</v>
      </c>
      <c r="H205" s="2">
        <v>0</v>
      </c>
      <c r="I205" s="2">
        <v>1</v>
      </c>
      <c r="J205" s="2">
        <v>0.16</v>
      </c>
      <c r="K205" s="4">
        <v>0.13639999999999999</v>
      </c>
      <c r="L205" s="4">
        <v>0.4</v>
      </c>
      <c r="M205" s="4">
        <v>0.32840000000000003</v>
      </c>
      <c r="N205" s="4">
        <v>44</v>
      </c>
      <c r="O205" s="2">
        <v>48</v>
      </c>
      <c r="P205" s="2" t="str">
        <f t="shared" si="3"/>
        <v>Saturday</v>
      </c>
      <c r="Q205" s="2" t="str">
        <f>IF(Table1[[#This Row],[temp]]&gt;=0.24,"cold","colder")</f>
        <v>colder</v>
      </c>
      <c r="R205" s="4">
        <v>4</v>
      </c>
      <c r="S205" s="16" t="str" cm="1">
        <f t="array" ref="S205">_xlfn.IFS(Table1[[#This Row],[weathersit]]=1,"clear sky",Table1[[#This Row],[weathersit]]=2,"mist",Table1[[#This Row],[weathersit]]=3,"partially dark",Table1[[#This Row],[weathersit]]=4,"rain")</f>
        <v>clear sky</v>
      </c>
    </row>
    <row r="206" spans="1:19" ht="15" customHeight="1" x14ac:dyDescent="0.3">
      <c r="A206" s="2">
        <v>205</v>
      </c>
      <c r="B206" s="3">
        <v>40748</v>
      </c>
      <c r="C206" s="2">
        <v>1</v>
      </c>
      <c r="D206" s="2">
        <v>0</v>
      </c>
      <c r="E206" s="2">
        <v>1</v>
      </c>
      <c r="F206" s="2">
        <v>19</v>
      </c>
      <c r="G206" s="2" t="b">
        <v>0</v>
      </c>
      <c r="H206" s="2">
        <v>0</v>
      </c>
      <c r="I206" s="2">
        <v>1</v>
      </c>
      <c r="J206" s="2">
        <v>0.16</v>
      </c>
      <c r="K206" s="4">
        <v>0.13639999999999999</v>
      </c>
      <c r="L206" s="4">
        <v>0.43</v>
      </c>
      <c r="M206" s="4">
        <v>0.32840000000000003</v>
      </c>
      <c r="N206" s="4">
        <v>40</v>
      </c>
      <c r="O206" s="2">
        <v>41</v>
      </c>
      <c r="P206" s="2" t="str">
        <f t="shared" si="3"/>
        <v>Sunday</v>
      </c>
      <c r="Q206" s="2" t="str">
        <f>IF(Table1[[#This Row],[temp]]&gt;=0.24,"cold","colder")</f>
        <v>colder</v>
      </c>
      <c r="R206" s="4">
        <v>1</v>
      </c>
      <c r="S206" s="16" t="str" cm="1">
        <f t="array" ref="S206">_xlfn.IFS(Table1[[#This Row],[weathersit]]=1,"clear sky",Table1[[#This Row],[weathersit]]=2,"mist",Table1[[#This Row],[weathersit]]=3,"partially dark",Table1[[#This Row],[weathersit]]=4,"rain")</f>
        <v>clear sky</v>
      </c>
    </row>
    <row r="207" spans="1:19" ht="15" customHeight="1" x14ac:dyDescent="0.3">
      <c r="A207" s="2">
        <v>206</v>
      </c>
      <c r="B207" s="3">
        <v>40749</v>
      </c>
      <c r="C207" s="2">
        <v>1</v>
      </c>
      <c r="D207" s="2">
        <v>0</v>
      </c>
      <c r="E207" s="2">
        <v>1</v>
      </c>
      <c r="F207" s="2">
        <v>20</v>
      </c>
      <c r="G207" s="2" t="b">
        <v>0</v>
      </c>
      <c r="H207" s="2">
        <v>0</v>
      </c>
      <c r="I207" s="2">
        <v>1</v>
      </c>
      <c r="J207" s="2">
        <v>0.14000000000000001</v>
      </c>
      <c r="K207" s="4">
        <v>0.1212</v>
      </c>
      <c r="L207" s="4">
        <v>0.46</v>
      </c>
      <c r="M207" s="4">
        <v>0.25369999999999998</v>
      </c>
      <c r="N207" s="4">
        <v>38</v>
      </c>
      <c r="O207" s="2">
        <v>38</v>
      </c>
      <c r="P207" s="2" t="str">
        <f t="shared" si="3"/>
        <v>Monday</v>
      </c>
      <c r="Q207" s="2" t="str">
        <f>IF(Table1[[#This Row],[temp]]&gt;=0.24,"cold","colder")</f>
        <v>colder</v>
      </c>
      <c r="R207" s="4">
        <v>0</v>
      </c>
      <c r="S207" s="16" t="str" cm="1">
        <f t="array" ref="S207">_xlfn.IFS(Table1[[#This Row],[weathersit]]=1,"clear sky",Table1[[#This Row],[weathersit]]=2,"mist",Table1[[#This Row],[weathersit]]=3,"partially dark",Table1[[#This Row],[weathersit]]=4,"rain")</f>
        <v>clear sky</v>
      </c>
    </row>
    <row r="208" spans="1:19" ht="15" customHeight="1" x14ac:dyDescent="0.3">
      <c r="A208" s="2">
        <v>207</v>
      </c>
      <c r="B208" s="3">
        <v>40750</v>
      </c>
      <c r="C208" s="2">
        <v>1</v>
      </c>
      <c r="D208" s="2">
        <v>0</v>
      </c>
      <c r="E208" s="2">
        <v>1</v>
      </c>
      <c r="F208" s="2">
        <v>21</v>
      </c>
      <c r="G208" s="2" t="b">
        <v>0</v>
      </c>
      <c r="H208" s="2">
        <v>0</v>
      </c>
      <c r="I208" s="2">
        <v>1</v>
      </c>
      <c r="J208" s="2">
        <v>0.14000000000000001</v>
      </c>
      <c r="K208" s="4">
        <v>0.1061</v>
      </c>
      <c r="L208" s="4">
        <v>0.46</v>
      </c>
      <c r="M208" s="4">
        <v>0.41789999999999999</v>
      </c>
      <c r="N208" s="4">
        <v>19</v>
      </c>
      <c r="O208" s="2">
        <v>20</v>
      </c>
      <c r="P208" s="2" t="str">
        <f t="shared" si="3"/>
        <v>Tuesday</v>
      </c>
      <c r="Q208" s="2" t="str">
        <f>IF(Table1[[#This Row],[temp]]&gt;=0.24,"cold","colder")</f>
        <v>colder</v>
      </c>
      <c r="R208" s="4">
        <v>1</v>
      </c>
      <c r="S208" s="16" t="str" cm="1">
        <f t="array" ref="S208">_xlfn.IFS(Table1[[#This Row],[weathersit]]=1,"clear sky",Table1[[#This Row],[weathersit]]=2,"mist",Table1[[#This Row],[weathersit]]=3,"partially dark",Table1[[#This Row],[weathersit]]=4,"rain")</f>
        <v>clear sky</v>
      </c>
    </row>
    <row r="209" spans="1:19" ht="15" customHeight="1" x14ac:dyDescent="0.3">
      <c r="A209" s="2">
        <v>208</v>
      </c>
      <c r="B209" s="3">
        <v>40751</v>
      </c>
      <c r="C209" s="2">
        <v>1</v>
      </c>
      <c r="D209" s="2">
        <v>0</v>
      </c>
      <c r="E209" s="2">
        <v>1</v>
      </c>
      <c r="F209" s="2">
        <v>22</v>
      </c>
      <c r="G209" s="2" t="b">
        <v>0</v>
      </c>
      <c r="H209" s="2">
        <v>0</v>
      </c>
      <c r="I209" s="2">
        <v>1</v>
      </c>
      <c r="J209" s="2">
        <v>0.14000000000000001</v>
      </c>
      <c r="K209" s="4">
        <v>0.1212</v>
      </c>
      <c r="L209" s="4">
        <v>0.46</v>
      </c>
      <c r="M209" s="4">
        <v>0.29849999999999999</v>
      </c>
      <c r="N209" s="4">
        <v>10</v>
      </c>
      <c r="O209" s="2">
        <v>15</v>
      </c>
      <c r="P209" s="2" t="str">
        <f t="shared" si="3"/>
        <v>Wednesday</v>
      </c>
      <c r="Q209" s="2" t="str">
        <f>IF(Table1[[#This Row],[temp]]&gt;=0.24,"cold","colder")</f>
        <v>colder</v>
      </c>
      <c r="R209" s="4">
        <v>5</v>
      </c>
      <c r="S209" s="16" t="str" cm="1">
        <f t="array" ref="S209">_xlfn.IFS(Table1[[#This Row],[weathersit]]=1,"clear sky",Table1[[#This Row],[weathersit]]=2,"mist",Table1[[#This Row],[weathersit]]=3,"partially dark",Table1[[#This Row],[weathersit]]=4,"rain")</f>
        <v>clear sky</v>
      </c>
    </row>
    <row r="210" spans="1:19" ht="15" customHeight="1" x14ac:dyDescent="0.3">
      <c r="A210" s="2">
        <v>209</v>
      </c>
      <c r="B210" s="3">
        <v>40752</v>
      </c>
      <c r="C210" s="2">
        <v>1</v>
      </c>
      <c r="D210" s="2">
        <v>0</v>
      </c>
      <c r="E210" s="2">
        <v>1</v>
      </c>
      <c r="F210" s="2">
        <v>23</v>
      </c>
      <c r="G210" s="2" t="b">
        <v>0</v>
      </c>
      <c r="H210" s="2">
        <v>0</v>
      </c>
      <c r="I210" s="2">
        <v>1</v>
      </c>
      <c r="J210" s="2">
        <v>0.12</v>
      </c>
      <c r="K210" s="4">
        <v>0.13639999999999999</v>
      </c>
      <c r="L210" s="4">
        <v>0.5</v>
      </c>
      <c r="M210" s="4">
        <v>0.19400000000000001</v>
      </c>
      <c r="N210" s="4">
        <v>6</v>
      </c>
      <c r="O210" s="2">
        <v>6</v>
      </c>
      <c r="P210" s="2" t="str">
        <f t="shared" si="3"/>
        <v>Thursday</v>
      </c>
      <c r="Q210" s="2" t="str">
        <f>IF(Table1[[#This Row],[temp]]&gt;=0.24,"cold","colder")</f>
        <v>colder</v>
      </c>
      <c r="R210" s="4">
        <v>0</v>
      </c>
      <c r="S210" s="16" t="str" cm="1">
        <f t="array" ref="S210">_xlfn.IFS(Table1[[#This Row],[weathersit]]=1,"clear sky",Table1[[#This Row],[weathersit]]=2,"mist",Table1[[#This Row],[weathersit]]=3,"partially dark",Table1[[#This Row],[weathersit]]=4,"rain")</f>
        <v>clear sky</v>
      </c>
    </row>
    <row r="211" spans="1:19" ht="15" customHeight="1" x14ac:dyDescent="0.3">
      <c r="A211" s="2">
        <v>210</v>
      </c>
      <c r="B211" s="3">
        <v>40753</v>
      </c>
      <c r="C211" s="2">
        <v>1</v>
      </c>
      <c r="D211" s="2">
        <v>0</v>
      </c>
      <c r="E211" s="2">
        <v>1</v>
      </c>
      <c r="F211" s="2">
        <v>0</v>
      </c>
      <c r="G211" s="2" t="b">
        <v>0</v>
      </c>
      <c r="H211" s="2">
        <v>1</v>
      </c>
      <c r="I211" s="2">
        <v>1</v>
      </c>
      <c r="J211" s="2">
        <v>0.12</v>
      </c>
      <c r="K211" s="4">
        <v>0.1212</v>
      </c>
      <c r="L211" s="4">
        <v>0.5</v>
      </c>
      <c r="M211" s="4">
        <v>0.28360000000000002</v>
      </c>
      <c r="N211" s="4">
        <v>3</v>
      </c>
      <c r="O211" s="2">
        <v>5</v>
      </c>
      <c r="P211" s="2" t="str">
        <f t="shared" si="3"/>
        <v>Friday</v>
      </c>
      <c r="Q211" s="2" t="str">
        <f>IF(Table1[[#This Row],[temp]]&gt;=0.24,"cold","colder")</f>
        <v>colder</v>
      </c>
      <c r="R211" s="4">
        <v>2</v>
      </c>
      <c r="S211" s="16" t="str" cm="1">
        <f t="array" ref="S211">_xlfn.IFS(Table1[[#This Row],[weathersit]]=1,"clear sky",Table1[[#This Row],[weathersit]]=2,"mist",Table1[[#This Row],[weathersit]]=3,"partially dark",Table1[[#This Row],[weathersit]]=4,"rain")</f>
        <v>clear sky</v>
      </c>
    </row>
    <row r="212" spans="1:19" ht="15" customHeight="1" x14ac:dyDescent="0.3">
      <c r="A212" s="2">
        <v>211</v>
      </c>
      <c r="B212" s="3">
        <v>40754</v>
      </c>
      <c r="C212" s="2">
        <v>1</v>
      </c>
      <c r="D212" s="2">
        <v>0</v>
      </c>
      <c r="E212" s="2">
        <v>1</v>
      </c>
      <c r="F212" s="2">
        <v>1</v>
      </c>
      <c r="G212" s="2" t="b">
        <v>0</v>
      </c>
      <c r="H212" s="2">
        <v>1</v>
      </c>
      <c r="I212" s="2">
        <v>1</v>
      </c>
      <c r="J212" s="2">
        <v>0.12</v>
      </c>
      <c r="K212" s="4">
        <v>0.1212</v>
      </c>
      <c r="L212" s="4">
        <v>0.5</v>
      </c>
      <c r="M212" s="4">
        <v>0.28360000000000002</v>
      </c>
      <c r="N212" s="4">
        <v>0</v>
      </c>
      <c r="O212" s="2">
        <v>1</v>
      </c>
      <c r="P212" s="2" t="str">
        <f t="shared" si="3"/>
        <v>Saturday</v>
      </c>
      <c r="Q212" s="2" t="str">
        <f>IF(Table1[[#This Row],[temp]]&gt;=0.24,"cold","colder")</f>
        <v>colder</v>
      </c>
      <c r="R212" s="4">
        <v>1</v>
      </c>
      <c r="S212" s="16" t="str" cm="1">
        <f t="array" ref="S212">_xlfn.IFS(Table1[[#This Row],[weathersit]]=1,"clear sky",Table1[[#This Row],[weathersit]]=2,"mist",Table1[[#This Row],[weathersit]]=3,"partially dark",Table1[[#This Row],[weathersit]]=4,"rain")</f>
        <v>clear sky</v>
      </c>
    </row>
    <row r="213" spans="1:19" ht="15" customHeight="1" x14ac:dyDescent="0.3">
      <c r="A213" s="2">
        <v>212</v>
      </c>
      <c r="B213" s="3">
        <v>40755</v>
      </c>
      <c r="C213" s="2">
        <v>1</v>
      </c>
      <c r="D213" s="2">
        <v>0</v>
      </c>
      <c r="E213" s="2">
        <v>1</v>
      </c>
      <c r="F213" s="2">
        <v>2</v>
      </c>
      <c r="G213" s="2" t="b">
        <v>0</v>
      </c>
      <c r="H213" s="2">
        <v>1</v>
      </c>
      <c r="I213" s="2">
        <v>1</v>
      </c>
      <c r="J213" s="2">
        <v>0.12</v>
      </c>
      <c r="K213" s="4">
        <v>0.1212</v>
      </c>
      <c r="L213" s="4">
        <v>0.5</v>
      </c>
      <c r="M213" s="4">
        <v>0.22389999999999999</v>
      </c>
      <c r="N213" s="4">
        <v>3</v>
      </c>
      <c r="O213" s="2">
        <v>3</v>
      </c>
      <c r="P213" s="2" t="str">
        <f t="shared" si="3"/>
        <v>Sunday</v>
      </c>
      <c r="Q213" s="2" t="str">
        <f>IF(Table1[[#This Row],[temp]]&gt;=0.24,"cold","colder")</f>
        <v>colder</v>
      </c>
      <c r="R213" s="4">
        <v>0</v>
      </c>
      <c r="S213" s="16" t="str" cm="1">
        <f t="array" ref="S213">_xlfn.IFS(Table1[[#This Row],[weathersit]]=1,"clear sky",Table1[[#This Row],[weathersit]]=2,"mist",Table1[[#This Row],[weathersit]]=3,"partially dark",Table1[[#This Row],[weathersit]]=4,"rain")</f>
        <v>clear sky</v>
      </c>
    </row>
    <row r="214" spans="1:19" ht="15" customHeight="1" x14ac:dyDescent="0.3">
      <c r="A214" s="2">
        <v>213</v>
      </c>
      <c r="B214" s="3">
        <v>40756</v>
      </c>
      <c r="C214" s="2">
        <v>1</v>
      </c>
      <c r="D214" s="2">
        <v>0</v>
      </c>
      <c r="E214" s="2">
        <v>1</v>
      </c>
      <c r="F214" s="2">
        <v>3</v>
      </c>
      <c r="G214" s="2" t="b">
        <v>0</v>
      </c>
      <c r="H214" s="2">
        <v>1</v>
      </c>
      <c r="I214" s="2">
        <v>1</v>
      </c>
      <c r="J214" s="2">
        <v>0.12</v>
      </c>
      <c r="K214" s="4">
        <v>0.1212</v>
      </c>
      <c r="L214" s="4">
        <v>0.5</v>
      </c>
      <c r="M214" s="4">
        <v>0.22389999999999999</v>
      </c>
      <c r="N214" s="4">
        <v>1</v>
      </c>
      <c r="O214" s="2">
        <v>1</v>
      </c>
      <c r="P214" s="2" t="str">
        <f t="shared" si="3"/>
        <v>Monday</v>
      </c>
      <c r="Q214" s="2" t="str">
        <f>IF(Table1[[#This Row],[temp]]&gt;=0.24,"cold","colder")</f>
        <v>colder</v>
      </c>
      <c r="R214" s="4">
        <v>0</v>
      </c>
      <c r="S214" s="16" t="str" cm="1">
        <f t="array" ref="S214">_xlfn.IFS(Table1[[#This Row],[weathersit]]=1,"clear sky",Table1[[#This Row],[weathersit]]=2,"mist",Table1[[#This Row],[weathersit]]=3,"partially dark",Table1[[#This Row],[weathersit]]=4,"rain")</f>
        <v>clear sky</v>
      </c>
    </row>
    <row r="215" spans="1:19" ht="15" customHeight="1" x14ac:dyDescent="0.3">
      <c r="A215" s="2">
        <v>214</v>
      </c>
      <c r="B215" s="3">
        <v>40757</v>
      </c>
      <c r="C215" s="2">
        <v>1</v>
      </c>
      <c r="D215" s="2">
        <v>0</v>
      </c>
      <c r="E215" s="2">
        <v>1</v>
      </c>
      <c r="F215" s="2">
        <v>4</v>
      </c>
      <c r="G215" s="2" t="b">
        <v>0</v>
      </c>
      <c r="H215" s="2">
        <v>1</v>
      </c>
      <c r="I215" s="2">
        <v>1</v>
      </c>
      <c r="J215" s="2">
        <v>0.1</v>
      </c>
      <c r="K215" s="4">
        <v>0.1212</v>
      </c>
      <c r="L215" s="4">
        <v>0.54</v>
      </c>
      <c r="M215" s="4">
        <v>0.1343</v>
      </c>
      <c r="N215" s="4">
        <v>2</v>
      </c>
      <c r="O215" s="2">
        <v>3</v>
      </c>
      <c r="P215" s="2" t="str">
        <f t="shared" si="3"/>
        <v>Tuesday</v>
      </c>
      <c r="Q215" s="2" t="str">
        <f>IF(Table1[[#This Row],[temp]]&gt;=0.24,"cold","colder")</f>
        <v>colder</v>
      </c>
      <c r="R215" s="4">
        <v>1</v>
      </c>
      <c r="S215" s="16" t="str" cm="1">
        <f t="array" ref="S215">_xlfn.IFS(Table1[[#This Row],[weathersit]]=1,"clear sky",Table1[[#This Row],[weathersit]]=2,"mist",Table1[[#This Row],[weathersit]]=3,"partially dark",Table1[[#This Row],[weathersit]]=4,"rain")</f>
        <v>clear sky</v>
      </c>
    </row>
    <row r="216" spans="1:19" ht="15" customHeight="1" x14ac:dyDescent="0.3">
      <c r="A216" s="2">
        <v>215</v>
      </c>
      <c r="B216" s="3">
        <v>40758</v>
      </c>
      <c r="C216" s="2">
        <v>1</v>
      </c>
      <c r="D216" s="2">
        <v>0</v>
      </c>
      <c r="E216" s="2">
        <v>1</v>
      </c>
      <c r="F216" s="2">
        <v>5</v>
      </c>
      <c r="G216" s="2" t="b">
        <v>0</v>
      </c>
      <c r="H216" s="2">
        <v>1</v>
      </c>
      <c r="I216" s="2">
        <v>1</v>
      </c>
      <c r="J216" s="2">
        <v>0.1</v>
      </c>
      <c r="K216" s="4">
        <v>0.1061</v>
      </c>
      <c r="L216" s="4">
        <v>0.54</v>
      </c>
      <c r="M216" s="4">
        <v>0.25369999999999998</v>
      </c>
      <c r="N216" s="4">
        <v>3</v>
      </c>
      <c r="O216" s="2">
        <v>3</v>
      </c>
      <c r="P216" s="2" t="str">
        <f t="shared" si="3"/>
        <v>Wednesday</v>
      </c>
      <c r="Q216" s="2" t="str">
        <f>IF(Table1[[#This Row],[temp]]&gt;=0.24,"cold","colder")</f>
        <v>colder</v>
      </c>
      <c r="R216" s="4">
        <v>0</v>
      </c>
      <c r="S216" s="16" t="str" cm="1">
        <f t="array" ref="S216">_xlfn.IFS(Table1[[#This Row],[weathersit]]=1,"clear sky",Table1[[#This Row],[weathersit]]=2,"mist",Table1[[#This Row],[weathersit]]=3,"partially dark",Table1[[#This Row],[weathersit]]=4,"rain")</f>
        <v>clear sky</v>
      </c>
    </row>
    <row r="217" spans="1:19" ht="15" customHeight="1" x14ac:dyDescent="0.3">
      <c r="A217" s="2">
        <v>216</v>
      </c>
      <c r="B217" s="3">
        <v>40759</v>
      </c>
      <c r="C217" s="2">
        <v>1</v>
      </c>
      <c r="D217" s="2">
        <v>0</v>
      </c>
      <c r="E217" s="2">
        <v>1</v>
      </c>
      <c r="F217" s="2">
        <v>6</v>
      </c>
      <c r="G217" s="2" t="b">
        <v>0</v>
      </c>
      <c r="H217" s="2">
        <v>1</v>
      </c>
      <c r="I217" s="2">
        <v>1</v>
      </c>
      <c r="J217" s="2">
        <v>0.12</v>
      </c>
      <c r="K217" s="4">
        <v>0.1212</v>
      </c>
      <c r="L217" s="4">
        <v>0.5</v>
      </c>
      <c r="M217" s="4">
        <v>0.28360000000000002</v>
      </c>
      <c r="N217" s="4">
        <v>31</v>
      </c>
      <c r="O217" s="2">
        <v>31</v>
      </c>
      <c r="P217" s="2" t="str">
        <f t="shared" si="3"/>
        <v>Thursday</v>
      </c>
      <c r="Q217" s="2" t="str">
        <f>IF(Table1[[#This Row],[temp]]&gt;=0.24,"cold","colder")</f>
        <v>colder</v>
      </c>
      <c r="R217" s="4">
        <v>0</v>
      </c>
      <c r="S217" s="16" t="str" cm="1">
        <f t="array" ref="S217">_xlfn.IFS(Table1[[#This Row],[weathersit]]=1,"clear sky",Table1[[#This Row],[weathersit]]=2,"mist",Table1[[#This Row],[weathersit]]=3,"partially dark",Table1[[#This Row],[weathersit]]=4,"rain")</f>
        <v>clear sky</v>
      </c>
    </row>
    <row r="218" spans="1:19" ht="15" customHeight="1" x14ac:dyDescent="0.3">
      <c r="A218" s="2">
        <v>217</v>
      </c>
      <c r="B218" s="3">
        <v>40760</v>
      </c>
      <c r="C218" s="2">
        <v>1</v>
      </c>
      <c r="D218" s="2">
        <v>0</v>
      </c>
      <c r="E218" s="2">
        <v>1</v>
      </c>
      <c r="F218" s="2">
        <v>7</v>
      </c>
      <c r="G218" s="2" t="b">
        <v>0</v>
      </c>
      <c r="H218" s="2">
        <v>1</v>
      </c>
      <c r="I218" s="2">
        <v>1</v>
      </c>
      <c r="J218" s="2">
        <v>0.12</v>
      </c>
      <c r="K218" s="4">
        <v>0.1212</v>
      </c>
      <c r="L218" s="4">
        <v>0.5</v>
      </c>
      <c r="M218" s="4">
        <v>0.22389999999999999</v>
      </c>
      <c r="N218" s="4">
        <v>75</v>
      </c>
      <c r="O218" s="2">
        <v>77</v>
      </c>
      <c r="P218" s="2" t="str">
        <f t="shared" si="3"/>
        <v>Friday</v>
      </c>
      <c r="Q218" s="2" t="str">
        <f>IF(Table1[[#This Row],[temp]]&gt;=0.24,"cold","colder")</f>
        <v>colder</v>
      </c>
      <c r="R218" s="4">
        <v>2</v>
      </c>
      <c r="S218" s="16" t="str" cm="1">
        <f t="array" ref="S218">_xlfn.IFS(Table1[[#This Row],[weathersit]]=1,"clear sky",Table1[[#This Row],[weathersit]]=2,"mist",Table1[[#This Row],[weathersit]]=3,"partially dark",Table1[[#This Row],[weathersit]]=4,"rain")</f>
        <v>clear sky</v>
      </c>
    </row>
    <row r="219" spans="1:19" ht="15" customHeight="1" x14ac:dyDescent="0.3">
      <c r="A219" s="2">
        <v>218</v>
      </c>
      <c r="B219" s="3">
        <v>40761</v>
      </c>
      <c r="C219" s="2">
        <v>1</v>
      </c>
      <c r="D219" s="2">
        <v>0</v>
      </c>
      <c r="E219" s="2">
        <v>1</v>
      </c>
      <c r="F219" s="2">
        <v>8</v>
      </c>
      <c r="G219" s="2" t="b">
        <v>0</v>
      </c>
      <c r="H219" s="2">
        <v>1</v>
      </c>
      <c r="I219" s="2">
        <v>2</v>
      </c>
      <c r="J219" s="2">
        <v>0.12</v>
      </c>
      <c r="K219" s="4">
        <v>0.1212</v>
      </c>
      <c r="L219" s="4">
        <v>0.5</v>
      </c>
      <c r="M219" s="4">
        <v>0.28360000000000002</v>
      </c>
      <c r="N219" s="4">
        <v>184</v>
      </c>
      <c r="O219" s="2">
        <v>188</v>
      </c>
      <c r="P219" s="2" t="str">
        <f t="shared" si="3"/>
        <v>Saturday</v>
      </c>
      <c r="Q219" s="2" t="str">
        <f>IF(Table1[[#This Row],[temp]]&gt;=0.24,"cold","colder")</f>
        <v>colder</v>
      </c>
      <c r="R219" s="4">
        <v>4</v>
      </c>
      <c r="S219" s="16" t="str" cm="1">
        <f t="array" ref="S219">_xlfn.IFS(Table1[[#This Row],[weathersit]]=1,"clear sky",Table1[[#This Row],[weathersit]]=2,"mist",Table1[[#This Row],[weathersit]]=3,"partially dark",Table1[[#This Row],[weathersit]]=4,"rain")</f>
        <v>mist</v>
      </c>
    </row>
    <row r="220" spans="1:19" ht="15" customHeight="1" x14ac:dyDescent="0.3">
      <c r="A220" s="2">
        <v>219</v>
      </c>
      <c r="B220" s="3">
        <v>40762</v>
      </c>
      <c r="C220" s="2">
        <v>1</v>
      </c>
      <c r="D220" s="2">
        <v>0</v>
      </c>
      <c r="E220" s="2">
        <v>1</v>
      </c>
      <c r="F220" s="2">
        <v>9</v>
      </c>
      <c r="G220" s="2" t="b">
        <v>0</v>
      </c>
      <c r="H220" s="2">
        <v>1</v>
      </c>
      <c r="I220" s="2">
        <v>2</v>
      </c>
      <c r="J220" s="2">
        <v>0.14000000000000001</v>
      </c>
      <c r="K220" s="4">
        <v>0.1212</v>
      </c>
      <c r="L220" s="4">
        <v>0.5</v>
      </c>
      <c r="M220" s="4">
        <v>0.25369999999999998</v>
      </c>
      <c r="N220" s="4">
        <v>92</v>
      </c>
      <c r="O220" s="2">
        <v>94</v>
      </c>
      <c r="P220" s="2" t="str">
        <f t="shared" si="3"/>
        <v>Sunday</v>
      </c>
      <c r="Q220" s="2" t="str">
        <f>IF(Table1[[#This Row],[temp]]&gt;=0.24,"cold","colder")</f>
        <v>colder</v>
      </c>
      <c r="R220" s="4">
        <v>2</v>
      </c>
      <c r="S220" s="16" t="str" cm="1">
        <f t="array" ref="S220">_xlfn.IFS(Table1[[#This Row],[weathersit]]=1,"clear sky",Table1[[#This Row],[weathersit]]=2,"mist",Table1[[#This Row],[weathersit]]=3,"partially dark",Table1[[#This Row],[weathersit]]=4,"rain")</f>
        <v>mist</v>
      </c>
    </row>
    <row r="221" spans="1:19" ht="15" customHeight="1" x14ac:dyDescent="0.3">
      <c r="A221" s="2">
        <v>220</v>
      </c>
      <c r="B221" s="3">
        <v>40763</v>
      </c>
      <c r="C221" s="2">
        <v>1</v>
      </c>
      <c r="D221" s="2">
        <v>0</v>
      </c>
      <c r="E221" s="2">
        <v>1</v>
      </c>
      <c r="F221" s="2">
        <v>10</v>
      </c>
      <c r="G221" s="2" t="b">
        <v>0</v>
      </c>
      <c r="H221" s="2">
        <v>1</v>
      </c>
      <c r="I221" s="2">
        <v>2</v>
      </c>
      <c r="J221" s="2">
        <v>0.14000000000000001</v>
      </c>
      <c r="K221" s="4">
        <v>0.1212</v>
      </c>
      <c r="L221" s="4">
        <v>0.5</v>
      </c>
      <c r="M221" s="4">
        <v>0.29849999999999999</v>
      </c>
      <c r="N221" s="4">
        <v>31</v>
      </c>
      <c r="O221" s="2">
        <v>31</v>
      </c>
      <c r="P221" s="2" t="str">
        <f t="shared" si="3"/>
        <v>Monday</v>
      </c>
      <c r="Q221" s="2" t="str">
        <f>IF(Table1[[#This Row],[temp]]&gt;=0.24,"cold","colder")</f>
        <v>colder</v>
      </c>
      <c r="R221" s="4">
        <v>0</v>
      </c>
      <c r="S221" s="16" t="str" cm="1">
        <f t="array" ref="S221">_xlfn.IFS(Table1[[#This Row],[weathersit]]=1,"clear sky",Table1[[#This Row],[weathersit]]=2,"mist",Table1[[#This Row],[weathersit]]=3,"partially dark",Table1[[#This Row],[weathersit]]=4,"rain")</f>
        <v>mist</v>
      </c>
    </row>
    <row r="222" spans="1:19" ht="15" customHeight="1" x14ac:dyDescent="0.3">
      <c r="A222" s="2">
        <v>221</v>
      </c>
      <c r="B222" s="3">
        <v>40764</v>
      </c>
      <c r="C222" s="2">
        <v>1</v>
      </c>
      <c r="D222" s="2">
        <v>0</v>
      </c>
      <c r="E222" s="2">
        <v>1</v>
      </c>
      <c r="F222" s="2">
        <v>11</v>
      </c>
      <c r="G222" s="2" t="b">
        <v>0</v>
      </c>
      <c r="H222" s="2">
        <v>1</v>
      </c>
      <c r="I222" s="2">
        <v>2</v>
      </c>
      <c r="J222" s="2">
        <v>0.16</v>
      </c>
      <c r="K222" s="4">
        <v>0.13639999999999999</v>
      </c>
      <c r="L222" s="4">
        <v>0.47</v>
      </c>
      <c r="M222" s="4">
        <v>0.28360000000000002</v>
      </c>
      <c r="N222" s="4">
        <v>28</v>
      </c>
      <c r="O222" s="2">
        <v>30</v>
      </c>
      <c r="P222" s="2" t="str">
        <f t="shared" si="3"/>
        <v>Tuesday</v>
      </c>
      <c r="Q222" s="2" t="str">
        <f>IF(Table1[[#This Row],[temp]]&gt;=0.24,"cold","colder")</f>
        <v>colder</v>
      </c>
      <c r="R222" s="4">
        <v>2</v>
      </c>
      <c r="S222" s="16" t="str" cm="1">
        <f t="array" ref="S222">_xlfn.IFS(Table1[[#This Row],[weathersit]]=1,"clear sky",Table1[[#This Row],[weathersit]]=2,"mist",Table1[[#This Row],[weathersit]]=3,"partially dark",Table1[[#This Row],[weathersit]]=4,"rain")</f>
        <v>mist</v>
      </c>
    </row>
    <row r="223" spans="1:19" ht="15" customHeight="1" x14ac:dyDescent="0.3">
      <c r="A223" s="2">
        <v>222</v>
      </c>
      <c r="B223" s="3">
        <v>40765</v>
      </c>
      <c r="C223" s="2">
        <v>1</v>
      </c>
      <c r="D223" s="2">
        <v>0</v>
      </c>
      <c r="E223" s="2">
        <v>1</v>
      </c>
      <c r="F223" s="2">
        <v>12</v>
      </c>
      <c r="G223" s="2" t="b">
        <v>0</v>
      </c>
      <c r="H223" s="2">
        <v>1</v>
      </c>
      <c r="I223" s="2">
        <v>2</v>
      </c>
      <c r="J223" s="2">
        <v>0.2</v>
      </c>
      <c r="K223" s="4">
        <v>0.18179999999999999</v>
      </c>
      <c r="L223" s="4">
        <v>0.4</v>
      </c>
      <c r="M223" s="4">
        <v>0.28360000000000002</v>
      </c>
      <c r="N223" s="4">
        <v>47</v>
      </c>
      <c r="O223" s="2">
        <v>52</v>
      </c>
      <c r="P223" s="2" t="str">
        <f t="shared" si="3"/>
        <v>Wednesday</v>
      </c>
      <c r="Q223" s="2" t="str">
        <f>IF(Table1[[#This Row],[temp]]&gt;=0.24,"cold","colder")</f>
        <v>colder</v>
      </c>
      <c r="R223" s="4">
        <v>5</v>
      </c>
      <c r="S223" s="16" t="str" cm="1">
        <f t="array" ref="S223">_xlfn.IFS(Table1[[#This Row],[weathersit]]=1,"clear sky",Table1[[#This Row],[weathersit]]=2,"mist",Table1[[#This Row],[weathersit]]=3,"partially dark",Table1[[#This Row],[weathersit]]=4,"rain")</f>
        <v>mist</v>
      </c>
    </row>
    <row r="224" spans="1:19" ht="15" customHeight="1" x14ac:dyDescent="0.3">
      <c r="A224" s="2">
        <v>223</v>
      </c>
      <c r="B224" s="3">
        <v>40766</v>
      </c>
      <c r="C224" s="2">
        <v>1</v>
      </c>
      <c r="D224" s="2">
        <v>0</v>
      </c>
      <c r="E224" s="2">
        <v>1</v>
      </c>
      <c r="F224" s="2">
        <v>13</v>
      </c>
      <c r="G224" s="2" t="b">
        <v>0</v>
      </c>
      <c r="H224" s="2">
        <v>1</v>
      </c>
      <c r="I224" s="2">
        <v>2</v>
      </c>
      <c r="J224" s="2">
        <v>0.2</v>
      </c>
      <c r="K224" s="4">
        <v>0.18179999999999999</v>
      </c>
      <c r="L224" s="4">
        <v>0.4</v>
      </c>
      <c r="M224" s="4">
        <v>0.28360000000000002</v>
      </c>
      <c r="N224" s="4">
        <v>50</v>
      </c>
      <c r="O224" s="2">
        <v>54</v>
      </c>
      <c r="P224" s="2" t="str">
        <f t="shared" si="3"/>
        <v>Thursday</v>
      </c>
      <c r="Q224" s="2" t="str">
        <f>IF(Table1[[#This Row],[temp]]&gt;=0.24,"cold","colder")</f>
        <v>colder</v>
      </c>
      <c r="R224" s="4">
        <v>4</v>
      </c>
      <c r="S224" s="16" t="str" cm="1">
        <f t="array" ref="S224">_xlfn.IFS(Table1[[#This Row],[weathersit]]=1,"clear sky",Table1[[#This Row],[weathersit]]=2,"mist",Table1[[#This Row],[weathersit]]=3,"partially dark",Table1[[#This Row],[weathersit]]=4,"rain")</f>
        <v>mist</v>
      </c>
    </row>
    <row r="225" spans="1:19" ht="15" customHeight="1" x14ac:dyDescent="0.3">
      <c r="A225" s="2">
        <v>224</v>
      </c>
      <c r="B225" s="3">
        <v>40767</v>
      </c>
      <c r="C225" s="2">
        <v>1</v>
      </c>
      <c r="D225" s="2">
        <v>0</v>
      </c>
      <c r="E225" s="2">
        <v>1</v>
      </c>
      <c r="F225" s="2">
        <v>14</v>
      </c>
      <c r="G225" s="2" t="b">
        <v>0</v>
      </c>
      <c r="H225" s="2">
        <v>1</v>
      </c>
      <c r="I225" s="2">
        <v>2</v>
      </c>
      <c r="J225" s="2">
        <v>0.2</v>
      </c>
      <c r="K225" s="4">
        <v>0.19700000000000001</v>
      </c>
      <c r="L225" s="4">
        <v>0.4</v>
      </c>
      <c r="M225" s="4">
        <v>0.22389999999999999</v>
      </c>
      <c r="N225" s="4">
        <v>47</v>
      </c>
      <c r="O225" s="2">
        <v>47</v>
      </c>
      <c r="P225" s="2" t="str">
        <f t="shared" si="3"/>
        <v>Friday</v>
      </c>
      <c r="Q225" s="2" t="str">
        <f>IF(Table1[[#This Row],[temp]]&gt;=0.24,"cold","colder")</f>
        <v>colder</v>
      </c>
      <c r="R225" s="4">
        <v>0</v>
      </c>
      <c r="S225" s="16" t="str" cm="1">
        <f t="array" ref="S225">_xlfn.IFS(Table1[[#This Row],[weathersit]]=1,"clear sky",Table1[[#This Row],[weathersit]]=2,"mist",Table1[[#This Row],[weathersit]]=3,"partially dark",Table1[[#This Row],[weathersit]]=4,"rain")</f>
        <v>mist</v>
      </c>
    </row>
    <row r="226" spans="1:19" ht="15" customHeight="1" x14ac:dyDescent="0.3">
      <c r="A226" s="2">
        <v>225</v>
      </c>
      <c r="B226" s="3">
        <v>40768</v>
      </c>
      <c r="C226" s="2">
        <v>1</v>
      </c>
      <c r="D226" s="2">
        <v>0</v>
      </c>
      <c r="E226" s="2">
        <v>1</v>
      </c>
      <c r="F226" s="2">
        <v>15</v>
      </c>
      <c r="G226" s="2" t="b">
        <v>0</v>
      </c>
      <c r="H226" s="2">
        <v>1</v>
      </c>
      <c r="I226" s="2">
        <v>2</v>
      </c>
      <c r="J226" s="2">
        <v>0.2</v>
      </c>
      <c r="K226" s="4">
        <v>0.19700000000000001</v>
      </c>
      <c r="L226" s="4">
        <v>0.4</v>
      </c>
      <c r="M226" s="4">
        <v>0.22389999999999999</v>
      </c>
      <c r="N226" s="4">
        <v>43</v>
      </c>
      <c r="O226" s="2">
        <v>45</v>
      </c>
      <c r="P226" s="2" t="str">
        <f t="shared" si="3"/>
        <v>Saturday</v>
      </c>
      <c r="Q226" s="2" t="str">
        <f>IF(Table1[[#This Row],[temp]]&gt;=0.24,"cold","colder")</f>
        <v>colder</v>
      </c>
      <c r="R226" s="4">
        <v>2</v>
      </c>
      <c r="S226" s="16" t="str" cm="1">
        <f t="array" ref="S226">_xlfn.IFS(Table1[[#This Row],[weathersit]]=1,"clear sky",Table1[[#This Row],[weathersit]]=2,"mist",Table1[[#This Row],[weathersit]]=3,"partially dark",Table1[[#This Row],[weathersit]]=4,"rain")</f>
        <v>mist</v>
      </c>
    </row>
    <row r="227" spans="1:19" ht="15" customHeight="1" x14ac:dyDescent="0.3">
      <c r="A227" s="2">
        <v>226</v>
      </c>
      <c r="B227" s="3">
        <v>40769</v>
      </c>
      <c r="C227" s="2">
        <v>1</v>
      </c>
      <c r="D227" s="2">
        <v>0</v>
      </c>
      <c r="E227" s="2">
        <v>1</v>
      </c>
      <c r="F227" s="2">
        <v>16</v>
      </c>
      <c r="G227" s="2" t="b">
        <v>0</v>
      </c>
      <c r="H227" s="2">
        <v>1</v>
      </c>
      <c r="I227" s="2">
        <v>1</v>
      </c>
      <c r="J227" s="2">
        <v>0.2</v>
      </c>
      <c r="K227" s="4">
        <v>0.21210000000000001</v>
      </c>
      <c r="L227" s="4">
        <v>0.4</v>
      </c>
      <c r="M227" s="4">
        <v>0.1343</v>
      </c>
      <c r="N227" s="4">
        <v>70</v>
      </c>
      <c r="O227" s="2">
        <v>74</v>
      </c>
      <c r="P227" s="2" t="str">
        <f t="shared" si="3"/>
        <v>Sunday</v>
      </c>
      <c r="Q227" s="2" t="str">
        <f>IF(Table1[[#This Row],[temp]]&gt;=0.24,"cold","colder")</f>
        <v>colder</v>
      </c>
      <c r="R227" s="4">
        <v>4</v>
      </c>
      <c r="S227" s="16" t="str" cm="1">
        <f t="array" ref="S227">_xlfn.IFS(Table1[[#This Row],[weathersit]]=1,"clear sky",Table1[[#This Row],[weathersit]]=2,"mist",Table1[[#This Row],[weathersit]]=3,"partially dark",Table1[[#This Row],[weathersit]]=4,"rain")</f>
        <v>clear sky</v>
      </c>
    </row>
    <row r="228" spans="1:19" ht="15" customHeight="1" x14ac:dyDescent="0.3">
      <c r="A228" s="2">
        <v>227</v>
      </c>
      <c r="B228" s="3">
        <v>40770</v>
      </c>
      <c r="C228" s="2">
        <v>1</v>
      </c>
      <c r="D228" s="2">
        <v>0</v>
      </c>
      <c r="E228" s="2">
        <v>1</v>
      </c>
      <c r="F228" s="2">
        <v>17</v>
      </c>
      <c r="G228" s="2" t="b">
        <v>0</v>
      </c>
      <c r="H228" s="2">
        <v>1</v>
      </c>
      <c r="I228" s="2">
        <v>1</v>
      </c>
      <c r="J228" s="2">
        <v>0.2</v>
      </c>
      <c r="K228" s="4">
        <v>0.2273</v>
      </c>
      <c r="L228" s="4">
        <v>0.4</v>
      </c>
      <c r="M228" s="4">
        <v>0.1045</v>
      </c>
      <c r="N228" s="4">
        <v>174</v>
      </c>
      <c r="O228" s="2">
        <v>178</v>
      </c>
      <c r="P228" s="2" t="str">
        <f t="shared" si="3"/>
        <v>Monday</v>
      </c>
      <c r="Q228" s="2" t="str">
        <f>IF(Table1[[#This Row],[temp]]&gt;=0.24,"cold","colder")</f>
        <v>colder</v>
      </c>
      <c r="R228" s="4">
        <v>4</v>
      </c>
      <c r="S228" s="16" t="str" cm="1">
        <f t="array" ref="S228">_xlfn.IFS(Table1[[#This Row],[weathersit]]=1,"clear sky",Table1[[#This Row],[weathersit]]=2,"mist",Table1[[#This Row],[weathersit]]=3,"partially dark",Table1[[#This Row],[weathersit]]=4,"rain")</f>
        <v>clear sky</v>
      </c>
    </row>
    <row r="229" spans="1:19" ht="15" customHeight="1" x14ac:dyDescent="0.3">
      <c r="A229" s="2">
        <v>228</v>
      </c>
      <c r="B229" s="3">
        <v>40771</v>
      </c>
      <c r="C229" s="2">
        <v>1</v>
      </c>
      <c r="D229" s="2">
        <v>0</v>
      </c>
      <c r="E229" s="2">
        <v>1</v>
      </c>
      <c r="F229" s="2">
        <v>18</v>
      </c>
      <c r="G229" s="2" t="b">
        <v>0</v>
      </c>
      <c r="H229" s="2">
        <v>1</v>
      </c>
      <c r="I229" s="2">
        <v>1</v>
      </c>
      <c r="J229" s="2">
        <v>0.2</v>
      </c>
      <c r="K229" s="4">
        <v>0.19700000000000001</v>
      </c>
      <c r="L229" s="4">
        <v>0.4</v>
      </c>
      <c r="M229" s="4">
        <v>0.22389999999999999</v>
      </c>
      <c r="N229" s="4">
        <v>154</v>
      </c>
      <c r="O229" s="2">
        <v>155</v>
      </c>
      <c r="P229" s="2" t="str">
        <f t="shared" si="3"/>
        <v>Tuesday</v>
      </c>
      <c r="Q229" s="2" t="str">
        <f>IF(Table1[[#This Row],[temp]]&gt;=0.24,"cold","colder")</f>
        <v>colder</v>
      </c>
      <c r="R229" s="4">
        <v>1</v>
      </c>
      <c r="S229" s="16" t="str" cm="1">
        <f t="array" ref="S229">_xlfn.IFS(Table1[[#This Row],[weathersit]]=1,"clear sky",Table1[[#This Row],[weathersit]]=2,"mist",Table1[[#This Row],[weathersit]]=3,"partially dark",Table1[[#This Row],[weathersit]]=4,"rain")</f>
        <v>clear sky</v>
      </c>
    </row>
    <row r="230" spans="1:19" ht="15" customHeight="1" x14ac:dyDescent="0.3">
      <c r="A230" s="2">
        <v>229</v>
      </c>
      <c r="B230" s="3">
        <v>40772</v>
      </c>
      <c r="C230" s="2">
        <v>1</v>
      </c>
      <c r="D230" s="2">
        <v>0</v>
      </c>
      <c r="E230" s="2">
        <v>1</v>
      </c>
      <c r="F230" s="2">
        <v>19</v>
      </c>
      <c r="G230" s="2" t="b">
        <v>0</v>
      </c>
      <c r="H230" s="2">
        <v>1</v>
      </c>
      <c r="I230" s="2">
        <v>1</v>
      </c>
      <c r="J230" s="2">
        <v>0.16</v>
      </c>
      <c r="K230" s="4">
        <v>0.16669999999999999</v>
      </c>
      <c r="L230" s="4">
        <v>0.47</v>
      </c>
      <c r="M230" s="4">
        <v>0.16420000000000001</v>
      </c>
      <c r="N230" s="4">
        <v>92</v>
      </c>
      <c r="O230" s="2">
        <v>95</v>
      </c>
      <c r="P230" s="2" t="str">
        <f t="shared" si="3"/>
        <v>Wednesday</v>
      </c>
      <c r="Q230" s="2" t="str">
        <f>IF(Table1[[#This Row],[temp]]&gt;=0.24,"cold","colder")</f>
        <v>colder</v>
      </c>
      <c r="R230" s="4">
        <v>3</v>
      </c>
      <c r="S230" s="16" t="str" cm="1">
        <f t="array" ref="S230">_xlfn.IFS(Table1[[#This Row],[weathersit]]=1,"clear sky",Table1[[#This Row],[weathersit]]=2,"mist",Table1[[#This Row],[weathersit]]=3,"partially dark",Table1[[#This Row],[weathersit]]=4,"rain")</f>
        <v>clear sky</v>
      </c>
    </row>
    <row r="231" spans="1:19" ht="15" customHeight="1" x14ac:dyDescent="0.3">
      <c r="A231" s="2">
        <v>230</v>
      </c>
      <c r="B231" s="3">
        <v>40773</v>
      </c>
      <c r="C231" s="2">
        <v>1</v>
      </c>
      <c r="D231" s="2">
        <v>0</v>
      </c>
      <c r="E231" s="2">
        <v>1</v>
      </c>
      <c r="F231" s="2">
        <v>20</v>
      </c>
      <c r="G231" s="2" t="b">
        <v>0</v>
      </c>
      <c r="H231" s="2">
        <v>1</v>
      </c>
      <c r="I231" s="2">
        <v>1</v>
      </c>
      <c r="J231" s="2">
        <v>0.16</v>
      </c>
      <c r="K231" s="4">
        <v>0.16669999999999999</v>
      </c>
      <c r="L231" s="4">
        <v>0.5</v>
      </c>
      <c r="M231" s="4">
        <v>0.16420000000000001</v>
      </c>
      <c r="N231" s="4">
        <v>73</v>
      </c>
      <c r="O231" s="2">
        <v>74</v>
      </c>
      <c r="P231" s="2" t="str">
        <f t="shared" si="3"/>
        <v>Thursday</v>
      </c>
      <c r="Q231" s="2" t="str">
        <f>IF(Table1[[#This Row],[temp]]&gt;=0.24,"cold","colder")</f>
        <v>colder</v>
      </c>
      <c r="R231" s="4">
        <v>1</v>
      </c>
      <c r="S231" s="16" t="str" cm="1">
        <f t="array" ref="S231">_xlfn.IFS(Table1[[#This Row],[weathersit]]=1,"clear sky",Table1[[#This Row],[weathersit]]=2,"mist",Table1[[#This Row],[weathersit]]=3,"partially dark",Table1[[#This Row],[weathersit]]=4,"rain")</f>
        <v>clear sky</v>
      </c>
    </row>
    <row r="232" spans="1:19" ht="15" customHeight="1" x14ac:dyDescent="0.3">
      <c r="A232" s="2">
        <v>231</v>
      </c>
      <c r="B232" s="3">
        <v>40774</v>
      </c>
      <c r="C232" s="2">
        <v>1</v>
      </c>
      <c r="D232" s="2">
        <v>0</v>
      </c>
      <c r="E232" s="2">
        <v>1</v>
      </c>
      <c r="F232" s="2">
        <v>21</v>
      </c>
      <c r="G232" s="2" t="b">
        <v>0</v>
      </c>
      <c r="H232" s="2">
        <v>1</v>
      </c>
      <c r="I232" s="2">
        <v>1</v>
      </c>
      <c r="J232" s="2">
        <v>0.14000000000000001</v>
      </c>
      <c r="K232" s="4">
        <v>0.13639999999999999</v>
      </c>
      <c r="L232" s="4">
        <v>0.59</v>
      </c>
      <c r="M232" s="4">
        <v>0.19400000000000001</v>
      </c>
      <c r="N232" s="4">
        <v>37</v>
      </c>
      <c r="O232" s="2">
        <v>38</v>
      </c>
      <c r="P232" s="2" t="str">
        <f t="shared" si="3"/>
        <v>Friday</v>
      </c>
      <c r="Q232" s="2" t="str">
        <f>IF(Table1[[#This Row],[temp]]&gt;=0.24,"cold","colder")</f>
        <v>colder</v>
      </c>
      <c r="R232" s="4">
        <v>1</v>
      </c>
      <c r="S232" s="16" t="str" cm="1">
        <f t="array" ref="S232">_xlfn.IFS(Table1[[#This Row],[weathersit]]=1,"clear sky",Table1[[#This Row],[weathersit]]=2,"mist",Table1[[#This Row],[weathersit]]=3,"partially dark",Table1[[#This Row],[weathersit]]=4,"rain")</f>
        <v>clear sky</v>
      </c>
    </row>
    <row r="233" spans="1:19" ht="15" customHeight="1" x14ac:dyDescent="0.3">
      <c r="A233" s="2">
        <v>232</v>
      </c>
      <c r="B233" s="3">
        <v>40775</v>
      </c>
      <c r="C233" s="2">
        <v>1</v>
      </c>
      <c r="D233" s="2">
        <v>0</v>
      </c>
      <c r="E233" s="2">
        <v>1</v>
      </c>
      <c r="F233" s="2">
        <v>22</v>
      </c>
      <c r="G233" s="2" t="b">
        <v>0</v>
      </c>
      <c r="H233" s="2">
        <v>1</v>
      </c>
      <c r="I233" s="2">
        <v>1</v>
      </c>
      <c r="J233" s="2">
        <v>0.14000000000000001</v>
      </c>
      <c r="K233" s="4">
        <v>0.1515</v>
      </c>
      <c r="L233" s="4">
        <v>0.59</v>
      </c>
      <c r="M233" s="4">
        <v>0.16420000000000001</v>
      </c>
      <c r="N233" s="4">
        <v>22</v>
      </c>
      <c r="O233" s="2">
        <v>24</v>
      </c>
      <c r="P233" s="2" t="str">
        <f t="shared" si="3"/>
        <v>Saturday</v>
      </c>
      <c r="Q233" s="2" t="str">
        <f>IF(Table1[[#This Row],[temp]]&gt;=0.24,"cold","colder")</f>
        <v>colder</v>
      </c>
      <c r="R233" s="4">
        <v>2</v>
      </c>
      <c r="S233" s="16" t="str" cm="1">
        <f t="array" ref="S233">_xlfn.IFS(Table1[[#This Row],[weathersit]]=1,"clear sky",Table1[[#This Row],[weathersit]]=2,"mist",Table1[[#This Row],[weathersit]]=3,"partially dark",Table1[[#This Row],[weathersit]]=4,"rain")</f>
        <v>clear sky</v>
      </c>
    </row>
    <row r="234" spans="1:19" ht="15" customHeight="1" x14ac:dyDescent="0.3">
      <c r="A234" s="2">
        <v>233</v>
      </c>
      <c r="B234" s="3">
        <v>40776</v>
      </c>
      <c r="C234" s="2">
        <v>1</v>
      </c>
      <c r="D234" s="2">
        <v>0</v>
      </c>
      <c r="E234" s="2">
        <v>1</v>
      </c>
      <c r="F234" s="2">
        <v>23</v>
      </c>
      <c r="G234" s="2" t="b">
        <v>0</v>
      </c>
      <c r="H234" s="2">
        <v>1</v>
      </c>
      <c r="I234" s="2">
        <v>1</v>
      </c>
      <c r="J234" s="2">
        <v>0.14000000000000001</v>
      </c>
      <c r="K234" s="4">
        <v>0.1515</v>
      </c>
      <c r="L234" s="4">
        <v>0.59</v>
      </c>
      <c r="M234" s="4">
        <v>0.16420000000000001</v>
      </c>
      <c r="N234" s="4">
        <v>18</v>
      </c>
      <c r="O234" s="2">
        <v>18</v>
      </c>
      <c r="P234" s="2" t="str">
        <f t="shared" si="3"/>
        <v>Sunday</v>
      </c>
      <c r="Q234" s="2" t="str">
        <f>IF(Table1[[#This Row],[temp]]&gt;=0.24,"cold","colder")</f>
        <v>colder</v>
      </c>
      <c r="R234" s="4">
        <v>0</v>
      </c>
      <c r="S234" s="16" t="str" cm="1">
        <f t="array" ref="S234">_xlfn.IFS(Table1[[#This Row],[weathersit]]=1,"clear sky",Table1[[#This Row],[weathersit]]=2,"mist",Table1[[#This Row],[weathersit]]=3,"partially dark",Table1[[#This Row],[weathersit]]=4,"rain")</f>
        <v>clear sky</v>
      </c>
    </row>
    <row r="235" spans="1:19" ht="15" customHeight="1" x14ac:dyDescent="0.3">
      <c r="A235" s="2">
        <v>234</v>
      </c>
      <c r="B235" s="3">
        <v>40777</v>
      </c>
      <c r="C235" s="2">
        <v>1</v>
      </c>
      <c r="D235" s="2">
        <v>0</v>
      </c>
      <c r="E235" s="2">
        <v>1</v>
      </c>
      <c r="F235" s="2">
        <v>0</v>
      </c>
      <c r="G235" s="2" t="b">
        <v>0</v>
      </c>
      <c r="H235" s="2">
        <v>2</v>
      </c>
      <c r="I235" s="2">
        <v>1</v>
      </c>
      <c r="J235" s="2">
        <v>0.14000000000000001</v>
      </c>
      <c r="K235" s="4">
        <v>0.16669999999999999</v>
      </c>
      <c r="L235" s="4">
        <v>0.59</v>
      </c>
      <c r="M235" s="4">
        <v>0.1045</v>
      </c>
      <c r="N235" s="4">
        <v>10</v>
      </c>
      <c r="O235" s="2">
        <v>12</v>
      </c>
      <c r="P235" s="2" t="str">
        <f t="shared" si="3"/>
        <v>Monday</v>
      </c>
      <c r="Q235" s="2" t="str">
        <f>IF(Table1[[#This Row],[temp]]&gt;=0.24,"cold","colder")</f>
        <v>colder</v>
      </c>
      <c r="R235" s="4">
        <v>2</v>
      </c>
      <c r="S235" s="16" t="str" cm="1">
        <f t="array" ref="S235">_xlfn.IFS(Table1[[#This Row],[weathersit]]=1,"clear sky",Table1[[#This Row],[weathersit]]=2,"mist",Table1[[#This Row],[weathersit]]=3,"partially dark",Table1[[#This Row],[weathersit]]=4,"rain")</f>
        <v>clear sky</v>
      </c>
    </row>
    <row r="236" spans="1:19" ht="15" customHeight="1" x14ac:dyDescent="0.3">
      <c r="A236" s="2">
        <v>235</v>
      </c>
      <c r="B236" s="3">
        <v>40778</v>
      </c>
      <c r="C236" s="2">
        <v>1</v>
      </c>
      <c r="D236" s="2">
        <v>0</v>
      </c>
      <c r="E236" s="2">
        <v>1</v>
      </c>
      <c r="F236" s="2">
        <v>1</v>
      </c>
      <c r="G236" s="2" t="b">
        <v>0</v>
      </c>
      <c r="H236" s="2">
        <v>2</v>
      </c>
      <c r="I236" s="2">
        <v>1</v>
      </c>
      <c r="J236" s="2">
        <v>0.14000000000000001</v>
      </c>
      <c r="K236" s="4">
        <v>0.1515</v>
      </c>
      <c r="L236" s="4">
        <v>0.59</v>
      </c>
      <c r="M236" s="4">
        <v>0.16420000000000001</v>
      </c>
      <c r="N236" s="4">
        <v>3</v>
      </c>
      <c r="O236" s="2">
        <v>3</v>
      </c>
      <c r="P236" s="2" t="str">
        <f t="shared" si="3"/>
        <v>Tuesday</v>
      </c>
      <c r="Q236" s="2" t="str">
        <f>IF(Table1[[#This Row],[temp]]&gt;=0.24,"cold","colder")</f>
        <v>colder</v>
      </c>
      <c r="R236" s="4">
        <v>0</v>
      </c>
      <c r="S236" s="16" t="str" cm="1">
        <f t="array" ref="S236">_xlfn.IFS(Table1[[#This Row],[weathersit]]=1,"clear sky",Table1[[#This Row],[weathersit]]=2,"mist",Table1[[#This Row],[weathersit]]=3,"partially dark",Table1[[#This Row],[weathersit]]=4,"rain")</f>
        <v>clear sky</v>
      </c>
    </row>
    <row r="237" spans="1:19" ht="15" customHeight="1" x14ac:dyDescent="0.3">
      <c r="A237" s="2">
        <v>236</v>
      </c>
      <c r="B237" s="3">
        <v>40779</v>
      </c>
      <c r="C237" s="2">
        <v>1</v>
      </c>
      <c r="D237" s="2">
        <v>0</v>
      </c>
      <c r="E237" s="2">
        <v>1</v>
      </c>
      <c r="F237" s="2">
        <v>2</v>
      </c>
      <c r="G237" s="2" t="b">
        <v>0</v>
      </c>
      <c r="H237" s="2">
        <v>2</v>
      </c>
      <c r="I237" s="2">
        <v>2</v>
      </c>
      <c r="J237" s="2">
        <v>0.16</v>
      </c>
      <c r="K237" s="4">
        <v>0.1515</v>
      </c>
      <c r="L237" s="4">
        <v>0.55000000000000004</v>
      </c>
      <c r="M237" s="4">
        <v>0.19400000000000001</v>
      </c>
      <c r="N237" s="4">
        <v>3</v>
      </c>
      <c r="O237" s="2">
        <v>3</v>
      </c>
      <c r="P237" s="2" t="str">
        <f t="shared" si="3"/>
        <v>Wednesday</v>
      </c>
      <c r="Q237" s="2" t="str">
        <f>IF(Table1[[#This Row],[temp]]&gt;=0.24,"cold","colder")</f>
        <v>colder</v>
      </c>
      <c r="R237" s="4">
        <v>0</v>
      </c>
      <c r="S237" s="16" t="str" cm="1">
        <f t="array" ref="S237">_xlfn.IFS(Table1[[#This Row],[weathersit]]=1,"clear sky",Table1[[#This Row],[weathersit]]=2,"mist",Table1[[#This Row],[weathersit]]=3,"partially dark",Table1[[#This Row],[weathersit]]=4,"rain")</f>
        <v>mist</v>
      </c>
    </row>
    <row r="238" spans="1:19" ht="15" customHeight="1" x14ac:dyDescent="0.3">
      <c r="A238" s="2">
        <v>237</v>
      </c>
      <c r="B238" s="3">
        <v>40780</v>
      </c>
      <c r="C238" s="2">
        <v>1</v>
      </c>
      <c r="D238" s="2">
        <v>0</v>
      </c>
      <c r="E238" s="2">
        <v>1</v>
      </c>
      <c r="F238" s="2">
        <v>5</v>
      </c>
      <c r="G238" s="2" t="b">
        <v>0</v>
      </c>
      <c r="H238" s="2">
        <v>2</v>
      </c>
      <c r="I238" s="2">
        <v>2</v>
      </c>
      <c r="J238" s="2">
        <v>0.16</v>
      </c>
      <c r="K238" s="4">
        <v>0.18179999999999999</v>
      </c>
      <c r="L238" s="4">
        <v>0.55000000000000004</v>
      </c>
      <c r="M238" s="4">
        <v>0.1343</v>
      </c>
      <c r="N238" s="4">
        <v>6</v>
      </c>
      <c r="O238" s="2">
        <v>6</v>
      </c>
      <c r="P238" s="2" t="str">
        <f t="shared" si="3"/>
        <v>Thursday</v>
      </c>
      <c r="Q238" s="2" t="str">
        <f>IF(Table1[[#This Row],[temp]]&gt;=0.24,"cold","colder")</f>
        <v>colder</v>
      </c>
      <c r="R238" s="4">
        <v>0</v>
      </c>
      <c r="S238" s="16" t="str" cm="1">
        <f t="array" ref="S238">_xlfn.IFS(Table1[[#This Row],[weathersit]]=1,"clear sky",Table1[[#This Row],[weathersit]]=2,"mist",Table1[[#This Row],[weathersit]]=3,"partially dark",Table1[[#This Row],[weathersit]]=4,"rain")</f>
        <v>mist</v>
      </c>
    </row>
    <row r="239" spans="1:19" ht="15" customHeight="1" x14ac:dyDescent="0.3">
      <c r="A239" s="2">
        <v>238</v>
      </c>
      <c r="B239" s="3">
        <v>40781</v>
      </c>
      <c r="C239" s="2">
        <v>1</v>
      </c>
      <c r="D239" s="2">
        <v>0</v>
      </c>
      <c r="E239" s="2">
        <v>1</v>
      </c>
      <c r="F239" s="2">
        <v>6</v>
      </c>
      <c r="G239" s="2" t="b">
        <v>0</v>
      </c>
      <c r="H239" s="2">
        <v>2</v>
      </c>
      <c r="I239" s="2">
        <v>2</v>
      </c>
      <c r="J239" s="2">
        <v>0.16</v>
      </c>
      <c r="K239" s="4">
        <v>0.18179999999999999</v>
      </c>
      <c r="L239" s="4">
        <v>0.55000000000000004</v>
      </c>
      <c r="M239" s="4">
        <v>0.1343</v>
      </c>
      <c r="N239" s="4">
        <v>27</v>
      </c>
      <c r="O239" s="2">
        <v>27</v>
      </c>
      <c r="P239" s="2" t="str">
        <f t="shared" si="3"/>
        <v>Friday</v>
      </c>
      <c r="Q239" s="2" t="str">
        <f>IF(Table1[[#This Row],[temp]]&gt;=0.24,"cold","colder")</f>
        <v>colder</v>
      </c>
      <c r="R239" s="4">
        <v>0</v>
      </c>
      <c r="S239" s="16" t="str" cm="1">
        <f t="array" ref="S239">_xlfn.IFS(Table1[[#This Row],[weathersit]]=1,"clear sky",Table1[[#This Row],[weathersit]]=2,"mist",Table1[[#This Row],[weathersit]]=3,"partially dark",Table1[[#This Row],[weathersit]]=4,"rain")</f>
        <v>mist</v>
      </c>
    </row>
    <row r="240" spans="1:19" ht="15" customHeight="1" x14ac:dyDescent="0.3">
      <c r="A240" s="2">
        <v>239</v>
      </c>
      <c r="B240" s="3">
        <v>40782</v>
      </c>
      <c r="C240" s="2">
        <v>1</v>
      </c>
      <c r="D240" s="2">
        <v>0</v>
      </c>
      <c r="E240" s="2">
        <v>1</v>
      </c>
      <c r="F240" s="2">
        <v>7</v>
      </c>
      <c r="G240" s="2" t="b">
        <v>0</v>
      </c>
      <c r="H240" s="2">
        <v>2</v>
      </c>
      <c r="I240" s="2">
        <v>2</v>
      </c>
      <c r="J240" s="2">
        <v>0.16</v>
      </c>
      <c r="K240" s="4">
        <v>0.2273</v>
      </c>
      <c r="L240" s="4">
        <v>0.55000000000000004</v>
      </c>
      <c r="M240" s="4">
        <v>0</v>
      </c>
      <c r="N240" s="4">
        <v>97</v>
      </c>
      <c r="O240" s="2">
        <v>99</v>
      </c>
      <c r="P240" s="2" t="str">
        <f t="shared" si="3"/>
        <v>Saturday</v>
      </c>
      <c r="Q240" s="2" t="str">
        <f>IF(Table1[[#This Row],[temp]]&gt;=0.24,"cold","colder")</f>
        <v>colder</v>
      </c>
      <c r="R240" s="4">
        <v>2</v>
      </c>
      <c r="S240" s="16" t="str" cm="1">
        <f t="array" ref="S240">_xlfn.IFS(Table1[[#This Row],[weathersit]]=1,"clear sky",Table1[[#This Row],[weathersit]]=2,"mist",Table1[[#This Row],[weathersit]]=3,"partially dark",Table1[[#This Row],[weathersit]]=4,"rain")</f>
        <v>mist</v>
      </c>
    </row>
    <row r="241" spans="1:19" ht="15" customHeight="1" x14ac:dyDescent="0.3">
      <c r="A241" s="2">
        <v>240</v>
      </c>
      <c r="B241" s="3">
        <v>40783</v>
      </c>
      <c r="C241" s="2">
        <v>1</v>
      </c>
      <c r="D241" s="2">
        <v>0</v>
      </c>
      <c r="E241" s="2">
        <v>1</v>
      </c>
      <c r="F241" s="2">
        <v>8</v>
      </c>
      <c r="G241" s="2" t="b">
        <v>0</v>
      </c>
      <c r="H241" s="2">
        <v>2</v>
      </c>
      <c r="I241" s="2">
        <v>2</v>
      </c>
      <c r="J241" s="2">
        <v>0.18</v>
      </c>
      <c r="K241" s="4">
        <v>0.21210000000000001</v>
      </c>
      <c r="L241" s="4">
        <v>0.51</v>
      </c>
      <c r="M241" s="4">
        <v>8.9599999999999999E-2</v>
      </c>
      <c r="N241" s="4">
        <v>214</v>
      </c>
      <c r="O241" s="2">
        <v>217</v>
      </c>
      <c r="P241" s="2" t="str">
        <f t="shared" si="3"/>
        <v>Sunday</v>
      </c>
      <c r="Q241" s="2" t="str">
        <f>IF(Table1[[#This Row],[temp]]&gt;=0.24,"cold","colder")</f>
        <v>colder</v>
      </c>
      <c r="R241" s="4">
        <v>3</v>
      </c>
      <c r="S241" s="16" t="str" cm="1">
        <f t="array" ref="S241">_xlfn.IFS(Table1[[#This Row],[weathersit]]=1,"clear sky",Table1[[#This Row],[weathersit]]=2,"mist",Table1[[#This Row],[weathersit]]=3,"partially dark",Table1[[#This Row],[weathersit]]=4,"rain")</f>
        <v>mist</v>
      </c>
    </row>
    <row r="242" spans="1:19" ht="15" customHeight="1" x14ac:dyDescent="0.3">
      <c r="A242" s="2">
        <v>241</v>
      </c>
      <c r="B242" s="3">
        <v>40784</v>
      </c>
      <c r="C242" s="2">
        <v>1</v>
      </c>
      <c r="D242" s="2">
        <v>0</v>
      </c>
      <c r="E242" s="2">
        <v>1</v>
      </c>
      <c r="F242" s="2">
        <v>9</v>
      </c>
      <c r="G242" s="2" t="b">
        <v>0</v>
      </c>
      <c r="H242" s="2">
        <v>2</v>
      </c>
      <c r="I242" s="2">
        <v>2</v>
      </c>
      <c r="J242" s="2">
        <v>0.18</v>
      </c>
      <c r="K242" s="4">
        <v>0.19700000000000001</v>
      </c>
      <c r="L242" s="4">
        <v>0.51</v>
      </c>
      <c r="M242" s="4">
        <v>0.16420000000000001</v>
      </c>
      <c r="N242" s="4">
        <v>127</v>
      </c>
      <c r="O242" s="2">
        <v>130</v>
      </c>
      <c r="P242" s="2" t="str">
        <f t="shared" si="3"/>
        <v>Monday</v>
      </c>
      <c r="Q242" s="2" t="str">
        <f>IF(Table1[[#This Row],[temp]]&gt;=0.24,"cold","colder")</f>
        <v>colder</v>
      </c>
      <c r="R242" s="4">
        <v>3</v>
      </c>
      <c r="S242" s="16" t="str" cm="1">
        <f t="array" ref="S242">_xlfn.IFS(Table1[[#This Row],[weathersit]]=1,"clear sky",Table1[[#This Row],[weathersit]]=2,"mist",Table1[[#This Row],[weathersit]]=3,"partially dark",Table1[[#This Row],[weathersit]]=4,"rain")</f>
        <v>mist</v>
      </c>
    </row>
    <row r="243" spans="1:19" ht="15" customHeight="1" x14ac:dyDescent="0.3">
      <c r="A243" s="2">
        <v>242</v>
      </c>
      <c r="B243" s="3">
        <v>40785</v>
      </c>
      <c r="C243" s="2">
        <v>1</v>
      </c>
      <c r="D243" s="2">
        <v>0</v>
      </c>
      <c r="E243" s="2">
        <v>1</v>
      </c>
      <c r="F243" s="2">
        <v>10</v>
      </c>
      <c r="G243" s="2" t="b">
        <v>0</v>
      </c>
      <c r="H243" s="2">
        <v>2</v>
      </c>
      <c r="I243" s="2">
        <v>2</v>
      </c>
      <c r="J243" s="2">
        <v>0.2</v>
      </c>
      <c r="K243" s="4">
        <v>0.21210000000000001</v>
      </c>
      <c r="L243" s="4">
        <v>0.51</v>
      </c>
      <c r="M243" s="4">
        <v>0.16420000000000001</v>
      </c>
      <c r="N243" s="4">
        <v>51</v>
      </c>
      <c r="O243" s="2">
        <v>54</v>
      </c>
      <c r="P243" s="2" t="str">
        <f t="shared" si="3"/>
        <v>Tuesday</v>
      </c>
      <c r="Q243" s="2" t="str">
        <f>IF(Table1[[#This Row],[temp]]&gt;=0.24,"cold","colder")</f>
        <v>colder</v>
      </c>
      <c r="R243" s="4">
        <v>3</v>
      </c>
      <c r="S243" s="16" t="str" cm="1">
        <f t="array" ref="S243">_xlfn.IFS(Table1[[#This Row],[weathersit]]=1,"clear sky",Table1[[#This Row],[weathersit]]=2,"mist",Table1[[#This Row],[weathersit]]=3,"partially dark",Table1[[#This Row],[weathersit]]=4,"rain")</f>
        <v>mist</v>
      </c>
    </row>
    <row r="244" spans="1:19" ht="15" customHeight="1" x14ac:dyDescent="0.3">
      <c r="A244" s="2">
        <v>243</v>
      </c>
      <c r="B244" s="3">
        <v>40786</v>
      </c>
      <c r="C244" s="2">
        <v>1</v>
      </c>
      <c r="D244" s="2">
        <v>0</v>
      </c>
      <c r="E244" s="2">
        <v>1</v>
      </c>
      <c r="F244" s="2">
        <v>11</v>
      </c>
      <c r="G244" s="2" t="b">
        <v>0</v>
      </c>
      <c r="H244" s="2">
        <v>2</v>
      </c>
      <c r="I244" s="2">
        <v>2</v>
      </c>
      <c r="J244" s="2">
        <v>0.2</v>
      </c>
      <c r="K244" s="4">
        <v>0.21210000000000001</v>
      </c>
      <c r="L244" s="4">
        <v>0.47</v>
      </c>
      <c r="M244" s="4">
        <v>0.1343</v>
      </c>
      <c r="N244" s="4">
        <v>31</v>
      </c>
      <c r="O244" s="2">
        <v>35</v>
      </c>
      <c r="P244" s="2" t="str">
        <f t="shared" si="3"/>
        <v>Wednesday</v>
      </c>
      <c r="Q244" s="2" t="str">
        <f>IF(Table1[[#This Row],[temp]]&gt;=0.24,"cold","colder")</f>
        <v>colder</v>
      </c>
      <c r="R244" s="4">
        <v>4</v>
      </c>
      <c r="S244" s="16" t="str" cm="1">
        <f t="array" ref="S244">_xlfn.IFS(Table1[[#This Row],[weathersit]]=1,"clear sky",Table1[[#This Row],[weathersit]]=2,"mist",Table1[[#This Row],[weathersit]]=3,"partially dark",Table1[[#This Row],[weathersit]]=4,"rain")</f>
        <v>mist</v>
      </c>
    </row>
    <row r="245" spans="1:19" ht="15" customHeight="1" x14ac:dyDescent="0.3">
      <c r="A245" s="2">
        <v>244</v>
      </c>
      <c r="B245" s="3">
        <v>40787</v>
      </c>
      <c r="C245" s="2">
        <v>1</v>
      </c>
      <c r="D245" s="2">
        <v>0</v>
      </c>
      <c r="E245" s="2">
        <v>1</v>
      </c>
      <c r="F245" s="2">
        <v>12</v>
      </c>
      <c r="G245" s="2" t="b">
        <v>0</v>
      </c>
      <c r="H245" s="2">
        <v>2</v>
      </c>
      <c r="I245" s="2">
        <v>2</v>
      </c>
      <c r="J245" s="2">
        <v>0.2</v>
      </c>
      <c r="K245" s="4">
        <v>0.2273</v>
      </c>
      <c r="L245" s="4">
        <v>0.51</v>
      </c>
      <c r="M245" s="4">
        <v>0.1045</v>
      </c>
      <c r="N245" s="4">
        <v>55</v>
      </c>
      <c r="O245" s="2">
        <v>57</v>
      </c>
      <c r="P245" s="2" t="str">
        <f t="shared" si="3"/>
        <v>Thursday</v>
      </c>
      <c r="Q245" s="2" t="str">
        <f>IF(Table1[[#This Row],[temp]]&gt;=0.24,"cold","colder")</f>
        <v>colder</v>
      </c>
      <c r="R245" s="4">
        <v>2</v>
      </c>
      <c r="S245" s="16" t="str" cm="1">
        <f t="array" ref="S245">_xlfn.IFS(Table1[[#This Row],[weathersit]]=1,"clear sky",Table1[[#This Row],[weathersit]]=2,"mist",Table1[[#This Row],[weathersit]]=3,"partially dark",Table1[[#This Row],[weathersit]]=4,"rain")</f>
        <v>mist</v>
      </c>
    </row>
    <row r="246" spans="1:19" ht="15" customHeight="1" x14ac:dyDescent="0.3">
      <c r="A246" s="2">
        <v>245</v>
      </c>
      <c r="B246" s="3">
        <v>40788</v>
      </c>
      <c r="C246" s="2">
        <v>1</v>
      </c>
      <c r="D246" s="2">
        <v>0</v>
      </c>
      <c r="E246" s="2">
        <v>1</v>
      </c>
      <c r="F246" s="2">
        <v>13</v>
      </c>
      <c r="G246" s="2" t="b">
        <v>0</v>
      </c>
      <c r="H246" s="2">
        <v>2</v>
      </c>
      <c r="I246" s="2">
        <v>2</v>
      </c>
      <c r="J246" s="2">
        <v>0.2</v>
      </c>
      <c r="K246" s="4">
        <v>0.2273</v>
      </c>
      <c r="L246" s="4">
        <v>0.59</v>
      </c>
      <c r="M246" s="4">
        <v>8.9599999999999999E-2</v>
      </c>
      <c r="N246" s="4">
        <v>46</v>
      </c>
      <c r="O246" s="2">
        <v>52</v>
      </c>
      <c r="P246" s="2" t="str">
        <f t="shared" si="3"/>
        <v>Friday</v>
      </c>
      <c r="Q246" s="2" t="str">
        <f>IF(Table1[[#This Row],[temp]]&gt;=0.24,"cold","colder")</f>
        <v>colder</v>
      </c>
      <c r="R246" s="4">
        <v>6</v>
      </c>
      <c r="S246" s="16" t="str" cm="1">
        <f t="array" ref="S246">_xlfn.IFS(Table1[[#This Row],[weathersit]]=1,"clear sky",Table1[[#This Row],[weathersit]]=2,"mist",Table1[[#This Row],[weathersit]]=3,"partially dark",Table1[[#This Row],[weathersit]]=4,"rain")</f>
        <v>mist</v>
      </c>
    </row>
    <row r="247" spans="1:19" ht="15" customHeight="1" x14ac:dyDescent="0.3">
      <c r="A247" s="2">
        <v>246</v>
      </c>
      <c r="B247" s="3">
        <v>40789</v>
      </c>
      <c r="C247" s="2">
        <v>1</v>
      </c>
      <c r="D247" s="2">
        <v>0</v>
      </c>
      <c r="E247" s="2">
        <v>1</v>
      </c>
      <c r="F247" s="2">
        <v>14</v>
      </c>
      <c r="G247" s="2" t="b">
        <v>0</v>
      </c>
      <c r="H247" s="2">
        <v>2</v>
      </c>
      <c r="I247" s="2">
        <v>2</v>
      </c>
      <c r="J247" s="2">
        <v>0.2</v>
      </c>
      <c r="K247" s="4">
        <v>0.2273</v>
      </c>
      <c r="L247" s="4">
        <v>0.59</v>
      </c>
      <c r="M247" s="4">
        <v>8.9599999999999999E-2</v>
      </c>
      <c r="N247" s="4">
        <v>60</v>
      </c>
      <c r="O247" s="2">
        <v>63</v>
      </c>
      <c r="P247" s="2" t="str">
        <f t="shared" si="3"/>
        <v>Saturday</v>
      </c>
      <c r="Q247" s="2" t="str">
        <f>IF(Table1[[#This Row],[temp]]&gt;=0.24,"cold","colder")</f>
        <v>colder</v>
      </c>
      <c r="R247" s="4">
        <v>3</v>
      </c>
      <c r="S247" s="16" t="str" cm="1">
        <f t="array" ref="S247">_xlfn.IFS(Table1[[#This Row],[weathersit]]=1,"clear sky",Table1[[#This Row],[weathersit]]=2,"mist",Table1[[#This Row],[weathersit]]=3,"partially dark",Table1[[#This Row],[weathersit]]=4,"rain")</f>
        <v>mist</v>
      </c>
    </row>
    <row r="248" spans="1:19" ht="15" customHeight="1" x14ac:dyDescent="0.3">
      <c r="A248" s="2">
        <v>247</v>
      </c>
      <c r="B248" s="3">
        <v>40790</v>
      </c>
      <c r="C248" s="2">
        <v>1</v>
      </c>
      <c r="D248" s="2">
        <v>0</v>
      </c>
      <c r="E248" s="2">
        <v>1</v>
      </c>
      <c r="F248" s="2">
        <v>15</v>
      </c>
      <c r="G248" s="2" t="b">
        <v>0</v>
      </c>
      <c r="H248" s="2">
        <v>2</v>
      </c>
      <c r="I248" s="2">
        <v>2</v>
      </c>
      <c r="J248" s="2">
        <v>0.16</v>
      </c>
      <c r="K248" s="4">
        <v>0.19700000000000001</v>
      </c>
      <c r="L248" s="4">
        <v>0.8</v>
      </c>
      <c r="M248" s="4">
        <v>8.9599999999999999E-2</v>
      </c>
      <c r="N248" s="4">
        <v>45</v>
      </c>
      <c r="O248" s="2">
        <v>47</v>
      </c>
      <c r="P248" s="2" t="str">
        <f t="shared" si="3"/>
        <v>Sunday</v>
      </c>
      <c r="Q248" s="2" t="str">
        <f>IF(Table1[[#This Row],[temp]]&gt;=0.24,"cold","colder")</f>
        <v>colder</v>
      </c>
      <c r="R248" s="4">
        <v>2</v>
      </c>
      <c r="S248" s="16" t="str" cm="1">
        <f t="array" ref="S248">_xlfn.IFS(Table1[[#This Row],[weathersit]]=1,"clear sky",Table1[[#This Row],[weathersit]]=2,"mist",Table1[[#This Row],[weathersit]]=3,"partially dark",Table1[[#This Row],[weathersit]]=4,"rain")</f>
        <v>mist</v>
      </c>
    </row>
    <row r="249" spans="1:19" ht="15" customHeight="1" x14ac:dyDescent="0.3">
      <c r="A249" s="2">
        <v>248</v>
      </c>
      <c r="B249" s="3">
        <v>40791</v>
      </c>
      <c r="C249" s="2">
        <v>1</v>
      </c>
      <c r="D249" s="2">
        <v>0</v>
      </c>
      <c r="E249" s="2">
        <v>1</v>
      </c>
      <c r="F249" s="2">
        <v>16</v>
      </c>
      <c r="G249" s="2" t="b">
        <v>0</v>
      </c>
      <c r="H249" s="2">
        <v>2</v>
      </c>
      <c r="I249" s="2">
        <v>2</v>
      </c>
      <c r="J249" s="2">
        <v>0.16</v>
      </c>
      <c r="K249" s="4">
        <v>0.1515</v>
      </c>
      <c r="L249" s="4">
        <v>0.86</v>
      </c>
      <c r="M249" s="4">
        <v>0.22389999999999999</v>
      </c>
      <c r="N249" s="4">
        <v>72</v>
      </c>
      <c r="O249" s="2">
        <v>76</v>
      </c>
      <c r="P249" s="2" t="str">
        <f t="shared" si="3"/>
        <v>Monday</v>
      </c>
      <c r="Q249" s="2" t="str">
        <f>IF(Table1[[#This Row],[temp]]&gt;=0.24,"cold","colder")</f>
        <v>colder</v>
      </c>
      <c r="R249" s="4">
        <v>4</v>
      </c>
      <c r="S249" s="16" t="str" cm="1">
        <f t="array" ref="S249">_xlfn.IFS(Table1[[#This Row],[weathersit]]=1,"clear sky",Table1[[#This Row],[weathersit]]=2,"mist",Table1[[#This Row],[weathersit]]=3,"partially dark",Table1[[#This Row],[weathersit]]=4,"rain")</f>
        <v>mist</v>
      </c>
    </row>
    <row r="250" spans="1:19" ht="15" customHeight="1" x14ac:dyDescent="0.3">
      <c r="A250" s="2">
        <v>249</v>
      </c>
      <c r="B250" s="3">
        <v>40792</v>
      </c>
      <c r="C250" s="2">
        <v>1</v>
      </c>
      <c r="D250" s="2">
        <v>0</v>
      </c>
      <c r="E250" s="2">
        <v>1</v>
      </c>
      <c r="F250" s="2">
        <v>17</v>
      </c>
      <c r="G250" s="2" t="b">
        <v>0</v>
      </c>
      <c r="H250" s="2">
        <v>2</v>
      </c>
      <c r="I250" s="2">
        <v>2</v>
      </c>
      <c r="J250" s="2">
        <v>0.16</v>
      </c>
      <c r="K250" s="4">
        <v>0.1515</v>
      </c>
      <c r="L250" s="4">
        <v>0.86</v>
      </c>
      <c r="M250" s="4">
        <v>0.22389999999999999</v>
      </c>
      <c r="N250" s="4">
        <v>130</v>
      </c>
      <c r="O250" s="2">
        <v>136</v>
      </c>
      <c r="P250" s="2" t="str">
        <f t="shared" si="3"/>
        <v>Tuesday</v>
      </c>
      <c r="Q250" s="2" t="str">
        <f>IF(Table1[[#This Row],[temp]]&gt;=0.24,"cold","colder")</f>
        <v>colder</v>
      </c>
      <c r="R250" s="4">
        <v>6</v>
      </c>
      <c r="S250" s="16" t="str" cm="1">
        <f t="array" ref="S250">_xlfn.IFS(Table1[[#This Row],[weathersit]]=1,"clear sky",Table1[[#This Row],[weathersit]]=2,"mist",Table1[[#This Row],[weathersit]]=3,"partially dark",Table1[[#This Row],[weathersit]]=4,"rain")</f>
        <v>mist</v>
      </c>
    </row>
    <row r="251" spans="1:19" ht="15" customHeight="1" x14ac:dyDescent="0.3">
      <c r="A251" s="2">
        <v>250</v>
      </c>
      <c r="B251" s="3">
        <v>40793</v>
      </c>
      <c r="C251" s="2">
        <v>1</v>
      </c>
      <c r="D251" s="2">
        <v>0</v>
      </c>
      <c r="E251" s="2">
        <v>1</v>
      </c>
      <c r="F251" s="2">
        <v>18</v>
      </c>
      <c r="G251" s="2" t="b">
        <v>0</v>
      </c>
      <c r="H251" s="2">
        <v>2</v>
      </c>
      <c r="I251" s="2">
        <v>3</v>
      </c>
      <c r="J251" s="2">
        <v>0.16</v>
      </c>
      <c r="K251" s="4">
        <v>0.18179999999999999</v>
      </c>
      <c r="L251" s="4">
        <v>0.93</v>
      </c>
      <c r="M251" s="4">
        <v>0.1045</v>
      </c>
      <c r="N251" s="4">
        <v>94</v>
      </c>
      <c r="O251" s="2">
        <v>95</v>
      </c>
      <c r="P251" s="2" t="str">
        <f t="shared" si="3"/>
        <v>Wednesday</v>
      </c>
      <c r="Q251" s="2" t="str">
        <f>IF(Table1[[#This Row],[temp]]&gt;=0.24,"cold","colder")</f>
        <v>colder</v>
      </c>
      <c r="R251" s="4">
        <v>1</v>
      </c>
      <c r="S251" s="16" t="str" cm="1">
        <f t="array" ref="S251">_xlfn.IFS(Table1[[#This Row],[weathersit]]=1,"clear sky",Table1[[#This Row],[weathersit]]=2,"mist",Table1[[#This Row],[weathersit]]=3,"partially dark",Table1[[#This Row],[weathersit]]=4,"rain")</f>
        <v>partially dark</v>
      </c>
    </row>
    <row r="252" spans="1:19" ht="15" customHeight="1" x14ac:dyDescent="0.3">
      <c r="A252" s="2">
        <v>251</v>
      </c>
      <c r="B252" s="3">
        <v>40794</v>
      </c>
      <c r="C252" s="2">
        <v>1</v>
      </c>
      <c r="D252" s="2">
        <v>0</v>
      </c>
      <c r="E252" s="2">
        <v>1</v>
      </c>
      <c r="F252" s="2">
        <v>19</v>
      </c>
      <c r="G252" s="2" t="b">
        <v>0</v>
      </c>
      <c r="H252" s="2">
        <v>2</v>
      </c>
      <c r="I252" s="2">
        <v>3</v>
      </c>
      <c r="J252" s="2">
        <v>0.16</v>
      </c>
      <c r="K252" s="4">
        <v>0.2273</v>
      </c>
      <c r="L252" s="4">
        <v>0.93</v>
      </c>
      <c r="M252" s="4">
        <v>0</v>
      </c>
      <c r="N252" s="4">
        <v>51</v>
      </c>
      <c r="O252" s="2">
        <v>51</v>
      </c>
      <c r="P252" s="2" t="str">
        <f t="shared" si="3"/>
        <v>Thursday</v>
      </c>
      <c r="Q252" s="2" t="str">
        <f>IF(Table1[[#This Row],[temp]]&gt;=0.24,"cold","colder")</f>
        <v>colder</v>
      </c>
      <c r="R252" s="4">
        <v>0</v>
      </c>
      <c r="S252" s="16" t="str" cm="1">
        <f t="array" ref="S252">_xlfn.IFS(Table1[[#This Row],[weathersit]]=1,"clear sky",Table1[[#This Row],[weathersit]]=2,"mist",Table1[[#This Row],[weathersit]]=3,"partially dark",Table1[[#This Row],[weathersit]]=4,"rain")</f>
        <v>partially dark</v>
      </c>
    </row>
    <row r="253" spans="1:19" ht="15" customHeight="1" x14ac:dyDescent="0.3">
      <c r="A253" s="2">
        <v>252</v>
      </c>
      <c r="B253" s="3">
        <v>40795</v>
      </c>
      <c r="C253" s="2">
        <v>1</v>
      </c>
      <c r="D253" s="2">
        <v>0</v>
      </c>
      <c r="E253" s="2">
        <v>1</v>
      </c>
      <c r="F253" s="2">
        <v>20</v>
      </c>
      <c r="G253" s="2" t="b">
        <v>0</v>
      </c>
      <c r="H253" s="2">
        <v>2</v>
      </c>
      <c r="I253" s="2">
        <v>3</v>
      </c>
      <c r="J253" s="2">
        <v>0.16</v>
      </c>
      <c r="K253" s="4">
        <v>0.1515</v>
      </c>
      <c r="L253" s="4">
        <v>0.93</v>
      </c>
      <c r="M253" s="4">
        <v>0.19400000000000001</v>
      </c>
      <c r="N253" s="4">
        <v>32</v>
      </c>
      <c r="O253" s="2">
        <v>32</v>
      </c>
      <c r="P253" s="2" t="str">
        <f t="shared" si="3"/>
        <v>Friday</v>
      </c>
      <c r="Q253" s="2" t="str">
        <f>IF(Table1[[#This Row],[temp]]&gt;=0.24,"cold","colder")</f>
        <v>colder</v>
      </c>
      <c r="R253" s="4">
        <v>0</v>
      </c>
      <c r="S253" s="16" t="str" cm="1">
        <f t="array" ref="S253">_xlfn.IFS(Table1[[#This Row],[weathersit]]=1,"clear sky",Table1[[#This Row],[weathersit]]=2,"mist",Table1[[#This Row],[weathersit]]=3,"partially dark",Table1[[#This Row],[weathersit]]=4,"rain")</f>
        <v>partially dark</v>
      </c>
    </row>
    <row r="254" spans="1:19" ht="15" customHeight="1" x14ac:dyDescent="0.3">
      <c r="A254" s="2">
        <v>253</v>
      </c>
      <c r="B254" s="3">
        <v>40796</v>
      </c>
      <c r="C254" s="2">
        <v>1</v>
      </c>
      <c r="D254" s="2">
        <v>0</v>
      </c>
      <c r="E254" s="2">
        <v>1</v>
      </c>
      <c r="F254" s="2">
        <v>21</v>
      </c>
      <c r="G254" s="2" t="b">
        <v>0</v>
      </c>
      <c r="H254" s="2">
        <v>2</v>
      </c>
      <c r="I254" s="2">
        <v>3</v>
      </c>
      <c r="J254" s="2">
        <v>0.16</v>
      </c>
      <c r="K254" s="4">
        <v>0.19700000000000001</v>
      </c>
      <c r="L254" s="4">
        <v>0.86</v>
      </c>
      <c r="M254" s="4">
        <v>8.9599999999999999E-2</v>
      </c>
      <c r="N254" s="4">
        <v>20</v>
      </c>
      <c r="O254" s="2">
        <v>20</v>
      </c>
      <c r="P254" s="2" t="str">
        <f t="shared" si="3"/>
        <v>Saturday</v>
      </c>
      <c r="Q254" s="2" t="str">
        <f>IF(Table1[[#This Row],[temp]]&gt;=0.24,"cold","colder")</f>
        <v>colder</v>
      </c>
      <c r="R254" s="4">
        <v>0</v>
      </c>
      <c r="S254" s="16" t="str" cm="1">
        <f t="array" ref="S254">_xlfn.IFS(Table1[[#This Row],[weathersit]]=1,"clear sky",Table1[[#This Row],[weathersit]]=2,"mist",Table1[[#This Row],[weathersit]]=3,"partially dark",Table1[[#This Row],[weathersit]]=4,"rain")</f>
        <v>partially dark</v>
      </c>
    </row>
    <row r="255" spans="1:19" ht="15" customHeight="1" x14ac:dyDescent="0.3">
      <c r="A255" s="2">
        <v>254</v>
      </c>
      <c r="B255" s="3">
        <v>40797</v>
      </c>
      <c r="C255" s="2">
        <v>1</v>
      </c>
      <c r="D255" s="2">
        <v>0</v>
      </c>
      <c r="E255" s="2">
        <v>1</v>
      </c>
      <c r="F255" s="2">
        <v>22</v>
      </c>
      <c r="G255" s="2" t="b">
        <v>0</v>
      </c>
      <c r="H255" s="2">
        <v>2</v>
      </c>
      <c r="I255" s="2">
        <v>3</v>
      </c>
      <c r="J255" s="2">
        <v>0.16</v>
      </c>
      <c r="K255" s="4">
        <v>0.18179999999999999</v>
      </c>
      <c r="L255" s="4">
        <v>0.93</v>
      </c>
      <c r="M255" s="4">
        <v>0.1045</v>
      </c>
      <c r="N255" s="4">
        <v>28</v>
      </c>
      <c r="O255" s="2">
        <v>29</v>
      </c>
      <c r="P255" s="2" t="str">
        <f t="shared" si="3"/>
        <v>Sunday</v>
      </c>
      <c r="Q255" s="2" t="str">
        <f>IF(Table1[[#This Row],[temp]]&gt;=0.24,"cold","colder")</f>
        <v>colder</v>
      </c>
      <c r="R255" s="4">
        <v>1</v>
      </c>
      <c r="S255" s="16" t="str" cm="1">
        <f t="array" ref="S255">_xlfn.IFS(Table1[[#This Row],[weathersit]]=1,"clear sky",Table1[[#This Row],[weathersit]]=2,"mist",Table1[[#This Row],[weathersit]]=3,"partially dark",Table1[[#This Row],[weathersit]]=4,"rain")</f>
        <v>partially dark</v>
      </c>
    </row>
    <row r="256" spans="1:19" ht="15" customHeight="1" x14ac:dyDescent="0.3">
      <c r="A256" s="2">
        <v>255</v>
      </c>
      <c r="B256" s="3">
        <v>40798</v>
      </c>
      <c r="C256" s="2">
        <v>1</v>
      </c>
      <c r="D256" s="2">
        <v>0</v>
      </c>
      <c r="E256" s="2">
        <v>1</v>
      </c>
      <c r="F256" s="2">
        <v>23</v>
      </c>
      <c r="G256" s="2" t="b">
        <v>0</v>
      </c>
      <c r="H256" s="2">
        <v>2</v>
      </c>
      <c r="I256" s="2">
        <v>3</v>
      </c>
      <c r="J256" s="2">
        <v>0.16</v>
      </c>
      <c r="K256" s="4">
        <v>0.19700000000000001</v>
      </c>
      <c r="L256" s="4">
        <v>0.93</v>
      </c>
      <c r="M256" s="4">
        <v>8.9599999999999999E-2</v>
      </c>
      <c r="N256" s="4">
        <v>18</v>
      </c>
      <c r="O256" s="2">
        <v>19</v>
      </c>
      <c r="P256" s="2" t="str">
        <f t="shared" si="3"/>
        <v>Monday</v>
      </c>
      <c r="Q256" s="2" t="str">
        <f>IF(Table1[[#This Row],[temp]]&gt;=0.24,"cold","colder")</f>
        <v>colder</v>
      </c>
      <c r="R256" s="4">
        <v>1</v>
      </c>
      <c r="S256" s="16" t="str" cm="1">
        <f t="array" ref="S256">_xlfn.IFS(Table1[[#This Row],[weathersit]]=1,"clear sky",Table1[[#This Row],[weathersit]]=2,"mist",Table1[[#This Row],[weathersit]]=3,"partially dark",Table1[[#This Row],[weathersit]]=4,"rain")</f>
        <v>partially dark</v>
      </c>
    </row>
    <row r="257" spans="1:19" ht="15" customHeight="1" x14ac:dyDescent="0.3">
      <c r="A257" s="2">
        <v>256</v>
      </c>
      <c r="B257" s="3">
        <v>40799</v>
      </c>
      <c r="C257" s="2">
        <v>1</v>
      </c>
      <c r="D257" s="2">
        <v>0</v>
      </c>
      <c r="E257" s="2">
        <v>1</v>
      </c>
      <c r="F257" s="2">
        <v>0</v>
      </c>
      <c r="G257" s="2" t="b">
        <v>0</v>
      </c>
      <c r="H257" s="2">
        <v>3</v>
      </c>
      <c r="I257" s="2">
        <v>2</v>
      </c>
      <c r="J257" s="2">
        <v>0.16</v>
      </c>
      <c r="K257" s="4">
        <v>0.19700000000000001</v>
      </c>
      <c r="L257" s="4">
        <v>0.86</v>
      </c>
      <c r="M257" s="4">
        <v>8.9599999999999999E-2</v>
      </c>
      <c r="N257" s="4">
        <v>7</v>
      </c>
      <c r="O257" s="2">
        <v>7</v>
      </c>
      <c r="P257" s="2" t="str">
        <f t="shared" si="3"/>
        <v>Tuesday</v>
      </c>
      <c r="Q257" s="2" t="str">
        <f>IF(Table1[[#This Row],[temp]]&gt;=0.24,"cold","colder")</f>
        <v>colder</v>
      </c>
      <c r="R257" s="4">
        <v>0</v>
      </c>
      <c r="S257" s="16" t="str" cm="1">
        <f t="array" ref="S257">_xlfn.IFS(Table1[[#This Row],[weathersit]]=1,"clear sky",Table1[[#This Row],[weathersit]]=2,"mist",Table1[[#This Row],[weathersit]]=3,"partially dark",Table1[[#This Row],[weathersit]]=4,"rain")</f>
        <v>mist</v>
      </c>
    </row>
    <row r="258" spans="1:19" ht="15" customHeight="1" x14ac:dyDescent="0.3">
      <c r="A258" s="2">
        <v>257</v>
      </c>
      <c r="B258" s="3">
        <v>40800</v>
      </c>
      <c r="C258" s="2">
        <v>1</v>
      </c>
      <c r="D258" s="2">
        <v>0</v>
      </c>
      <c r="E258" s="2">
        <v>1</v>
      </c>
      <c r="F258" s="2">
        <v>1</v>
      </c>
      <c r="G258" s="2" t="b">
        <v>0</v>
      </c>
      <c r="H258" s="2">
        <v>3</v>
      </c>
      <c r="I258" s="2">
        <v>2</v>
      </c>
      <c r="J258" s="2">
        <v>0.16</v>
      </c>
      <c r="K258" s="4">
        <v>0.18179999999999999</v>
      </c>
      <c r="L258" s="4">
        <v>0.86</v>
      </c>
      <c r="M258" s="4">
        <v>0.1045</v>
      </c>
      <c r="N258" s="4">
        <v>6</v>
      </c>
      <c r="O258" s="2">
        <v>6</v>
      </c>
      <c r="P258" s="2" t="str">
        <f t="shared" ref="P258:P321" si="4">TEXT(B258,"dddd")</f>
        <v>Wednesday</v>
      </c>
      <c r="Q258" s="2" t="str">
        <f>IF(Table1[[#This Row],[temp]]&gt;=0.24,"cold","colder")</f>
        <v>colder</v>
      </c>
      <c r="R258" s="4">
        <v>0</v>
      </c>
      <c r="S258" s="16" t="str" cm="1">
        <f t="array" ref="S258">_xlfn.IFS(Table1[[#This Row],[weathersit]]=1,"clear sky",Table1[[#This Row],[weathersit]]=2,"mist",Table1[[#This Row],[weathersit]]=3,"partially dark",Table1[[#This Row],[weathersit]]=4,"rain")</f>
        <v>mist</v>
      </c>
    </row>
    <row r="259" spans="1:19" ht="15" customHeight="1" x14ac:dyDescent="0.3">
      <c r="A259" s="2">
        <v>258</v>
      </c>
      <c r="B259" s="3">
        <v>40801</v>
      </c>
      <c r="C259" s="2">
        <v>1</v>
      </c>
      <c r="D259" s="2">
        <v>0</v>
      </c>
      <c r="E259" s="2">
        <v>1</v>
      </c>
      <c r="F259" s="2">
        <v>2</v>
      </c>
      <c r="G259" s="2" t="b">
        <v>0</v>
      </c>
      <c r="H259" s="2">
        <v>3</v>
      </c>
      <c r="I259" s="2">
        <v>1</v>
      </c>
      <c r="J259" s="2">
        <v>0.14000000000000001</v>
      </c>
      <c r="K259" s="4">
        <v>0.1515</v>
      </c>
      <c r="L259" s="4">
        <v>0.86</v>
      </c>
      <c r="M259" s="4">
        <v>0.1343</v>
      </c>
      <c r="N259" s="4">
        <v>1</v>
      </c>
      <c r="O259" s="2">
        <v>1</v>
      </c>
      <c r="P259" s="2" t="str">
        <f t="shared" si="4"/>
        <v>Thursday</v>
      </c>
      <c r="Q259" s="2" t="str">
        <f>IF(Table1[[#This Row],[temp]]&gt;=0.24,"cold","colder")</f>
        <v>colder</v>
      </c>
      <c r="R259" s="4">
        <v>0</v>
      </c>
      <c r="S259" s="16" t="str" cm="1">
        <f t="array" ref="S259">_xlfn.IFS(Table1[[#This Row],[weathersit]]=1,"clear sky",Table1[[#This Row],[weathersit]]=2,"mist",Table1[[#This Row],[weathersit]]=3,"partially dark",Table1[[#This Row],[weathersit]]=4,"rain")</f>
        <v>clear sky</v>
      </c>
    </row>
    <row r="260" spans="1:19" ht="15" customHeight="1" x14ac:dyDescent="0.3">
      <c r="A260" s="2">
        <v>259</v>
      </c>
      <c r="B260" s="3">
        <v>40802</v>
      </c>
      <c r="C260" s="2">
        <v>1</v>
      </c>
      <c r="D260" s="2">
        <v>0</v>
      </c>
      <c r="E260" s="2">
        <v>1</v>
      </c>
      <c r="F260" s="2">
        <v>5</v>
      </c>
      <c r="G260" s="2" t="b">
        <v>0</v>
      </c>
      <c r="H260" s="2">
        <v>3</v>
      </c>
      <c r="I260" s="2">
        <v>1</v>
      </c>
      <c r="J260" s="2">
        <v>0.14000000000000001</v>
      </c>
      <c r="K260" s="4">
        <v>0.1515</v>
      </c>
      <c r="L260" s="4">
        <v>0.86</v>
      </c>
      <c r="M260" s="4">
        <v>0.16420000000000001</v>
      </c>
      <c r="N260" s="4">
        <v>5</v>
      </c>
      <c r="O260" s="2">
        <v>5</v>
      </c>
      <c r="P260" s="2" t="str">
        <f t="shared" si="4"/>
        <v>Friday</v>
      </c>
      <c r="Q260" s="2" t="str">
        <f>IF(Table1[[#This Row],[temp]]&gt;=0.24,"cold","colder")</f>
        <v>colder</v>
      </c>
      <c r="R260" s="4">
        <v>0</v>
      </c>
      <c r="S260" s="16" t="str" cm="1">
        <f t="array" ref="S260">_xlfn.IFS(Table1[[#This Row],[weathersit]]=1,"clear sky",Table1[[#This Row],[weathersit]]=2,"mist",Table1[[#This Row],[weathersit]]=3,"partially dark",Table1[[#This Row],[weathersit]]=4,"rain")</f>
        <v>clear sky</v>
      </c>
    </row>
    <row r="261" spans="1:19" ht="15" customHeight="1" x14ac:dyDescent="0.3">
      <c r="A261" s="2">
        <v>260</v>
      </c>
      <c r="B261" s="3">
        <v>40803</v>
      </c>
      <c r="C261" s="2">
        <v>1</v>
      </c>
      <c r="D261" s="2">
        <v>0</v>
      </c>
      <c r="E261" s="2">
        <v>1</v>
      </c>
      <c r="F261" s="2">
        <v>6</v>
      </c>
      <c r="G261" s="2" t="b">
        <v>0</v>
      </c>
      <c r="H261" s="2">
        <v>3</v>
      </c>
      <c r="I261" s="2">
        <v>1</v>
      </c>
      <c r="J261" s="2">
        <v>0.12</v>
      </c>
      <c r="K261" s="4">
        <v>0.1515</v>
      </c>
      <c r="L261" s="4">
        <v>0.93</v>
      </c>
      <c r="M261" s="4">
        <v>0.1343</v>
      </c>
      <c r="N261" s="4">
        <v>16</v>
      </c>
      <c r="O261" s="2">
        <v>16</v>
      </c>
      <c r="P261" s="2" t="str">
        <f t="shared" si="4"/>
        <v>Saturday</v>
      </c>
      <c r="Q261" s="2" t="str">
        <f>IF(Table1[[#This Row],[temp]]&gt;=0.24,"cold","colder")</f>
        <v>colder</v>
      </c>
      <c r="R261" s="4">
        <v>0</v>
      </c>
      <c r="S261" s="16" t="str" cm="1">
        <f t="array" ref="S261">_xlfn.IFS(Table1[[#This Row],[weathersit]]=1,"clear sky",Table1[[#This Row],[weathersit]]=2,"mist",Table1[[#This Row],[weathersit]]=3,"partially dark",Table1[[#This Row],[weathersit]]=4,"rain")</f>
        <v>clear sky</v>
      </c>
    </row>
    <row r="262" spans="1:19" ht="15" customHeight="1" x14ac:dyDescent="0.3">
      <c r="A262" s="2">
        <v>261</v>
      </c>
      <c r="B262" s="3">
        <v>40804</v>
      </c>
      <c r="C262" s="2">
        <v>1</v>
      </c>
      <c r="D262" s="2">
        <v>0</v>
      </c>
      <c r="E262" s="2">
        <v>1</v>
      </c>
      <c r="F262" s="2">
        <v>7</v>
      </c>
      <c r="G262" s="2" t="b">
        <v>0</v>
      </c>
      <c r="H262" s="2">
        <v>3</v>
      </c>
      <c r="I262" s="2">
        <v>1</v>
      </c>
      <c r="J262" s="2">
        <v>0.14000000000000001</v>
      </c>
      <c r="K262" s="4">
        <v>0.1515</v>
      </c>
      <c r="L262" s="4">
        <v>0.69</v>
      </c>
      <c r="M262" s="4">
        <v>0.1343</v>
      </c>
      <c r="N262" s="4">
        <v>54</v>
      </c>
      <c r="O262" s="2">
        <v>54</v>
      </c>
      <c r="P262" s="2" t="str">
        <f t="shared" si="4"/>
        <v>Sunday</v>
      </c>
      <c r="Q262" s="2" t="str">
        <f>IF(Table1[[#This Row],[temp]]&gt;=0.24,"cold","colder")</f>
        <v>colder</v>
      </c>
      <c r="R262" s="4">
        <v>0</v>
      </c>
      <c r="S262" s="16" t="str" cm="1">
        <f t="array" ref="S262">_xlfn.IFS(Table1[[#This Row],[weathersit]]=1,"clear sky",Table1[[#This Row],[weathersit]]=2,"mist",Table1[[#This Row],[weathersit]]=3,"partially dark",Table1[[#This Row],[weathersit]]=4,"rain")</f>
        <v>clear sky</v>
      </c>
    </row>
    <row r="263" spans="1:19" ht="15" customHeight="1" x14ac:dyDescent="0.3">
      <c r="A263" s="2">
        <v>262</v>
      </c>
      <c r="B263" s="3">
        <v>40805</v>
      </c>
      <c r="C263" s="2">
        <v>1</v>
      </c>
      <c r="D263" s="2">
        <v>0</v>
      </c>
      <c r="E263" s="2">
        <v>1</v>
      </c>
      <c r="F263" s="2">
        <v>8</v>
      </c>
      <c r="G263" s="2" t="b">
        <v>0</v>
      </c>
      <c r="H263" s="2">
        <v>3</v>
      </c>
      <c r="I263" s="2">
        <v>1</v>
      </c>
      <c r="J263" s="2">
        <v>0.16</v>
      </c>
      <c r="K263" s="4">
        <v>0.16669999999999999</v>
      </c>
      <c r="L263" s="4">
        <v>0.59</v>
      </c>
      <c r="M263" s="4">
        <v>0.16420000000000001</v>
      </c>
      <c r="N263" s="4">
        <v>125</v>
      </c>
      <c r="O263" s="2">
        <v>128</v>
      </c>
      <c r="P263" s="2" t="str">
        <f t="shared" si="4"/>
        <v>Monday</v>
      </c>
      <c r="Q263" s="2" t="str">
        <f>IF(Table1[[#This Row],[temp]]&gt;=0.24,"cold","colder")</f>
        <v>colder</v>
      </c>
      <c r="R263" s="4">
        <v>3</v>
      </c>
      <c r="S263" s="16" t="str" cm="1">
        <f t="array" ref="S263">_xlfn.IFS(Table1[[#This Row],[weathersit]]=1,"clear sky",Table1[[#This Row],[weathersit]]=2,"mist",Table1[[#This Row],[weathersit]]=3,"partially dark",Table1[[#This Row],[weathersit]]=4,"rain")</f>
        <v>clear sky</v>
      </c>
    </row>
    <row r="264" spans="1:19" ht="15" customHeight="1" x14ac:dyDescent="0.3">
      <c r="A264" s="2">
        <v>263</v>
      </c>
      <c r="B264" s="3">
        <v>40806</v>
      </c>
      <c r="C264" s="2">
        <v>1</v>
      </c>
      <c r="D264" s="2">
        <v>0</v>
      </c>
      <c r="E264" s="2">
        <v>1</v>
      </c>
      <c r="F264" s="2">
        <v>9</v>
      </c>
      <c r="G264" s="2" t="b">
        <v>0</v>
      </c>
      <c r="H264" s="2">
        <v>3</v>
      </c>
      <c r="I264" s="2">
        <v>1</v>
      </c>
      <c r="J264" s="2">
        <v>0.16</v>
      </c>
      <c r="K264" s="4">
        <v>0.13639999999999999</v>
      </c>
      <c r="L264" s="4">
        <v>0.59</v>
      </c>
      <c r="M264" s="4">
        <v>0.32840000000000003</v>
      </c>
      <c r="N264" s="4">
        <v>78</v>
      </c>
      <c r="O264" s="2">
        <v>81</v>
      </c>
      <c r="P264" s="2" t="str">
        <f t="shared" si="4"/>
        <v>Tuesday</v>
      </c>
      <c r="Q264" s="2" t="str">
        <f>IF(Table1[[#This Row],[temp]]&gt;=0.24,"cold","colder")</f>
        <v>colder</v>
      </c>
      <c r="R264" s="4">
        <v>3</v>
      </c>
      <c r="S264" s="16" t="str" cm="1">
        <f t="array" ref="S264">_xlfn.IFS(Table1[[#This Row],[weathersit]]=1,"clear sky",Table1[[#This Row],[weathersit]]=2,"mist",Table1[[#This Row],[weathersit]]=3,"partially dark",Table1[[#This Row],[weathersit]]=4,"rain")</f>
        <v>clear sky</v>
      </c>
    </row>
    <row r="265" spans="1:19" ht="15" customHeight="1" x14ac:dyDescent="0.3">
      <c r="A265" s="2">
        <v>264</v>
      </c>
      <c r="B265" s="3">
        <v>40807</v>
      </c>
      <c r="C265" s="2">
        <v>1</v>
      </c>
      <c r="D265" s="2">
        <v>0</v>
      </c>
      <c r="E265" s="2">
        <v>1</v>
      </c>
      <c r="F265" s="2">
        <v>10</v>
      </c>
      <c r="G265" s="2" t="b">
        <v>0</v>
      </c>
      <c r="H265" s="2">
        <v>3</v>
      </c>
      <c r="I265" s="2">
        <v>1</v>
      </c>
      <c r="J265" s="2">
        <v>0.18</v>
      </c>
      <c r="K265" s="4">
        <v>0.18179999999999999</v>
      </c>
      <c r="L265" s="4">
        <v>0.55000000000000004</v>
      </c>
      <c r="M265" s="4">
        <v>0.22389999999999999</v>
      </c>
      <c r="N265" s="4">
        <v>39</v>
      </c>
      <c r="O265" s="2">
        <v>39</v>
      </c>
      <c r="P265" s="2" t="str">
        <f t="shared" si="4"/>
        <v>Wednesday</v>
      </c>
      <c r="Q265" s="2" t="str">
        <f>IF(Table1[[#This Row],[temp]]&gt;=0.24,"cold","colder")</f>
        <v>colder</v>
      </c>
      <c r="R265" s="4">
        <v>0</v>
      </c>
      <c r="S265" s="16" t="str" cm="1">
        <f t="array" ref="S265">_xlfn.IFS(Table1[[#This Row],[weathersit]]=1,"clear sky",Table1[[#This Row],[weathersit]]=2,"mist",Table1[[#This Row],[weathersit]]=3,"partially dark",Table1[[#This Row],[weathersit]]=4,"rain")</f>
        <v>clear sky</v>
      </c>
    </row>
    <row r="266" spans="1:19" ht="15" customHeight="1" x14ac:dyDescent="0.3">
      <c r="A266" s="2">
        <v>265</v>
      </c>
      <c r="B266" s="3">
        <v>40808</v>
      </c>
      <c r="C266" s="2">
        <v>1</v>
      </c>
      <c r="D266" s="2">
        <v>0</v>
      </c>
      <c r="E266" s="2">
        <v>1</v>
      </c>
      <c r="F266" s="2">
        <v>11</v>
      </c>
      <c r="G266" s="2" t="b">
        <v>0</v>
      </c>
      <c r="H266" s="2">
        <v>3</v>
      </c>
      <c r="I266" s="2">
        <v>1</v>
      </c>
      <c r="J266" s="2">
        <v>0.2</v>
      </c>
      <c r="K266" s="4">
        <v>0.18179999999999999</v>
      </c>
      <c r="L266" s="4">
        <v>0.51</v>
      </c>
      <c r="M266" s="4">
        <v>0.3881</v>
      </c>
      <c r="N266" s="4">
        <v>32</v>
      </c>
      <c r="O266" s="2">
        <v>35</v>
      </c>
      <c r="P266" s="2" t="str">
        <f t="shared" si="4"/>
        <v>Thursday</v>
      </c>
      <c r="Q266" s="2" t="str">
        <f>IF(Table1[[#This Row],[temp]]&gt;=0.24,"cold","colder")</f>
        <v>colder</v>
      </c>
      <c r="R266" s="4">
        <v>3</v>
      </c>
      <c r="S266" s="16" t="str" cm="1">
        <f t="array" ref="S266">_xlfn.IFS(Table1[[#This Row],[weathersit]]=1,"clear sky",Table1[[#This Row],[weathersit]]=2,"mist",Table1[[#This Row],[weathersit]]=3,"partially dark",Table1[[#This Row],[weathersit]]=4,"rain")</f>
        <v>clear sky</v>
      </c>
    </row>
    <row r="267" spans="1:19" ht="15" customHeight="1" x14ac:dyDescent="0.3">
      <c r="A267" s="2">
        <v>266</v>
      </c>
      <c r="B267" s="3">
        <v>40809</v>
      </c>
      <c r="C267" s="2">
        <v>1</v>
      </c>
      <c r="D267" s="2">
        <v>0</v>
      </c>
      <c r="E267" s="2">
        <v>1</v>
      </c>
      <c r="F267" s="2">
        <v>12</v>
      </c>
      <c r="G267" s="2" t="b">
        <v>0</v>
      </c>
      <c r="H267" s="2">
        <v>3</v>
      </c>
      <c r="I267" s="2">
        <v>1</v>
      </c>
      <c r="J267" s="2">
        <v>0.2</v>
      </c>
      <c r="K267" s="4">
        <v>0.1515</v>
      </c>
      <c r="L267" s="4">
        <v>0.47</v>
      </c>
      <c r="M267" s="4">
        <v>0.58209999999999995</v>
      </c>
      <c r="N267" s="4">
        <v>52</v>
      </c>
      <c r="O267" s="2">
        <v>55</v>
      </c>
      <c r="P267" s="2" t="str">
        <f t="shared" si="4"/>
        <v>Friday</v>
      </c>
      <c r="Q267" s="2" t="str">
        <f>IF(Table1[[#This Row],[temp]]&gt;=0.24,"cold","colder")</f>
        <v>colder</v>
      </c>
      <c r="R267" s="4">
        <v>3</v>
      </c>
      <c r="S267" s="16" t="str" cm="1">
        <f t="array" ref="S267">_xlfn.IFS(Table1[[#This Row],[weathersit]]=1,"clear sky",Table1[[#This Row],[weathersit]]=2,"mist",Table1[[#This Row],[weathersit]]=3,"partially dark",Table1[[#This Row],[weathersit]]=4,"rain")</f>
        <v>clear sky</v>
      </c>
    </row>
    <row r="268" spans="1:19" ht="15" customHeight="1" x14ac:dyDescent="0.3">
      <c r="A268" s="2">
        <v>267</v>
      </c>
      <c r="B268" s="3">
        <v>40810</v>
      </c>
      <c r="C268" s="2">
        <v>1</v>
      </c>
      <c r="D268" s="2">
        <v>0</v>
      </c>
      <c r="E268" s="2">
        <v>1</v>
      </c>
      <c r="F268" s="2">
        <v>13</v>
      </c>
      <c r="G268" s="2" t="b">
        <v>0</v>
      </c>
      <c r="H268" s="2">
        <v>3</v>
      </c>
      <c r="I268" s="2">
        <v>1</v>
      </c>
      <c r="J268" s="2">
        <v>0.22</v>
      </c>
      <c r="K268" s="4">
        <v>0.19700000000000001</v>
      </c>
      <c r="L268" s="4">
        <v>0.44</v>
      </c>
      <c r="M268" s="4">
        <v>0.35820000000000002</v>
      </c>
      <c r="N268" s="4">
        <v>49</v>
      </c>
      <c r="O268" s="2">
        <v>49</v>
      </c>
      <c r="P268" s="2" t="str">
        <f t="shared" si="4"/>
        <v>Saturday</v>
      </c>
      <c r="Q268" s="2" t="str">
        <f>IF(Table1[[#This Row],[temp]]&gt;=0.24,"cold","colder")</f>
        <v>colder</v>
      </c>
      <c r="R268" s="4">
        <v>0</v>
      </c>
      <c r="S268" s="16" t="str" cm="1">
        <f t="array" ref="S268">_xlfn.IFS(Table1[[#This Row],[weathersit]]=1,"clear sky",Table1[[#This Row],[weathersit]]=2,"mist",Table1[[#This Row],[weathersit]]=3,"partially dark",Table1[[#This Row],[weathersit]]=4,"rain")</f>
        <v>clear sky</v>
      </c>
    </row>
    <row r="269" spans="1:19" ht="15" customHeight="1" x14ac:dyDescent="0.3">
      <c r="A269" s="2">
        <v>268</v>
      </c>
      <c r="B269" s="3">
        <v>40811</v>
      </c>
      <c r="C269" s="2">
        <v>1</v>
      </c>
      <c r="D269" s="2">
        <v>0</v>
      </c>
      <c r="E269" s="2">
        <v>1</v>
      </c>
      <c r="F269" s="2">
        <v>14</v>
      </c>
      <c r="G269" s="2" t="b">
        <v>0</v>
      </c>
      <c r="H269" s="2">
        <v>3</v>
      </c>
      <c r="I269" s="2">
        <v>1</v>
      </c>
      <c r="J269" s="2">
        <v>0.2</v>
      </c>
      <c r="K269" s="4">
        <v>0.18179999999999999</v>
      </c>
      <c r="L269" s="4">
        <v>0.47</v>
      </c>
      <c r="M269" s="4">
        <v>0.32840000000000003</v>
      </c>
      <c r="N269" s="4">
        <v>44</v>
      </c>
      <c r="O269" s="2">
        <v>44</v>
      </c>
      <c r="P269" s="2" t="str">
        <f t="shared" si="4"/>
        <v>Sunday</v>
      </c>
      <c r="Q269" s="2" t="str">
        <f>IF(Table1[[#This Row],[temp]]&gt;=0.24,"cold","colder")</f>
        <v>colder</v>
      </c>
      <c r="R269" s="4">
        <v>0</v>
      </c>
      <c r="S269" s="16" t="str" cm="1">
        <f t="array" ref="S269">_xlfn.IFS(Table1[[#This Row],[weathersit]]=1,"clear sky",Table1[[#This Row],[weathersit]]=2,"mist",Table1[[#This Row],[weathersit]]=3,"partially dark",Table1[[#This Row],[weathersit]]=4,"rain")</f>
        <v>clear sky</v>
      </c>
    </row>
    <row r="270" spans="1:19" ht="15" customHeight="1" x14ac:dyDescent="0.3">
      <c r="A270" s="2">
        <v>269</v>
      </c>
      <c r="B270" s="3">
        <v>40812</v>
      </c>
      <c r="C270" s="2">
        <v>1</v>
      </c>
      <c r="D270" s="2">
        <v>0</v>
      </c>
      <c r="E270" s="2">
        <v>1</v>
      </c>
      <c r="F270" s="2">
        <v>15</v>
      </c>
      <c r="G270" s="2" t="b">
        <v>0</v>
      </c>
      <c r="H270" s="2">
        <v>3</v>
      </c>
      <c r="I270" s="2">
        <v>1</v>
      </c>
      <c r="J270" s="2">
        <v>0.2</v>
      </c>
      <c r="K270" s="4">
        <v>0.16669999999999999</v>
      </c>
      <c r="L270" s="4">
        <v>0.47</v>
      </c>
      <c r="M270" s="4">
        <v>0.41789999999999999</v>
      </c>
      <c r="N270" s="4">
        <v>48</v>
      </c>
      <c r="O270" s="2">
        <v>49</v>
      </c>
      <c r="P270" s="2" t="str">
        <f t="shared" si="4"/>
        <v>Monday</v>
      </c>
      <c r="Q270" s="2" t="str">
        <f>IF(Table1[[#This Row],[temp]]&gt;=0.24,"cold","colder")</f>
        <v>colder</v>
      </c>
      <c r="R270" s="4">
        <v>1</v>
      </c>
      <c r="S270" s="16" t="str" cm="1">
        <f t="array" ref="S270">_xlfn.IFS(Table1[[#This Row],[weathersit]]=1,"clear sky",Table1[[#This Row],[weathersit]]=2,"mist",Table1[[#This Row],[weathersit]]=3,"partially dark",Table1[[#This Row],[weathersit]]=4,"rain")</f>
        <v>clear sky</v>
      </c>
    </row>
    <row r="271" spans="1:19" ht="15" customHeight="1" x14ac:dyDescent="0.3">
      <c r="A271" s="2">
        <v>270</v>
      </c>
      <c r="B271" s="3">
        <v>40813</v>
      </c>
      <c r="C271" s="2">
        <v>1</v>
      </c>
      <c r="D271" s="2">
        <v>0</v>
      </c>
      <c r="E271" s="2">
        <v>1</v>
      </c>
      <c r="F271" s="2">
        <v>16</v>
      </c>
      <c r="G271" s="2" t="b">
        <v>0</v>
      </c>
      <c r="H271" s="2">
        <v>3</v>
      </c>
      <c r="I271" s="2">
        <v>1</v>
      </c>
      <c r="J271" s="2">
        <v>0.22</v>
      </c>
      <c r="K271" s="4">
        <v>0.19700000000000001</v>
      </c>
      <c r="L271" s="4">
        <v>0.44</v>
      </c>
      <c r="M271" s="4">
        <v>0.32840000000000003</v>
      </c>
      <c r="N271" s="4">
        <v>63</v>
      </c>
      <c r="O271" s="2">
        <v>68</v>
      </c>
      <c r="P271" s="2" t="str">
        <f t="shared" si="4"/>
        <v>Tuesday</v>
      </c>
      <c r="Q271" s="2" t="str">
        <f>IF(Table1[[#This Row],[temp]]&gt;=0.24,"cold","colder")</f>
        <v>colder</v>
      </c>
      <c r="R271" s="4">
        <v>5</v>
      </c>
      <c r="S271" s="16" t="str" cm="1">
        <f t="array" ref="S271">_xlfn.IFS(Table1[[#This Row],[weathersit]]=1,"clear sky",Table1[[#This Row],[weathersit]]=2,"mist",Table1[[#This Row],[weathersit]]=3,"partially dark",Table1[[#This Row],[weathersit]]=4,"rain")</f>
        <v>clear sky</v>
      </c>
    </row>
    <row r="272" spans="1:19" ht="15" customHeight="1" x14ac:dyDescent="0.3">
      <c r="A272" s="2">
        <v>271</v>
      </c>
      <c r="B272" s="3">
        <v>40814</v>
      </c>
      <c r="C272" s="2">
        <v>1</v>
      </c>
      <c r="D272" s="2">
        <v>0</v>
      </c>
      <c r="E272" s="2">
        <v>1</v>
      </c>
      <c r="F272" s="2">
        <v>17</v>
      </c>
      <c r="G272" s="2" t="b">
        <v>0</v>
      </c>
      <c r="H272" s="2">
        <v>3</v>
      </c>
      <c r="I272" s="2">
        <v>1</v>
      </c>
      <c r="J272" s="2">
        <v>0.2</v>
      </c>
      <c r="K272" s="4">
        <v>0.18179999999999999</v>
      </c>
      <c r="L272" s="4">
        <v>0.47</v>
      </c>
      <c r="M272" s="4">
        <v>0.35820000000000002</v>
      </c>
      <c r="N272" s="4">
        <v>139</v>
      </c>
      <c r="O272" s="2">
        <v>139</v>
      </c>
      <c r="P272" s="2" t="str">
        <f t="shared" si="4"/>
        <v>Wednesday</v>
      </c>
      <c r="Q272" s="2" t="str">
        <f>IF(Table1[[#This Row],[temp]]&gt;=0.24,"cold","colder")</f>
        <v>colder</v>
      </c>
      <c r="R272" s="4">
        <v>0</v>
      </c>
      <c r="S272" s="16" t="str" cm="1">
        <f t="array" ref="S272">_xlfn.IFS(Table1[[#This Row],[weathersit]]=1,"clear sky",Table1[[#This Row],[weathersit]]=2,"mist",Table1[[#This Row],[weathersit]]=3,"partially dark",Table1[[#This Row],[weathersit]]=4,"rain")</f>
        <v>clear sky</v>
      </c>
    </row>
    <row r="273" spans="1:19" ht="15" customHeight="1" x14ac:dyDescent="0.3">
      <c r="A273" s="2">
        <v>272</v>
      </c>
      <c r="B273" s="3">
        <v>40815</v>
      </c>
      <c r="C273" s="2">
        <v>1</v>
      </c>
      <c r="D273" s="2">
        <v>0</v>
      </c>
      <c r="E273" s="2">
        <v>1</v>
      </c>
      <c r="F273" s="2">
        <v>18</v>
      </c>
      <c r="G273" s="2" t="b">
        <v>0</v>
      </c>
      <c r="H273" s="2">
        <v>3</v>
      </c>
      <c r="I273" s="2">
        <v>1</v>
      </c>
      <c r="J273" s="2">
        <v>0.2</v>
      </c>
      <c r="K273" s="4">
        <v>0.1515</v>
      </c>
      <c r="L273" s="4">
        <v>0.47</v>
      </c>
      <c r="M273" s="4">
        <v>0.52239999999999998</v>
      </c>
      <c r="N273" s="4">
        <v>135</v>
      </c>
      <c r="O273" s="2">
        <v>137</v>
      </c>
      <c r="P273" s="2" t="str">
        <f t="shared" si="4"/>
        <v>Thursday</v>
      </c>
      <c r="Q273" s="2" t="str">
        <f>IF(Table1[[#This Row],[temp]]&gt;=0.24,"cold","colder")</f>
        <v>colder</v>
      </c>
      <c r="R273" s="4">
        <v>2</v>
      </c>
      <c r="S273" s="16" t="str" cm="1">
        <f t="array" ref="S273">_xlfn.IFS(Table1[[#This Row],[weathersit]]=1,"clear sky",Table1[[#This Row],[weathersit]]=2,"mist",Table1[[#This Row],[weathersit]]=3,"partially dark",Table1[[#This Row],[weathersit]]=4,"rain")</f>
        <v>clear sky</v>
      </c>
    </row>
    <row r="274" spans="1:19" ht="15" customHeight="1" x14ac:dyDescent="0.3">
      <c r="A274" s="2">
        <v>273</v>
      </c>
      <c r="B274" s="3">
        <v>40816</v>
      </c>
      <c r="C274" s="2">
        <v>1</v>
      </c>
      <c r="D274" s="2">
        <v>0</v>
      </c>
      <c r="E274" s="2">
        <v>1</v>
      </c>
      <c r="F274" s="2">
        <v>19</v>
      </c>
      <c r="G274" s="2" t="b">
        <v>0</v>
      </c>
      <c r="H274" s="2">
        <v>3</v>
      </c>
      <c r="I274" s="2">
        <v>1</v>
      </c>
      <c r="J274" s="2">
        <v>0.18</v>
      </c>
      <c r="K274" s="4">
        <v>0.1515</v>
      </c>
      <c r="L274" s="4">
        <v>0.47</v>
      </c>
      <c r="M274" s="4">
        <v>0.41789999999999999</v>
      </c>
      <c r="N274" s="4">
        <v>82</v>
      </c>
      <c r="O274" s="2">
        <v>83</v>
      </c>
      <c r="P274" s="2" t="str">
        <f t="shared" si="4"/>
        <v>Friday</v>
      </c>
      <c r="Q274" s="2" t="str">
        <f>IF(Table1[[#This Row],[temp]]&gt;=0.24,"cold","colder")</f>
        <v>colder</v>
      </c>
      <c r="R274" s="4">
        <v>1</v>
      </c>
      <c r="S274" s="16" t="str" cm="1">
        <f t="array" ref="S274">_xlfn.IFS(Table1[[#This Row],[weathersit]]=1,"clear sky",Table1[[#This Row],[weathersit]]=2,"mist",Table1[[#This Row],[weathersit]]=3,"partially dark",Table1[[#This Row],[weathersit]]=4,"rain")</f>
        <v>clear sky</v>
      </c>
    </row>
    <row r="275" spans="1:19" ht="15" customHeight="1" x14ac:dyDescent="0.3">
      <c r="A275" s="2">
        <v>274</v>
      </c>
      <c r="B275" s="3">
        <v>40817</v>
      </c>
      <c r="C275" s="2">
        <v>1</v>
      </c>
      <c r="D275" s="2">
        <v>0</v>
      </c>
      <c r="E275" s="2">
        <v>1</v>
      </c>
      <c r="F275" s="2">
        <v>20</v>
      </c>
      <c r="G275" s="2" t="b">
        <v>0</v>
      </c>
      <c r="H275" s="2">
        <v>3</v>
      </c>
      <c r="I275" s="2">
        <v>1</v>
      </c>
      <c r="J275" s="2">
        <v>0.16</v>
      </c>
      <c r="K275" s="4">
        <v>0.13639999999999999</v>
      </c>
      <c r="L275" s="4">
        <v>0.5</v>
      </c>
      <c r="M275" s="4">
        <v>0.32840000000000003</v>
      </c>
      <c r="N275" s="4">
        <v>54</v>
      </c>
      <c r="O275" s="2">
        <v>56</v>
      </c>
      <c r="P275" s="2" t="str">
        <f t="shared" si="4"/>
        <v>Saturday</v>
      </c>
      <c r="Q275" s="2" t="str">
        <f>IF(Table1[[#This Row],[temp]]&gt;=0.24,"cold","colder")</f>
        <v>colder</v>
      </c>
      <c r="R275" s="4">
        <v>2</v>
      </c>
      <c r="S275" s="16" t="str" cm="1">
        <f t="array" ref="S275">_xlfn.IFS(Table1[[#This Row],[weathersit]]=1,"clear sky",Table1[[#This Row],[weathersit]]=2,"mist",Table1[[#This Row],[weathersit]]=3,"partially dark",Table1[[#This Row],[weathersit]]=4,"rain")</f>
        <v>clear sky</v>
      </c>
    </row>
    <row r="276" spans="1:19" ht="15" customHeight="1" x14ac:dyDescent="0.3">
      <c r="A276" s="2">
        <v>275</v>
      </c>
      <c r="B276" s="3">
        <v>40818</v>
      </c>
      <c r="C276" s="2">
        <v>1</v>
      </c>
      <c r="D276" s="2">
        <v>0</v>
      </c>
      <c r="E276" s="2">
        <v>1</v>
      </c>
      <c r="F276" s="2">
        <v>21</v>
      </c>
      <c r="G276" s="2" t="b">
        <v>0</v>
      </c>
      <c r="H276" s="2">
        <v>3</v>
      </c>
      <c r="I276" s="2">
        <v>1</v>
      </c>
      <c r="J276" s="2">
        <v>0.16</v>
      </c>
      <c r="K276" s="4">
        <v>0.13639999999999999</v>
      </c>
      <c r="L276" s="4">
        <v>0.55000000000000004</v>
      </c>
      <c r="M276" s="4">
        <v>0.32840000000000003</v>
      </c>
      <c r="N276" s="4">
        <v>57</v>
      </c>
      <c r="O276" s="2">
        <v>57</v>
      </c>
      <c r="P276" s="2" t="str">
        <f t="shared" si="4"/>
        <v>Sunday</v>
      </c>
      <c r="Q276" s="2" t="str">
        <f>IF(Table1[[#This Row],[temp]]&gt;=0.24,"cold","colder")</f>
        <v>colder</v>
      </c>
      <c r="R276" s="4">
        <v>0</v>
      </c>
      <c r="S276" s="16" t="str" cm="1">
        <f t="array" ref="S276">_xlfn.IFS(Table1[[#This Row],[weathersit]]=1,"clear sky",Table1[[#This Row],[weathersit]]=2,"mist",Table1[[#This Row],[weathersit]]=3,"partially dark",Table1[[#This Row],[weathersit]]=4,"rain")</f>
        <v>clear sky</v>
      </c>
    </row>
    <row r="277" spans="1:19" ht="15" customHeight="1" x14ac:dyDescent="0.3">
      <c r="A277" s="2">
        <v>276</v>
      </c>
      <c r="B277" s="3">
        <v>40819</v>
      </c>
      <c r="C277" s="2">
        <v>1</v>
      </c>
      <c r="D277" s="2">
        <v>0</v>
      </c>
      <c r="E277" s="2">
        <v>1</v>
      </c>
      <c r="F277" s="2">
        <v>22</v>
      </c>
      <c r="G277" s="2" t="b">
        <v>0</v>
      </c>
      <c r="H277" s="2">
        <v>3</v>
      </c>
      <c r="I277" s="2">
        <v>1</v>
      </c>
      <c r="J277" s="2">
        <v>0.16</v>
      </c>
      <c r="K277" s="4">
        <v>0.1212</v>
      </c>
      <c r="L277" s="4">
        <v>0.55000000000000004</v>
      </c>
      <c r="M277" s="4">
        <v>0.44779999999999998</v>
      </c>
      <c r="N277" s="4">
        <v>32</v>
      </c>
      <c r="O277" s="2">
        <v>33</v>
      </c>
      <c r="P277" s="2" t="str">
        <f t="shared" si="4"/>
        <v>Monday</v>
      </c>
      <c r="Q277" s="2" t="str">
        <f>IF(Table1[[#This Row],[temp]]&gt;=0.24,"cold","colder")</f>
        <v>colder</v>
      </c>
      <c r="R277" s="4">
        <v>1</v>
      </c>
      <c r="S277" s="16" t="str" cm="1">
        <f t="array" ref="S277">_xlfn.IFS(Table1[[#This Row],[weathersit]]=1,"clear sky",Table1[[#This Row],[weathersit]]=2,"mist",Table1[[#This Row],[weathersit]]=3,"partially dark",Table1[[#This Row],[weathersit]]=4,"rain")</f>
        <v>clear sky</v>
      </c>
    </row>
    <row r="278" spans="1:19" ht="15" customHeight="1" x14ac:dyDescent="0.3">
      <c r="A278" s="2">
        <v>277</v>
      </c>
      <c r="B278" s="3">
        <v>40820</v>
      </c>
      <c r="C278" s="2">
        <v>1</v>
      </c>
      <c r="D278" s="2">
        <v>0</v>
      </c>
      <c r="E278" s="2">
        <v>1</v>
      </c>
      <c r="F278" s="2">
        <v>23</v>
      </c>
      <c r="G278" s="2" t="b">
        <v>0</v>
      </c>
      <c r="H278" s="2">
        <v>3</v>
      </c>
      <c r="I278" s="2">
        <v>1</v>
      </c>
      <c r="J278" s="2">
        <v>0.14000000000000001</v>
      </c>
      <c r="K278" s="4">
        <v>0.1061</v>
      </c>
      <c r="L278" s="4">
        <v>0.59</v>
      </c>
      <c r="M278" s="4">
        <v>0.41789999999999999</v>
      </c>
      <c r="N278" s="4">
        <v>19</v>
      </c>
      <c r="O278" s="2">
        <v>20</v>
      </c>
      <c r="P278" s="2" t="str">
        <f t="shared" si="4"/>
        <v>Tuesday</v>
      </c>
      <c r="Q278" s="2" t="str">
        <f>IF(Table1[[#This Row],[temp]]&gt;=0.24,"cold","colder")</f>
        <v>colder</v>
      </c>
      <c r="R278" s="4">
        <v>1</v>
      </c>
      <c r="S278" s="16" t="str" cm="1">
        <f t="array" ref="S278">_xlfn.IFS(Table1[[#This Row],[weathersit]]=1,"clear sky",Table1[[#This Row],[weathersit]]=2,"mist",Table1[[#This Row],[weathersit]]=3,"partially dark",Table1[[#This Row],[weathersit]]=4,"rain")</f>
        <v>clear sky</v>
      </c>
    </row>
    <row r="279" spans="1:19" ht="15" customHeight="1" x14ac:dyDescent="0.3">
      <c r="A279" s="2">
        <v>278</v>
      </c>
      <c r="B279" s="3">
        <v>40821</v>
      </c>
      <c r="C279" s="2">
        <v>1</v>
      </c>
      <c r="D279" s="2">
        <v>0</v>
      </c>
      <c r="E279" s="2">
        <v>1</v>
      </c>
      <c r="F279" s="2">
        <v>0</v>
      </c>
      <c r="G279" s="2" t="b">
        <v>0</v>
      </c>
      <c r="H279" s="2">
        <v>4</v>
      </c>
      <c r="I279" s="2">
        <v>1</v>
      </c>
      <c r="J279" s="2">
        <v>0.14000000000000001</v>
      </c>
      <c r="K279" s="4">
        <v>0.1212</v>
      </c>
      <c r="L279" s="4">
        <v>0.59</v>
      </c>
      <c r="M279" s="4">
        <v>0.28360000000000002</v>
      </c>
      <c r="N279" s="4">
        <v>6</v>
      </c>
      <c r="O279" s="2">
        <v>7</v>
      </c>
      <c r="P279" s="2" t="str">
        <f t="shared" si="4"/>
        <v>Wednesday</v>
      </c>
      <c r="Q279" s="2" t="str">
        <f>IF(Table1[[#This Row],[temp]]&gt;=0.24,"cold","colder")</f>
        <v>colder</v>
      </c>
      <c r="R279" s="4">
        <v>1</v>
      </c>
      <c r="S279" s="16" t="str" cm="1">
        <f t="array" ref="S279">_xlfn.IFS(Table1[[#This Row],[weathersit]]=1,"clear sky",Table1[[#This Row],[weathersit]]=2,"mist",Table1[[#This Row],[weathersit]]=3,"partially dark",Table1[[#This Row],[weathersit]]=4,"rain")</f>
        <v>clear sky</v>
      </c>
    </row>
    <row r="280" spans="1:19" ht="15" customHeight="1" x14ac:dyDescent="0.3">
      <c r="A280" s="2">
        <v>279</v>
      </c>
      <c r="B280" s="3">
        <v>40822</v>
      </c>
      <c r="C280" s="2">
        <v>1</v>
      </c>
      <c r="D280" s="2">
        <v>0</v>
      </c>
      <c r="E280" s="2">
        <v>1</v>
      </c>
      <c r="F280" s="2">
        <v>1</v>
      </c>
      <c r="G280" s="2" t="b">
        <v>0</v>
      </c>
      <c r="H280" s="2">
        <v>4</v>
      </c>
      <c r="I280" s="2">
        <v>1</v>
      </c>
      <c r="J280" s="2">
        <v>0.14000000000000001</v>
      </c>
      <c r="K280" s="4">
        <v>0.1212</v>
      </c>
      <c r="L280" s="4">
        <v>0.5</v>
      </c>
      <c r="M280" s="4">
        <v>0.28360000000000002</v>
      </c>
      <c r="N280" s="4">
        <v>2</v>
      </c>
      <c r="O280" s="2">
        <v>2</v>
      </c>
      <c r="P280" s="2" t="str">
        <f t="shared" si="4"/>
        <v>Thursday</v>
      </c>
      <c r="Q280" s="2" t="str">
        <f>IF(Table1[[#This Row],[temp]]&gt;=0.24,"cold","colder")</f>
        <v>colder</v>
      </c>
      <c r="R280" s="4">
        <v>0</v>
      </c>
      <c r="S280" s="16" t="str" cm="1">
        <f t="array" ref="S280">_xlfn.IFS(Table1[[#This Row],[weathersit]]=1,"clear sky",Table1[[#This Row],[weathersit]]=2,"mist",Table1[[#This Row],[weathersit]]=3,"partially dark",Table1[[#This Row],[weathersit]]=4,"rain")</f>
        <v>clear sky</v>
      </c>
    </row>
    <row r="281" spans="1:19" ht="15" customHeight="1" x14ac:dyDescent="0.3">
      <c r="A281" s="2">
        <v>280</v>
      </c>
      <c r="B281" s="3">
        <v>40823</v>
      </c>
      <c r="C281" s="2">
        <v>1</v>
      </c>
      <c r="D281" s="2">
        <v>0</v>
      </c>
      <c r="E281" s="2">
        <v>1</v>
      </c>
      <c r="F281" s="2">
        <v>2</v>
      </c>
      <c r="G281" s="2" t="b">
        <v>0</v>
      </c>
      <c r="H281" s="2">
        <v>4</v>
      </c>
      <c r="I281" s="2">
        <v>1</v>
      </c>
      <c r="J281" s="2">
        <v>0.14000000000000001</v>
      </c>
      <c r="K281" s="4">
        <v>0.1212</v>
      </c>
      <c r="L281" s="4">
        <v>0.5</v>
      </c>
      <c r="M281" s="4">
        <v>0.35820000000000002</v>
      </c>
      <c r="N281" s="4">
        <v>2</v>
      </c>
      <c r="O281" s="2">
        <v>2</v>
      </c>
      <c r="P281" s="2" t="str">
        <f t="shared" si="4"/>
        <v>Friday</v>
      </c>
      <c r="Q281" s="2" t="str">
        <f>IF(Table1[[#This Row],[temp]]&gt;=0.24,"cold","colder")</f>
        <v>colder</v>
      </c>
      <c r="R281" s="4">
        <v>0</v>
      </c>
      <c r="S281" s="16" t="str" cm="1">
        <f t="array" ref="S281">_xlfn.IFS(Table1[[#This Row],[weathersit]]=1,"clear sky",Table1[[#This Row],[weathersit]]=2,"mist",Table1[[#This Row],[weathersit]]=3,"partially dark",Table1[[#This Row],[weathersit]]=4,"rain")</f>
        <v>clear sky</v>
      </c>
    </row>
    <row r="282" spans="1:19" ht="15" customHeight="1" x14ac:dyDescent="0.3">
      <c r="A282" s="2">
        <v>281</v>
      </c>
      <c r="B282" s="3">
        <v>40824</v>
      </c>
      <c r="C282" s="2">
        <v>1</v>
      </c>
      <c r="D282" s="2">
        <v>0</v>
      </c>
      <c r="E282" s="2">
        <v>1</v>
      </c>
      <c r="F282" s="2">
        <v>3</v>
      </c>
      <c r="G282" s="2" t="b">
        <v>0</v>
      </c>
      <c r="H282" s="2">
        <v>4</v>
      </c>
      <c r="I282" s="2">
        <v>1</v>
      </c>
      <c r="J282" s="2">
        <v>0.14000000000000001</v>
      </c>
      <c r="K282" s="4">
        <v>0.1212</v>
      </c>
      <c r="L282" s="4">
        <v>0.5</v>
      </c>
      <c r="M282" s="4">
        <v>0.32840000000000003</v>
      </c>
      <c r="N282" s="4">
        <v>3</v>
      </c>
      <c r="O282" s="2">
        <v>3</v>
      </c>
      <c r="P282" s="2" t="str">
        <f t="shared" si="4"/>
        <v>Saturday</v>
      </c>
      <c r="Q282" s="2" t="str">
        <f>IF(Table1[[#This Row],[temp]]&gt;=0.24,"cold","colder")</f>
        <v>colder</v>
      </c>
      <c r="R282" s="4">
        <v>0</v>
      </c>
      <c r="S282" s="16" t="str" cm="1">
        <f t="array" ref="S282">_xlfn.IFS(Table1[[#This Row],[weathersit]]=1,"clear sky",Table1[[#This Row],[weathersit]]=2,"mist",Table1[[#This Row],[weathersit]]=3,"partially dark",Table1[[#This Row],[weathersit]]=4,"rain")</f>
        <v>clear sky</v>
      </c>
    </row>
    <row r="283" spans="1:19" ht="15" customHeight="1" x14ac:dyDescent="0.3">
      <c r="A283" s="2">
        <v>282</v>
      </c>
      <c r="B283" s="3">
        <v>40825</v>
      </c>
      <c r="C283" s="2">
        <v>1</v>
      </c>
      <c r="D283" s="2">
        <v>0</v>
      </c>
      <c r="E283" s="2">
        <v>1</v>
      </c>
      <c r="F283" s="2">
        <v>4</v>
      </c>
      <c r="G283" s="2" t="b">
        <v>0</v>
      </c>
      <c r="H283" s="2">
        <v>4</v>
      </c>
      <c r="I283" s="2">
        <v>1</v>
      </c>
      <c r="J283" s="2">
        <v>0.14000000000000001</v>
      </c>
      <c r="K283" s="4">
        <v>0.1212</v>
      </c>
      <c r="L283" s="4">
        <v>0.5</v>
      </c>
      <c r="M283" s="4">
        <v>0.25369999999999998</v>
      </c>
      <c r="N283" s="4">
        <v>4</v>
      </c>
      <c r="O283" s="2">
        <v>4</v>
      </c>
      <c r="P283" s="2" t="str">
        <f t="shared" si="4"/>
        <v>Sunday</v>
      </c>
      <c r="Q283" s="2" t="str">
        <f>IF(Table1[[#This Row],[temp]]&gt;=0.24,"cold","colder")</f>
        <v>colder</v>
      </c>
      <c r="R283" s="4">
        <v>0</v>
      </c>
      <c r="S283" s="16" t="str" cm="1">
        <f t="array" ref="S283">_xlfn.IFS(Table1[[#This Row],[weathersit]]=1,"clear sky",Table1[[#This Row],[weathersit]]=2,"mist",Table1[[#This Row],[weathersit]]=3,"partially dark",Table1[[#This Row],[weathersit]]=4,"rain")</f>
        <v>clear sky</v>
      </c>
    </row>
    <row r="284" spans="1:19" ht="15" customHeight="1" x14ac:dyDescent="0.3">
      <c r="A284" s="2">
        <v>283</v>
      </c>
      <c r="B284" s="3">
        <v>40826</v>
      </c>
      <c r="C284" s="2">
        <v>1</v>
      </c>
      <c r="D284" s="2">
        <v>0</v>
      </c>
      <c r="E284" s="2">
        <v>1</v>
      </c>
      <c r="F284" s="2">
        <v>5</v>
      </c>
      <c r="G284" s="2" t="b">
        <v>0</v>
      </c>
      <c r="H284" s="2">
        <v>4</v>
      </c>
      <c r="I284" s="2">
        <v>1</v>
      </c>
      <c r="J284" s="2">
        <v>0.14000000000000001</v>
      </c>
      <c r="K284" s="4">
        <v>0.1212</v>
      </c>
      <c r="L284" s="4">
        <v>0.5</v>
      </c>
      <c r="M284" s="4">
        <v>0.29849999999999999</v>
      </c>
      <c r="N284" s="4">
        <v>3</v>
      </c>
      <c r="O284" s="2">
        <v>3</v>
      </c>
      <c r="P284" s="2" t="str">
        <f t="shared" si="4"/>
        <v>Monday</v>
      </c>
      <c r="Q284" s="2" t="str">
        <f>IF(Table1[[#This Row],[temp]]&gt;=0.24,"cold","colder")</f>
        <v>colder</v>
      </c>
      <c r="R284" s="4">
        <v>0</v>
      </c>
      <c r="S284" s="16" t="str" cm="1">
        <f t="array" ref="S284">_xlfn.IFS(Table1[[#This Row],[weathersit]]=1,"clear sky",Table1[[#This Row],[weathersit]]=2,"mist",Table1[[#This Row],[weathersit]]=3,"partially dark",Table1[[#This Row],[weathersit]]=4,"rain")</f>
        <v>clear sky</v>
      </c>
    </row>
    <row r="285" spans="1:19" ht="15" customHeight="1" x14ac:dyDescent="0.3">
      <c r="A285" s="2">
        <v>284</v>
      </c>
      <c r="B285" s="3">
        <v>40827</v>
      </c>
      <c r="C285" s="2">
        <v>1</v>
      </c>
      <c r="D285" s="2">
        <v>0</v>
      </c>
      <c r="E285" s="2">
        <v>1</v>
      </c>
      <c r="F285" s="2">
        <v>6</v>
      </c>
      <c r="G285" s="2" t="b">
        <v>0</v>
      </c>
      <c r="H285" s="2">
        <v>4</v>
      </c>
      <c r="I285" s="2">
        <v>1</v>
      </c>
      <c r="J285" s="2">
        <v>0.12</v>
      </c>
      <c r="K285" s="4">
        <v>0.1515</v>
      </c>
      <c r="L285" s="4">
        <v>0.54</v>
      </c>
      <c r="M285" s="4">
        <v>0.1343</v>
      </c>
      <c r="N285" s="4">
        <v>28</v>
      </c>
      <c r="O285" s="2">
        <v>28</v>
      </c>
      <c r="P285" s="2" t="str">
        <f t="shared" si="4"/>
        <v>Tuesday</v>
      </c>
      <c r="Q285" s="2" t="str">
        <f>IF(Table1[[#This Row],[temp]]&gt;=0.24,"cold","colder")</f>
        <v>colder</v>
      </c>
      <c r="R285" s="4">
        <v>0</v>
      </c>
      <c r="S285" s="16" t="str" cm="1">
        <f t="array" ref="S285">_xlfn.IFS(Table1[[#This Row],[weathersit]]=1,"clear sky",Table1[[#This Row],[weathersit]]=2,"mist",Table1[[#This Row],[weathersit]]=3,"partially dark",Table1[[#This Row],[weathersit]]=4,"rain")</f>
        <v>clear sky</v>
      </c>
    </row>
    <row r="286" spans="1:19" ht="15" customHeight="1" x14ac:dyDescent="0.3">
      <c r="A286" s="2">
        <v>285</v>
      </c>
      <c r="B286" s="3">
        <v>40828</v>
      </c>
      <c r="C286" s="2">
        <v>1</v>
      </c>
      <c r="D286" s="2">
        <v>0</v>
      </c>
      <c r="E286" s="2">
        <v>1</v>
      </c>
      <c r="F286" s="2">
        <v>7</v>
      </c>
      <c r="G286" s="2" t="b">
        <v>0</v>
      </c>
      <c r="H286" s="2">
        <v>4</v>
      </c>
      <c r="I286" s="2">
        <v>1</v>
      </c>
      <c r="J286" s="2">
        <v>0.12</v>
      </c>
      <c r="K286" s="4">
        <v>0.1515</v>
      </c>
      <c r="L286" s="4">
        <v>0.54</v>
      </c>
      <c r="M286" s="4">
        <v>0.1343</v>
      </c>
      <c r="N286" s="4">
        <v>72</v>
      </c>
      <c r="O286" s="2">
        <v>72</v>
      </c>
      <c r="P286" s="2" t="str">
        <f t="shared" si="4"/>
        <v>Wednesday</v>
      </c>
      <c r="Q286" s="2" t="str">
        <f>IF(Table1[[#This Row],[temp]]&gt;=0.24,"cold","colder")</f>
        <v>colder</v>
      </c>
      <c r="R286" s="4">
        <v>0</v>
      </c>
      <c r="S286" s="16" t="str" cm="1">
        <f t="array" ref="S286">_xlfn.IFS(Table1[[#This Row],[weathersit]]=1,"clear sky",Table1[[#This Row],[weathersit]]=2,"mist",Table1[[#This Row],[weathersit]]=3,"partially dark",Table1[[#This Row],[weathersit]]=4,"rain")</f>
        <v>clear sky</v>
      </c>
    </row>
    <row r="287" spans="1:19" ht="15" customHeight="1" x14ac:dyDescent="0.3">
      <c r="A287" s="2">
        <v>286</v>
      </c>
      <c r="B287" s="3">
        <v>40829</v>
      </c>
      <c r="C287" s="2">
        <v>1</v>
      </c>
      <c r="D287" s="2">
        <v>0</v>
      </c>
      <c r="E287" s="2">
        <v>1</v>
      </c>
      <c r="F287" s="2">
        <v>8</v>
      </c>
      <c r="G287" s="2" t="b">
        <v>0</v>
      </c>
      <c r="H287" s="2">
        <v>4</v>
      </c>
      <c r="I287" s="2">
        <v>1</v>
      </c>
      <c r="J287" s="2">
        <v>0.14000000000000001</v>
      </c>
      <c r="K287" s="4">
        <v>0.13639999999999999</v>
      </c>
      <c r="L287" s="4">
        <v>0.5</v>
      </c>
      <c r="M287" s="4">
        <v>0.19400000000000001</v>
      </c>
      <c r="N287" s="4">
        <v>197</v>
      </c>
      <c r="O287" s="2">
        <v>202</v>
      </c>
      <c r="P287" s="2" t="str">
        <f t="shared" si="4"/>
        <v>Thursday</v>
      </c>
      <c r="Q287" s="2" t="str">
        <f>IF(Table1[[#This Row],[temp]]&gt;=0.24,"cold","colder")</f>
        <v>colder</v>
      </c>
      <c r="R287" s="4">
        <v>5</v>
      </c>
      <c r="S287" s="16" t="str" cm="1">
        <f t="array" ref="S287">_xlfn.IFS(Table1[[#This Row],[weathersit]]=1,"clear sky",Table1[[#This Row],[weathersit]]=2,"mist",Table1[[#This Row],[weathersit]]=3,"partially dark",Table1[[#This Row],[weathersit]]=4,"rain")</f>
        <v>clear sky</v>
      </c>
    </row>
    <row r="288" spans="1:19" ht="15" customHeight="1" x14ac:dyDescent="0.3">
      <c r="A288" s="2">
        <v>287</v>
      </c>
      <c r="B288" s="3">
        <v>40830</v>
      </c>
      <c r="C288" s="2">
        <v>1</v>
      </c>
      <c r="D288" s="2">
        <v>0</v>
      </c>
      <c r="E288" s="2">
        <v>1</v>
      </c>
      <c r="F288" s="2">
        <v>9</v>
      </c>
      <c r="G288" s="2" t="b">
        <v>0</v>
      </c>
      <c r="H288" s="2">
        <v>4</v>
      </c>
      <c r="I288" s="2">
        <v>1</v>
      </c>
      <c r="J288" s="2">
        <v>0.14000000000000001</v>
      </c>
      <c r="K288" s="4">
        <v>0.1212</v>
      </c>
      <c r="L288" s="4">
        <v>0.5</v>
      </c>
      <c r="M288" s="4">
        <v>0.32840000000000003</v>
      </c>
      <c r="N288" s="4">
        <v>137</v>
      </c>
      <c r="O288" s="2">
        <v>139</v>
      </c>
      <c r="P288" s="2" t="str">
        <f t="shared" si="4"/>
        <v>Friday</v>
      </c>
      <c r="Q288" s="2" t="str">
        <f>IF(Table1[[#This Row],[temp]]&gt;=0.24,"cold","colder")</f>
        <v>colder</v>
      </c>
      <c r="R288" s="4">
        <v>2</v>
      </c>
      <c r="S288" s="16" t="str" cm="1">
        <f t="array" ref="S288">_xlfn.IFS(Table1[[#This Row],[weathersit]]=1,"clear sky",Table1[[#This Row],[weathersit]]=2,"mist",Table1[[#This Row],[weathersit]]=3,"partially dark",Table1[[#This Row],[weathersit]]=4,"rain")</f>
        <v>clear sky</v>
      </c>
    </row>
    <row r="289" spans="1:19" ht="15" customHeight="1" x14ac:dyDescent="0.3">
      <c r="A289" s="2">
        <v>288</v>
      </c>
      <c r="B289" s="3">
        <v>40831</v>
      </c>
      <c r="C289" s="2">
        <v>1</v>
      </c>
      <c r="D289" s="2">
        <v>0</v>
      </c>
      <c r="E289" s="2">
        <v>1</v>
      </c>
      <c r="F289" s="2">
        <v>10</v>
      </c>
      <c r="G289" s="2" t="b">
        <v>0</v>
      </c>
      <c r="H289" s="2">
        <v>4</v>
      </c>
      <c r="I289" s="2">
        <v>2</v>
      </c>
      <c r="J289" s="2">
        <v>0.16</v>
      </c>
      <c r="K289" s="4">
        <v>0.13639999999999999</v>
      </c>
      <c r="L289" s="4">
        <v>0.5</v>
      </c>
      <c r="M289" s="4">
        <v>0.35820000000000002</v>
      </c>
      <c r="N289" s="4">
        <v>36</v>
      </c>
      <c r="O289" s="2">
        <v>38</v>
      </c>
      <c r="P289" s="2" t="str">
        <f t="shared" si="4"/>
        <v>Saturday</v>
      </c>
      <c r="Q289" s="2" t="str">
        <f>IF(Table1[[#This Row],[temp]]&gt;=0.24,"cold","colder")</f>
        <v>colder</v>
      </c>
      <c r="R289" s="4">
        <v>2</v>
      </c>
      <c r="S289" s="16" t="str" cm="1">
        <f t="array" ref="S289">_xlfn.IFS(Table1[[#This Row],[weathersit]]=1,"clear sky",Table1[[#This Row],[weathersit]]=2,"mist",Table1[[#This Row],[weathersit]]=3,"partially dark",Table1[[#This Row],[weathersit]]=4,"rain")</f>
        <v>mist</v>
      </c>
    </row>
    <row r="290" spans="1:19" ht="15" customHeight="1" x14ac:dyDescent="0.3">
      <c r="A290" s="2">
        <v>289</v>
      </c>
      <c r="B290" s="3">
        <v>40832</v>
      </c>
      <c r="C290" s="2">
        <v>1</v>
      </c>
      <c r="D290" s="2">
        <v>0</v>
      </c>
      <c r="E290" s="2">
        <v>1</v>
      </c>
      <c r="F290" s="2">
        <v>11</v>
      </c>
      <c r="G290" s="2" t="b">
        <v>0</v>
      </c>
      <c r="H290" s="2">
        <v>4</v>
      </c>
      <c r="I290" s="2">
        <v>2</v>
      </c>
      <c r="J290" s="2">
        <v>0.2</v>
      </c>
      <c r="K290" s="4">
        <v>0.16669999999999999</v>
      </c>
      <c r="L290" s="4">
        <v>0.44</v>
      </c>
      <c r="M290" s="4">
        <v>0.44779999999999998</v>
      </c>
      <c r="N290" s="4">
        <v>33</v>
      </c>
      <c r="O290" s="2">
        <v>37</v>
      </c>
      <c r="P290" s="2" t="str">
        <f t="shared" si="4"/>
        <v>Sunday</v>
      </c>
      <c r="Q290" s="2" t="str">
        <f>IF(Table1[[#This Row],[temp]]&gt;=0.24,"cold","colder")</f>
        <v>colder</v>
      </c>
      <c r="R290" s="4">
        <v>4</v>
      </c>
      <c r="S290" s="16" t="str" cm="1">
        <f t="array" ref="S290">_xlfn.IFS(Table1[[#This Row],[weathersit]]=1,"clear sky",Table1[[#This Row],[weathersit]]=2,"mist",Table1[[#This Row],[weathersit]]=3,"partially dark",Table1[[#This Row],[weathersit]]=4,"rain")</f>
        <v>mist</v>
      </c>
    </row>
    <row r="291" spans="1:19" ht="15" customHeight="1" x14ac:dyDescent="0.3">
      <c r="A291" s="2">
        <v>290</v>
      </c>
      <c r="B291" s="3">
        <v>40833</v>
      </c>
      <c r="C291" s="2">
        <v>1</v>
      </c>
      <c r="D291" s="2">
        <v>0</v>
      </c>
      <c r="E291" s="2">
        <v>1</v>
      </c>
      <c r="F291" s="2">
        <v>12</v>
      </c>
      <c r="G291" s="2" t="b">
        <v>0</v>
      </c>
      <c r="H291" s="2">
        <v>4</v>
      </c>
      <c r="I291" s="2">
        <v>1</v>
      </c>
      <c r="J291" s="2">
        <v>0.2</v>
      </c>
      <c r="K291" s="4">
        <v>0.16669999999999999</v>
      </c>
      <c r="L291" s="4">
        <v>0.44</v>
      </c>
      <c r="M291" s="4">
        <v>0.41789999999999999</v>
      </c>
      <c r="N291" s="4">
        <v>49</v>
      </c>
      <c r="O291" s="2">
        <v>52</v>
      </c>
      <c r="P291" s="2" t="str">
        <f t="shared" si="4"/>
        <v>Monday</v>
      </c>
      <c r="Q291" s="2" t="str">
        <f>IF(Table1[[#This Row],[temp]]&gt;=0.24,"cold","colder")</f>
        <v>colder</v>
      </c>
      <c r="R291" s="4">
        <v>3</v>
      </c>
      <c r="S291" s="16" t="str" cm="1">
        <f t="array" ref="S291">_xlfn.IFS(Table1[[#This Row],[weathersit]]=1,"clear sky",Table1[[#This Row],[weathersit]]=2,"mist",Table1[[#This Row],[weathersit]]=3,"partially dark",Table1[[#This Row],[weathersit]]=4,"rain")</f>
        <v>clear sky</v>
      </c>
    </row>
    <row r="292" spans="1:19" ht="15" customHeight="1" x14ac:dyDescent="0.3">
      <c r="A292" s="2">
        <v>291</v>
      </c>
      <c r="B292" s="3">
        <v>40834</v>
      </c>
      <c r="C292" s="2">
        <v>1</v>
      </c>
      <c r="D292" s="2">
        <v>0</v>
      </c>
      <c r="E292" s="2">
        <v>1</v>
      </c>
      <c r="F292" s="2">
        <v>13</v>
      </c>
      <c r="G292" s="2" t="b">
        <v>0</v>
      </c>
      <c r="H292" s="2">
        <v>4</v>
      </c>
      <c r="I292" s="2">
        <v>1</v>
      </c>
      <c r="J292" s="2">
        <v>0.22</v>
      </c>
      <c r="K292" s="4">
        <v>0.19700000000000001</v>
      </c>
      <c r="L292" s="4">
        <v>0.41</v>
      </c>
      <c r="M292" s="4">
        <v>0.44779999999999998</v>
      </c>
      <c r="N292" s="4">
        <v>81</v>
      </c>
      <c r="O292" s="2">
        <v>83</v>
      </c>
      <c r="P292" s="2" t="str">
        <f t="shared" si="4"/>
        <v>Tuesday</v>
      </c>
      <c r="Q292" s="2" t="str">
        <f>IF(Table1[[#This Row],[temp]]&gt;=0.24,"cold","colder")</f>
        <v>colder</v>
      </c>
      <c r="R292" s="4">
        <v>2</v>
      </c>
      <c r="S292" s="16" t="str" cm="1">
        <f t="array" ref="S292">_xlfn.IFS(Table1[[#This Row],[weathersit]]=1,"clear sky",Table1[[#This Row],[weathersit]]=2,"mist",Table1[[#This Row],[weathersit]]=3,"partially dark",Table1[[#This Row],[weathersit]]=4,"rain")</f>
        <v>clear sky</v>
      </c>
    </row>
    <row r="293" spans="1:19" ht="15" customHeight="1" x14ac:dyDescent="0.3">
      <c r="A293" s="2">
        <v>292</v>
      </c>
      <c r="B293" s="3">
        <v>40835</v>
      </c>
      <c r="C293" s="2">
        <v>1</v>
      </c>
      <c r="D293" s="2">
        <v>0</v>
      </c>
      <c r="E293" s="2">
        <v>1</v>
      </c>
      <c r="F293" s="2">
        <v>14</v>
      </c>
      <c r="G293" s="2" t="b">
        <v>0</v>
      </c>
      <c r="H293" s="2">
        <v>4</v>
      </c>
      <c r="I293" s="2">
        <v>1</v>
      </c>
      <c r="J293" s="2">
        <v>0.22</v>
      </c>
      <c r="K293" s="4">
        <v>0.19700000000000001</v>
      </c>
      <c r="L293" s="4">
        <v>0.41</v>
      </c>
      <c r="M293" s="4">
        <v>0.3881</v>
      </c>
      <c r="N293" s="4">
        <v>39</v>
      </c>
      <c r="O293" s="2">
        <v>42</v>
      </c>
      <c r="P293" s="2" t="str">
        <f t="shared" si="4"/>
        <v>Wednesday</v>
      </c>
      <c r="Q293" s="2" t="str">
        <f>IF(Table1[[#This Row],[temp]]&gt;=0.24,"cold","colder")</f>
        <v>colder</v>
      </c>
      <c r="R293" s="4">
        <v>3</v>
      </c>
      <c r="S293" s="16" t="str" cm="1">
        <f t="array" ref="S293">_xlfn.IFS(Table1[[#This Row],[weathersit]]=1,"clear sky",Table1[[#This Row],[weathersit]]=2,"mist",Table1[[#This Row],[weathersit]]=3,"partially dark",Table1[[#This Row],[weathersit]]=4,"rain")</f>
        <v>clear sky</v>
      </c>
    </row>
    <row r="294" spans="1:19" ht="15" customHeight="1" x14ac:dyDescent="0.3">
      <c r="A294" s="2">
        <v>293</v>
      </c>
      <c r="B294" s="3">
        <v>40836</v>
      </c>
      <c r="C294" s="2">
        <v>1</v>
      </c>
      <c r="D294" s="2">
        <v>0</v>
      </c>
      <c r="E294" s="2">
        <v>1</v>
      </c>
      <c r="F294" s="2">
        <v>15</v>
      </c>
      <c r="G294" s="2" t="b">
        <v>0</v>
      </c>
      <c r="H294" s="2">
        <v>4</v>
      </c>
      <c r="I294" s="2">
        <v>1</v>
      </c>
      <c r="J294" s="2">
        <v>0.24</v>
      </c>
      <c r="K294" s="4">
        <v>0.21210000000000001</v>
      </c>
      <c r="L294" s="4">
        <v>0.38</v>
      </c>
      <c r="M294" s="4">
        <v>0.29849999999999999</v>
      </c>
      <c r="N294" s="4">
        <v>55</v>
      </c>
      <c r="O294" s="2">
        <v>60</v>
      </c>
      <c r="P294" s="2" t="str">
        <f t="shared" si="4"/>
        <v>Thursday</v>
      </c>
      <c r="Q294" s="2" t="str">
        <f>IF(Table1[[#This Row],[temp]]&gt;=0.24,"cold","colder")</f>
        <v>cold</v>
      </c>
      <c r="R294" s="4">
        <v>5</v>
      </c>
      <c r="S294" s="16" t="str" cm="1">
        <f t="array" ref="S294">_xlfn.IFS(Table1[[#This Row],[weathersit]]=1,"clear sky",Table1[[#This Row],[weathersit]]=2,"mist",Table1[[#This Row],[weathersit]]=3,"partially dark",Table1[[#This Row],[weathersit]]=4,"rain")</f>
        <v>clear sky</v>
      </c>
    </row>
    <row r="295" spans="1:19" ht="15" customHeight="1" x14ac:dyDescent="0.3">
      <c r="A295" s="2">
        <v>294</v>
      </c>
      <c r="B295" s="3">
        <v>40837</v>
      </c>
      <c r="C295" s="2">
        <v>1</v>
      </c>
      <c r="D295" s="2">
        <v>0</v>
      </c>
      <c r="E295" s="2">
        <v>1</v>
      </c>
      <c r="F295" s="2">
        <v>16</v>
      </c>
      <c r="G295" s="2" t="b">
        <v>0</v>
      </c>
      <c r="H295" s="2">
        <v>4</v>
      </c>
      <c r="I295" s="2">
        <v>1</v>
      </c>
      <c r="J295" s="2">
        <v>0.24</v>
      </c>
      <c r="K295" s="4">
        <v>0.21210000000000001</v>
      </c>
      <c r="L295" s="4">
        <v>0.38</v>
      </c>
      <c r="M295" s="4">
        <v>0.35820000000000002</v>
      </c>
      <c r="N295" s="4">
        <v>76</v>
      </c>
      <c r="O295" s="2">
        <v>78</v>
      </c>
      <c r="P295" s="2" t="str">
        <f t="shared" si="4"/>
        <v>Friday</v>
      </c>
      <c r="Q295" s="2" t="str">
        <f>IF(Table1[[#This Row],[temp]]&gt;=0.24,"cold","colder")</f>
        <v>cold</v>
      </c>
      <c r="R295" s="4">
        <v>2</v>
      </c>
      <c r="S295" s="16" t="str" cm="1">
        <f t="array" ref="S295">_xlfn.IFS(Table1[[#This Row],[weathersit]]=1,"clear sky",Table1[[#This Row],[weathersit]]=2,"mist",Table1[[#This Row],[weathersit]]=3,"partially dark",Table1[[#This Row],[weathersit]]=4,"rain")</f>
        <v>clear sky</v>
      </c>
    </row>
    <row r="296" spans="1:19" ht="15" customHeight="1" x14ac:dyDescent="0.3">
      <c r="A296" s="2">
        <v>295</v>
      </c>
      <c r="B296" s="3">
        <v>40838</v>
      </c>
      <c r="C296" s="2">
        <v>1</v>
      </c>
      <c r="D296" s="2">
        <v>0</v>
      </c>
      <c r="E296" s="2">
        <v>1</v>
      </c>
      <c r="F296" s="2">
        <v>17</v>
      </c>
      <c r="G296" s="2" t="b">
        <v>0</v>
      </c>
      <c r="H296" s="2">
        <v>4</v>
      </c>
      <c r="I296" s="2">
        <v>1</v>
      </c>
      <c r="J296" s="2">
        <v>0.2</v>
      </c>
      <c r="K296" s="4">
        <v>0.18179999999999999</v>
      </c>
      <c r="L296" s="4">
        <v>0.4</v>
      </c>
      <c r="M296" s="4">
        <v>0.28360000000000002</v>
      </c>
      <c r="N296" s="4">
        <v>158</v>
      </c>
      <c r="O296" s="2">
        <v>162</v>
      </c>
      <c r="P296" s="2" t="str">
        <f t="shared" si="4"/>
        <v>Saturday</v>
      </c>
      <c r="Q296" s="2" t="str">
        <f>IF(Table1[[#This Row],[temp]]&gt;=0.24,"cold","colder")</f>
        <v>colder</v>
      </c>
      <c r="R296" s="4">
        <v>4</v>
      </c>
      <c r="S296" s="16" t="str" cm="1">
        <f t="array" ref="S296">_xlfn.IFS(Table1[[#This Row],[weathersit]]=1,"clear sky",Table1[[#This Row],[weathersit]]=2,"mist",Table1[[#This Row],[weathersit]]=3,"partially dark",Table1[[#This Row],[weathersit]]=4,"rain")</f>
        <v>clear sky</v>
      </c>
    </row>
    <row r="297" spans="1:19" ht="15" customHeight="1" x14ac:dyDescent="0.3">
      <c r="A297" s="2">
        <v>296</v>
      </c>
      <c r="B297" s="3">
        <v>40839</v>
      </c>
      <c r="C297" s="2">
        <v>1</v>
      </c>
      <c r="D297" s="2">
        <v>0</v>
      </c>
      <c r="E297" s="2">
        <v>1</v>
      </c>
      <c r="F297" s="2">
        <v>18</v>
      </c>
      <c r="G297" s="2" t="b">
        <v>0</v>
      </c>
      <c r="H297" s="2">
        <v>4</v>
      </c>
      <c r="I297" s="2">
        <v>1</v>
      </c>
      <c r="J297" s="2">
        <v>0.2</v>
      </c>
      <c r="K297" s="4">
        <v>0.18179999999999999</v>
      </c>
      <c r="L297" s="4">
        <v>0.4</v>
      </c>
      <c r="M297" s="4">
        <v>0.32840000000000003</v>
      </c>
      <c r="N297" s="4">
        <v>141</v>
      </c>
      <c r="O297" s="2">
        <v>144</v>
      </c>
      <c r="P297" s="2" t="str">
        <f t="shared" si="4"/>
        <v>Sunday</v>
      </c>
      <c r="Q297" s="2" t="str">
        <f>IF(Table1[[#This Row],[temp]]&gt;=0.24,"cold","colder")</f>
        <v>colder</v>
      </c>
      <c r="R297" s="4">
        <v>3</v>
      </c>
      <c r="S297" s="16" t="str" cm="1">
        <f t="array" ref="S297">_xlfn.IFS(Table1[[#This Row],[weathersit]]=1,"clear sky",Table1[[#This Row],[weathersit]]=2,"mist",Table1[[#This Row],[weathersit]]=3,"partially dark",Table1[[#This Row],[weathersit]]=4,"rain")</f>
        <v>clear sky</v>
      </c>
    </row>
    <row r="298" spans="1:19" ht="15" customHeight="1" x14ac:dyDescent="0.3">
      <c r="A298" s="2">
        <v>297</v>
      </c>
      <c r="B298" s="3">
        <v>40840</v>
      </c>
      <c r="C298" s="2">
        <v>1</v>
      </c>
      <c r="D298" s="2">
        <v>0</v>
      </c>
      <c r="E298" s="2">
        <v>1</v>
      </c>
      <c r="F298" s="2">
        <v>19</v>
      </c>
      <c r="G298" s="2" t="b">
        <v>0</v>
      </c>
      <c r="H298" s="2">
        <v>4</v>
      </c>
      <c r="I298" s="2">
        <v>1</v>
      </c>
      <c r="J298" s="2">
        <v>0.16</v>
      </c>
      <c r="K298" s="4">
        <v>0.1515</v>
      </c>
      <c r="L298" s="4">
        <v>0.47</v>
      </c>
      <c r="M298" s="4">
        <v>0.25369999999999998</v>
      </c>
      <c r="N298" s="4">
        <v>98</v>
      </c>
      <c r="O298" s="2">
        <v>99</v>
      </c>
      <c r="P298" s="2" t="str">
        <f t="shared" si="4"/>
        <v>Monday</v>
      </c>
      <c r="Q298" s="2" t="str">
        <f>IF(Table1[[#This Row],[temp]]&gt;=0.24,"cold","colder")</f>
        <v>colder</v>
      </c>
      <c r="R298" s="4">
        <v>1</v>
      </c>
      <c r="S298" s="16" t="str" cm="1">
        <f t="array" ref="S298">_xlfn.IFS(Table1[[#This Row],[weathersit]]=1,"clear sky",Table1[[#This Row],[weathersit]]=2,"mist",Table1[[#This Row],[weathersit]]=3,"partially dark",Table1[[#This Row],[weathersit]]=4,"rain")</f>
        <v>clear sky</v>
      </c>
    </row>
    <row r="299" spans="1:19" ht="15" customHeight="1" x14ac:dyDescent="0.3">
      <c r="A299" s="2">
        <v>298</v>
      </c>
      <c r="B299" s="3">
        <v>40841</v>
      </c>
      <c r="C299" s="2">
        <v>1</v>
      </c>
      <c r="D299" s="2">
        <v>0</v>
      </c>
      <c r="E299" s="2">
        <v>1</v>
      </c>
      <c r="F299" s="2">
        <v>20</v>
      </c>
      <c r="G299" s="2" t="b">
        <v>0</v>
      </c>
      <c r="H299" s="2">
        <v>4</v>
      </c>
      <c r="I299" s="2">
        <v>1</v>
      </c>
      <c r="J299" s="2">
        <v>0.16</v>
      </c>
      <c r="K299" s="4">
        <v>0.1515</v>
      </c>
      <c r="L299" s="4">
        <v>0.47</v>
      </c>
      <c r="M299" s="4">
        <v>0.22389999999999999</v>
      </c>
      <c r="N299" s="4">
        <v>64</v>
      </c>
      <c r="O299" s="2">
        <v>64</v>
      </c>
      <c r="P299" s="2" t="str">
        <f t="shared" si="4"/>
        <v>Tuesday</v>
      </c>
      <c r="Q299" s="2" t="str">
        <f>IF(Table1[[#This Row],[temp]]&gt;=0.24,"cold","colder")</f>
        <v>colder</v>
      </c>
      <c r="R299" s="4">
        <v>0</v>
      </c>
      <c r="S299" s="16" t="str" cm="1">
        <f t="array" ref="S299">_xlfn.IFS(Table1[[#This Row],[weathersit]]=1,"clear sky",Table1[[#This Row],[weathersit]]=2,"mist",Table1[[#This Row],[weathersit]]=3,"partially dark",Table1[[#This Row],[weathersit]]=4,"rain")</f>
        <v>clear sky</v>
      </c>
    </row>
    <row r="300" spans="1:19" ht="15" customHeight="1" x14ac:dyDescent="0.3">
      <c r="A300" s="2">
        <v>299</v>
      </c>
      <c r="B300" s="3">
        <v>40842</v>
      </c>
      <c r="C300" s="2">
        <v>1</v>
      </c>
      <c r="D300" s="2">
        <v>0</v>
      </c>
      <c r="E300" s="2">
        <v>1</v>
      </c>
      <c r="F300" s="2">
        <v>21</v>
      </c>
      <c r="G300" s="2" t="b">
        <v>0</v>
      </c>
      <c r="H300" s="2">
        <v>4</v>
      </c>
      <c r="I300" s="2">
        <v>1</v>
      </c>
      <c r="J300" s="2">
        <v>0.14000000000000001</v>
      </c>
      <c r="K300" s="4">
        <v>0.1212</v>
      </c>
      <c r="L300" s="4">
        <v>0.46</v>
      </c>
      <c r="M300" s="4">
        <v>0.29849999999999999</v>
      </c>
      <c r="N300" s="4">
        <v>40</v>
      </c>
      <c r="O300" s="2">
        <v>40</v>
      </c>
      <c r="P300" s="2" t="str">
        <f t="shared" si="4"/>
        <v>Wednesday</v>
      </c>
      <c r="Q300" s="2" t="str">
        <f>IF(Table1[[#This Row],[temp]]&gt;=0.24,"cold","colder")</f>
        <v>colder</v>
      </c>
      <c r="R300" s="4">
        <v>0</v>
      </c>
      <c r="S300" s="16" t="str" cm="1">
        <f t="array" ref="S300">_xlfn.IFS(Table1[[#This Row],[weathersit]]=1,"clear sky",Table1[[#This Row],[weathersit]]=2,"mist",Table1[[#This Row],[weathersit]]=3,"partially dark",Table1[[#This Row],[weathersit]]=4,"rain")</f>
        <v>clear sky</v>
      </c>
    </row>
    <row r="301" spans="1:19" ht="15" customHeight="1" x14ac:dyDescent="0.3">
      <c r="A301" s="2">
        <v>300</v>
      </c>
      <c r="B301" s="3">
        <v>40843</v>
      </c>
      <c r="C301" s="2">
        <v>1</v>
      </c>
      <c r="D301" s="2">
        <v>0</v>
      </c>
      <c r="E301" s="2">
        <v>1</v>
      </c>
      <c r="F301" s="2">
        <v>22</v>
      </c>
      <c r="G301" s="2" t="b">
        <v>0</v>
      </c>
      <c r="H301" s="2">
        <v>4</v>
      </c>
      <c r="I301" s="2">
        <v>1</v>
      </c>
      <c r="J301" s="2">
        <v>0.14000000000000001</v>
      </c>
      <c r="K301" s="4">
        <v>0.1212</v>
      </c>
      <c r="L301" s="4">
        <v>0.46</v>
      </c>
      <c r="M301" s="4">
        <v>0.32840000000000003</v>
      </c>
      <c r="N301" s="4">
        <v>30</v>
      </c>
      <c r="O301" s="2">
        <v>30</v>
      </c>
      <c r="P301" s="2" t="str">
        <f t="shared" si="4"/>
        <v>Thursday</v>
      </c>
      <c r="Q301" s="2" t="str">
        <f>IF(Table1[[#This Row],[temp]]&gt;=0.24,"cold","colder")</f>
        <v>colder</v>
      </c>
      <c r="R301" s="4">
        <v>0</v>
      </c>
      <c r="S301" s="16" t="str" cm="1">
        <f t="array" ref="S301">_xlfn.IFS(Table1[[#This Row],[weathersit]]=1,"clear sky",Table1[[#This Row],[weathersit]]=2,"mist",Table1[[#This Row],[weathersit]]=3,"partially dark",Table1[[#This Row],[weathersit]]=4,"rain")</f>
        <v>clear sky</v>
      </c>
    </row>
    <row r="302" spans="1:19" ht="15" customHeight="1" x14ac:dyDescent="0.3">
      <c r="A302" s="2">
        <v>301</v>
      </c>
      <c r="B302" s="3">
        <v>40844</v>
      </c>
      <c r="C302" s="2">
        <v>1</v>
      </c>
      <c r="D302" s="2">
        <v>0</v>
      </c>
      <c r="E302" s="2">
        <v>1</v>
      </c>
      <c r="F302" s="2">
        <v>23</v>
      </c>
      <c r="G302" s="2" t="b">
        <v>0</v>
      </c>
      <c r="H302" s="2">
        <v>4</v>
      </c>
      <c r="I302" s="2">
        <v>1</v>
      </c>
      <c r="J302" s="2">
        <v>0.12</v>
      </c>
      <c r="K302" s="4">
        <v>0.13639999999999999</v>
      </c>
      <c r="L302" s="4">
        <v>0.5</v>
      </c>
      <c r="M302" s="4">
        <v>0.19400000000000001</v>
      </c>
      <c r="N302" s="4">
        <v>14</v>
      </c>
      <c r="O302" s="2">
        <v>15</v>
      </c>
      <c r="P302" s="2" t="str">
        <f t="shared" si="4"/>
        <v>Friday</v>
      </c>
      <c r="Q302" s="2" t="str">
        <f>IF(Table1[[#This Row],[temp]]&gt;=0.24,"cold","colder")</f>
        <v>colder</v>
      </c>
      <c r="R302" s="4">
        <v>1</v>
      </c>
      <c r="S302" s="16" t="str" cm="1">
        <f t="array" ref="S302">_xlfn.IFS(Table1[[#This Row],[weathersit]]=1,"clear sky",Table1[[#This Row],[weathersit]]=2,"mist",Table1[[#This Row],[weathersit]]=3,"partially dark",Table1[[#This Row],[weathersit]]=4,"rain")</f>
        <v>clear sky</v>
      </c>
    </row>
    <row r="303" spans="1:19" ht="15" customHeight="1" x14ac:dyDescent="0.3">
      <c r="A303" s="2">
        <v>302</v>
      </c>
      <c r="B303" s="3">
        <v>40845</v>
      </c>
      <c r="C303" s="2">
        <v>1</v>
      </c>
      <c r="D303" s="2">
        <v>0</v>
      </c>
      <c r="E303" s="2">
        <v>1</v>
      </c>
      <c r="F303" s="2">
        <v>0</v>
      </c>
      <c r="G303" s="2" t="b">
        <v>0</v>
      </c>
      <c r="H303" s="2">
        <v>5</v>
      </c>
      <c r="I303" s="2">
        <v>1</v>
      </c>
      <c r="J303" s="2">
        <v>0.12</v>
      </c>
      <c r="K303" s="4">
        <v>0.13639999999999999</v>
      </c>
      <c r="L303" s="4">
        <v>0.5</v>
      </c>
      <c r="M303" s="4">
        <v>0.19400000000000001</v>
      </c>
      <c r="N303" s="4">
        <v>14</v>
      </c>
      <c r="O303" s="2">
        <v>14</v>
      </c>
      <c r="P303" s="2" t="str">
        <f t="shared" si="4"/>
        <v>Saturday</v>
      </c>
      <c r="Q303" s="2" t="str">
        <f>IF(Table1[[#This Row],[temp]]&gt;=0.24,"cold","colder")</f>
        <v>colder</v>
      </c>
      <c r="R303" s="4">
        <v>0</v>
      </c>
      <c r="S303" s="16" t="str" cm="1">
        <f t="array" ref="S303">_xlfn.IFS(Table1[[#This Row],[weathersit]]=1,"clear sky",Table1[[#This Row],[weathersit]]=2,"mist",Table1[[#This Row],[weathersit]]=3,"partially dark",Table1[[#This Row],[weathersit]]=4,"rain")</f>
        <v>clear sky</v>
      </c>
    </row>
    <row r="304" spans="1:19" ht="15" customHeight="1" x14ac:dyDescent="0.3">
      <c r="A304" s="2">
        <v>303</v>
      </c>
      <c r="B304" s="3">
        <v>40846</v>
      </c>
      <c r="C304" s="2">
        <v>1</v>
      </c>
      <c r="D304" s="2">
        <v>0</v>
      </c>
      <c r="E304" s="2">
        <v>1</v>
      </c>
      <c r="F304" s="2">
        <v>1</v>
      </c>
      <c r="G304" s="2" t="b">
        <v>0</v>
      </c>
      <c r="H304" s="2">
        <v>5</v>
      </c>
      <c r="I304" s="2">
        <v>1</v>
      </c>
      <c r="J304" s="2">
        <v>0.1</v>
      </c>
      <c r="K304" s="4">
        <v>0.1212</v>
      </c>
      <c r="L304" s="4">
        <v>0.54</v>
      </c>
      <c r="M304" s="4">
        <v>0.16420000000000001</v>
      </c>
      <c r="N304" s="4">
        <v>5</v>
      </c>
      <c r="O304" s="2">
        <v>5</v>
      </c>
      <c r="P304" s="2" t="str">
        <f t="shared" si="4"/>
        <v>Sunday</v>
      </c>
      <c r="Q304" s="2" t="str">
        <f>IF(Table1[[#This Row],[temp]]&gt;=0.24,"cold","colder")</f>
        <v>colder</v>
      </c>
      <c r="R304" s="4">
        <v>0</v>
      </c>
      <c r="S304" s="16" t="str" cm="1">
        <f t="array" ref="S304">_xlfn.IFS(Table1[[#This Row],[weathersit]]=1,"clear sky",Table1[[#This Row],[weathersit]]=2,"mist",Table1[[#This Row],[weathersit]]=3,"partially dark",Table1[[#This Row],[weathersit]]=4,"rain")</f>
        <v>clear sky</v>
      </c>
    </row>
    <row r="305" spans="1:19" ht="15" customHeight="1" x14ac:dyDescent="0.3">
      <c r="A305" s="2">
        <v>304</v>
      </c>
      <c r="B305" s="3">
        <v>40847</v>
      </c>
      <c r="C305" s="2">
        <v>1</v>
      </c>
      <c r="D305" s="2">
        <v>0</v>
      </c>
      <c r="E305" s="2">
        <v>1</v>
      </c>
      <c r="F305" s="2">
        <v>2</v>
      </c>
      <c r="G305" s="2" t="b">
        <v>0</v>
      </c>
      <c r="H305" s="2">
        <v>5</v>
      </c>
      <c r="I305" s="2">
        <v>1</v>
      </c>
      <c r="J305" s="2">
        <v>0.1</v>
      </c>
      <c r="K305" s="4">
        <v>0.1212</v>
      </c>
      <c r="L305" s="4">
        <v>0.54</v>
      </c>
      <c r="M305" s="4">
        <v>0.1343</v>
      </c>
      <c r="N305" s="4">
        <v>1</v>
      </c>
      <c r="O305" s="2">
        <v>1</v>
      </c>
      <c r="P305" s="2" t="str">
        <f t="shared" si="4"/>
        <v>Monday</v>
      </c>
      <c r="Q305" s="2" t="str">
        <f>IF(Table1[[#This Row],[temp]]&gt;=0.24,"cold","colder")</f>
        <v>colder</v>
      </c>
      <c r="R305" s="4">
        <v>0</v>
      </c>
      <c r="S305" s="16" t="str" cm="1">
        <f t="array" ref="S305">_xlfn.IFS(Table1[[#This Row],[weathersit]]=1,"clear sky",Table1[[#This Row],[weathersit]]=2,"mist",Table1[[#This Row],[weathersit]]=3,"partially dark",Table1[[#This Row],[weathersit]]=4,"rain")</f>
        <v>clear sky</v>
      </c>
    </row>
    <row r="306" spans="1:19" ht="15" customHeight="1" x14ac:dyDescent="0.3">
      <c r="A306" s="2">
        <v>305</v>
      </c>
      <c r="B306" s="3">
        <v>40848</v>
      </c>
      <c r="C306" s="2">
        <v>1</v>
      </c>
      <c r="D306" s="2">
        <v>0</v>
      </c>
      <c r="E306" s="2">
        <v>1</v>
      </c>
      <c r="F306" s="2">
        <v>3</v>
      </c>
      <c r="G306" s="2" t="b">
        <v>0</v>
      </c>
      <c r="H306" s="2">
        <v>5</v>
      </c>
      <c r="I306" s="2">
        <v>1</v>
      </c>
      <c r="J306" s="2">
        <v>0.1</v>
      </c>
      <c r="K306" s="4">
        <v>0.13639999999999999</v>
      </c>
      <c r="L306" s="4">
        <v>0.54</v>
      </c>
      <c r="M306" s="4">
        <v>0.1045</v>
      </c>
      <c r="N306" s="4">
        <v>1</v>
      </c>
      <c r="O306" s="2">
        <v>1</v>
      </c>
      <c r="P306" s="2" t="str">
        <f t="shared" si="4"/>
        <v>Tuesday</v>
      </c>
      <c r="Q306" s="2" t="str">
        <f>IF(Table1[[#This Row],[temp]]&gt;=0.24,"cold","colder")</f>
        <v>colder</v>
      </c>
      <c r="R306" s="4">
        <v>0</v>
      </c>
      <c r="S306" s="16" t="str" cm="1">
        <f t="array" ref="S306">_xlfn.IFS(Table1[[#This Row],[weathersit]]=1,"clear sky",Table1[[#This Row],[weathersit]]=2,"mist",Table1[[#This Row],[weathersit]]=3,"partially dark",Table1[[#This Row],[weathersit]]=4,"rain")</f>
        <v>clear sky</v>
      </c>
    </row>
    <row r="307" spans="1:19" ht="15" customHeight="1" x14ac:dyDescent="0.3">
      <c r="A307" s="2">
        <v>306</v>
      </c>
      <c r="B307" s="3">
        <v>40849</v>
      </c>
      <c r="C307" s="2">
        <v>1</v>
      </c>
      <c r="D307" s="2">
        <v>0</v>
      </c>
      <c r="E307" s="2">
        <v>1</v>
      </c>
      <c r="F307" s="2">
        <v>5</v>
      </c>
      <c r="G307" s="2" t="b">
        <v>0</v>
      </c>
      <c r="H307" s="2">
        <v>5</v>
      </c>
      <c r="I307" s="2">
        <v>1</v>
      </c>
      <c r="J307" s="2">
        <v>0.1</v>
      </c>
      <c r="K307" s="4">
        <v>0.13639999999999999</v>
      </c>
      <c r="L307" s="4">
        <v>0.54</v>
      </c>
      <c r="M307" s="4">
        <v>8.9599999999999999E-2</v>
      </c>
      <c r="N307" s="4">
        <v>8</v>
      </c>
      <c r="O307" s="2">
        <v>8</v>
      </c>
      <c r="P307" s="2" t="str">
        <f t="shared" si="4"/>
        <v>Wednesday</v>
      </c>
      <c r="Q307" s="2" t="str">
        <f>IF(Table1[[#This Row],[temp]]&gt;=0.24,"cold","colder")</f>
        <v>colder</v>
      </c>
      <c r="R307" s="4">
        <v>0</v>
      </c>
      <c r="S307" s="16" t="str" cm="1">
        <f t="array" ref="S307">_xlfn.IFS(Table1[[#This Row],[weathersit]]=1,"clear sky",Table1[[#This Row],[weathersit]]=2,"mist",Table1[[#This Row],[weathersit]]=3,"partially dark",Table1[[#This Row],[weathersit]]=4,"rain")</f>
        <v>clear sky</v>
      </c>
    </row>
    <row r="308" spans="1:19" ht="15" customHeight="1" x14ac:dyDescent="0.3">
      <c r="A308" s="2">
        <v>307</v>
      </c>
      <c r="B308" s="3">
        <v>40850</v>
      </c>
      <c r="C308" s="2">
        <v>1</v>
      </c>
      <c r="D308" s="2">
        <v>0</v>
      </c>
      <c r="E308" s="2">
        <v>1</v>
      </c>
      <c r="F308" s="2">
        <v>6</v>
      </c>
      <c r="G308" s="2" t="b">
        <v>0</v>
      </c>
      <c r="H308" s="2">
        <v>5</v>
      </c>
      <c r="I308" s="2">
        <v>1</v>
      </c>
      <c r="J308" s="2">
        <v>0.1</v>
      </c>
      <c r="K308" s="4">
        <v>0.18179999999999999</v>
      </c>
      <c r="L308" s="4">
        <v>0.54</v>
      </c>
      <c r="M308" s="4">
        <v>0</v>
      </c>
      <c r="N308" s="4">
        <v>17</v>
      </c>
      <c r="O308" s="2">
        <v>17</v>
      </c>
      <c r="P308" s="2" t="str">
        <f t="shared" si="4"/>
        <v>Thursday</v>
      </c>
      <c r="Q308" s="2" t="str">
        <f>IF(Table1[[#This Row],[temp]]&gt;=0.24,"cold","colder")</f>
        <v>colder</v>
      </c>
      <c r="R308" s="4">
        <v>0</v>
      </c>
      <c r="S308" s="16" t="str" cm="1">
        <f t="array" ref="S308">_xlfn.IFS(Table1[[#This Row],[weathersit]]=1,"clear sky",Table1[[#This Row],[weathersit]]=2,"mist",Table1[[#This Row],[weathersit]]=3,"partially dark",Table1[[#This Row],[weathersit]]=4,"rain")</f>
        <v>clear sky</v>
      </c>
    </row>
    <row r="309" spans="1:19" ht="15" customHeight="1" x14ac:dyDescent="0.3">
      <c r="A309" s="2">
        <v>308</v>
      </c>
      <c r="B309" s="3">
        <v>40851</v>
      </c>
      <c r="C309" s="2">
        <v>1</v>
      </c>
      <c r="D309" s="2">
        <v>0</v>
      </c>
      <c r="E309" s="2">
        <v>1</v>
      </c>
      <c r="F309" s="2">
        <v>7</v>
      </c>
      <c r="G309" s="2" t="b">
        <v>0</v>
      </c>
      <c r="H309" s="2">
        <v>5</v>
      </c>
      <c r="I309" s="2">
        <v>1</v>
      </c>
      <c r="J309" s="2">
        <v>0.1</v>
      </c>
      <c r="K309" s="4">
        <v>0.1212</v>
      </c>
      <c r="L309" s="4">
        <v>0.74</v>
      </c>
      <c r="M309" s="4">
        <v>0.16420000000000001</v>
      </c>
      <c r="N309" s="4">
        <v>70</v>
      </c>
      <c r="O309" s="2">
        <v>70</v>
      </c>
      <c r="P309" s="2" t="str">
        <f t="shared" si="4"/>
        <v>Friday</v>
      </c>
      <c r="Q309" s="2" t="str">
        <f>IF(Table1[[#This Row],[temp]]&gt;=0.24,"cold","colder")</f>
        <v>colder</v>
      </c>
      <c r="R309" s="4">
        <v>0</v>
      </c>
      <c r="S309" s="16" t="str" cm="1">
        <f t="array" ref="S309">_xlfn.IFS(Table1[[#This Row],[weathersit]]=1,"clear sky",Table1[[#This Row],[weathersit]]=2,"mist",Table1[[#This Row],[weathersit]]=3,"partially dark",Table1[[#This Row],[weathersit]]=4,"rain")</f>
        <v>clear sky</v>
      </c>
    </row>
    <row r="310" spans="1:19" ht="15" customHeight="1" x14ac:dyDescent="0.3">
      <c r="A310" s="2">
        <v>309</v>
      </c>
      <c r="B310" s="3">
        <v>40852</v>
      </c>
      <c r="C310" s="2">
        <v>1</v>
      </c>
      <c r="D310" s="2">
        <v>0</v>
      </c>
      <c r="E310" s="2">
        <v>1</v>
      </c>
      <c r="F310" s="2">
        <v>8</v>
      </c>
      <c r="G310" s="2" t="b">
        <v>0</v>
      </c>
      <c r="H310" s="2">
        <v>5</v>
      </c>
      <c r="I310" s="2">
        <v>1</v>
      </c>
      <c r="J310" s="2">
        <v>0.12</v>
      </c>
      <c r="K310" s="4">
        <v>0.16669999999999999</v>
      </c>
      <c r="L310" s="4">
        <v>0.68</v>
      </c>
      <c r="M310" s="4">
        <v>0</v>
      </c>
      <c r="N310" s="4">
        <v>156</v>
      </c>
      <c r="O310" s="2">
        <v>158</v>
      </c>
      <c r="P310" s="2" t="str">
        <f t="shared" si="4"/>
        <v>Saturday</v>
      </c>
      <c r="Q310" s="2" t="str">
        <f>IF(Table1[[#This Row],[temp]]&gt;=0.24,"cold","colder")</f>
        <v>colder</v>
      </c>
      <c r="R310" s="4">
        <v>2</v>
      </c>
      <c r="S310" s="16" t="str" cm="1">
        <f t="array" ref="S310">_xlfn.IFS(Table1[[#This Row],[weathersit]]=1,"clear sky",Table1[[#This Row],[weathersit]]=2,"mist",Table1[[#This Row],[weathersit]]=3,"partially dark",Table1[[#This Row],[weathersit]]=4,"rain")</f>
        <v>clear sky</v>
      </c>
    </row>
    <row r="311" spans="1:19" ht="15" customHeight="1" x14ac:dyDescent="0.3">
      <c r="A311" s="2">
        <v>310</v>
      </c>
      <c r="B311" s="3">
        <v>40853</v>
      </c>
      <c r="C311" s="2">
        <v>1</v>
      </c>
      <c r="D311" s="2">
        <v>0</v>
      </c>
      <c r="E311" s="2">
        <v>1</v>
      </c>
      <c r="F311" s="2">
        <v>9</v>
      </c>
      <c r="G311" s="2" t="b">
        <v>0</v>
      </c>
      <c r="H311" s="2">
        <v>5</v>
      </c>
      <c r="I311" s="2">
        <v>1</v>
      </c>
      <c r="J311" s="2">
        <v>0.14000000000000001</v>
      </c>
      <c r="K311" s="4">
        <v>0.1515</v>
      </c>
      <c r="L311" s="4">
        <v>0.69</v>
      </c>
      <c r="M311" s="4">
        <v>0.1343</v>
      </c>
      <c r="N311" s="4">
        <v>117</v>
      </c>
      <c r="O311" s="2">
        <v>117</v>
      </c>
      <c r="P311" s="2" t="str">
        <f t="shared" si="4"/>
        <v>Sunday</v>
      </c>
      <c r="Q311" s="2" t="str">
        <f>IF(Table1[[#This Row],[temp]]&gt;=0.24,"cold","colder")</f>
        <v>colder</v>
      </c>
      <c r="R311" s="4">
        <v>0</v>
      </c>
      <c r="S311" s="16" t="str" cm="1">
        <f t="array" ref="S311">_xlfn.IFS(Table1[[#This Row],[weathersit]]=1,"clear sky",Table1[[#This Row],[weathersit]]=2,"mist",Table1[[#This Row],[weathersit]]=3,"partially dark",Table1[[#This Row],[weathersit]]=4,"rain")</f>
        <v>clear sky</v>
      </c>
    </row>
    <row r="312" spans="1:19" ht="15" customHeight="1" x14ac:dyDescent="0.3">
      <c r="A312" s="2">
        <v>311</v>
      </c>
      <c r="B312" s="3">
        <v>40854</v>
      </c>
      <c r="C312" s="2">
        <v>1</v>
      </c>
      <c r="D312" s="2">
        <v>0</v>
      </c>
      <c r="E312" s="2">
        <v>1</v>
      </c>
      <c r="F312" s="2">
        <v>10</v>
      </c>
      <c r="G312" s="2" t="b">
        <v>0</v>
      </c>
      <c r="H312" s="2">
        <v>5</v>
      </c>
      <c r="I312" s="2">
        <v>1</v>
      </c>
      <c r="J312" s="2">
        <v>0.18</v>
      </c>
      <c r="K312" s="4">
        <v>0.18179999999999999</v>
      </c>
      <c r="L312" s="4">
        <v>0.55000000000000004</v>
      </c>
      <c r="M312" s="4">
        <v>0.19400000000000001</v>
      </c>
      <c r="N312" s="4">
        <v>40</v>
      </c>
      <c r="O312" s="2">
        <v>44</v>
      </c>
      <c r="P312" s="2" t="str">
        <f t="shared" si="4"/>
        <v>Monday</v>
      </c>
      <c r="Q312" s="2" t="str">
        <f>IF(Table1[[#This Row],[temp]]&gt;=0.24,"cold","colder")</f>
        <v>colder</v>
      </c>
      <c r="R312" s="4">
        <v>4</v>
      </c>
      <c r="S312" s="16" t="str" cm="1">
        <f t="array" ref="S312">_xlfn.IFS(Table1[[#This Row],[weathersit]]=1,"clear sky",Table1[[#This Row],[weathersit]]=2,"mist",Table1[[#This Row],[weathersit]]=3,"partially dark",Table1[[#This Row],[weathersit]]=4,"rain")</f>
        <v>clear sky</v>
      </c>
    </row>
    <row r="313" spans="1:19" ht="15" customHeight="1" x14ac:dyDescent="0.3">
      <c r="A313" s="2">
        <v>312</v>
      </c>
      <c r="B313" s="3">
        <v>40855</v>
      </c>
      <c r="C313" s="2">
        <v>1</v>
      </c>
      <c r="D313" s="2">
        <v>0</v>
      </c>
      <c r="E313" s="2">
        <v>1</v>
      </c>
      <c r="F313" s="2">
        <v>11</v>
      </c>
      <c r="G313" s="2" t="b">
        <v>0</v>
      </c>
      <c r="H313" s="2">
        <v>5</v>
      </c>
      <c r="I313" s="2">
        <v>1</v>
      </c>
      <c r="J313" s="2">
        <v>0.18</v>
      </c>
      <c r="K313" s="4">
        <v>0.16669999999999999</v>
      </c>
      <c r="L313" s="4">
        <v>0.51</v>
      </c>
      <c r="M313" s="4">
        <v>0.28360000000000002</v>
      </c>
      <c r="N313" s="4">
        <v>47</v>
      </c>
      <c r="O313" s="2">
        <v>53</v>
      </c>
      <c r="P313" s="2" t="str">
        <f t="shared" si="4"/>
        <v>Tuesday</v>
      </c>
      <c r="Q313" s="2" t="str">
        <f>IF(Table1[[#This Row],[temp]]&gt;=0.24,"cold","colder")</f>
        <v>colder</v>
      </c>
      <c r="R313" s="4">
        <v>6</v>
      </c>
      <c r="S313" s="16" t="str" cm="1">
        <f t="array" ref="S313">_xlfn.IFS(Table1[[#This Row],[weathersit]]=1,"clear sky",Table1[[#This Row],[weathersit]]=2,"mist",Table1[[#This Row],[weathersit]]=3,"partially dark",Table1[[#This Row],[weathersit]]=4,"rain")</f>
        <v>clear sky</v>
      </c>
    </row>
    <row r="314" spans="1:19" ht="15" customHeight="1" x14ac:dyDescent="0.3">
      <c r="A314" s="2">
        <v>313</v>
      </c>
      <c r="B314" s="3">
        <v>40856</v>
      </c>
      <c r="C314" s="2">
        <v>1</v>
      </c>
      <c r="D314" s="2">
        <v>0</v>
      </c>
      <c r="E314" s="2">
        <v>1</v>
      </c>
      <c r="F314" s="2">
        <v>12</v>
      </c>
      <c r="G314" s="2" t="b">
        <v>0</v>
      </c>
      <c r="H314" s="2">
        <v>5</v>
      </c>
      <c r="I314" s="2">
        <v>1</v>
      </c>
      <c r="J314" s="2">
        <v>0.2</v>
      </c>
      <c r="K314" s="4">
        <v>0.19700000000000001</v>
      </c>
      <c r="L314" s="4">
        <v>0.44</v>
      </c>
      <c r="M314" s="4">
        <v>0.25369999999999998</v>
      </c>
      <c r="N314" s="4">
        <v>59</v>
      </c>
      <c r="O314" s="2">
        <v>61</v>
      </c>
      <c r="P314" s="2" t="str">
        <f t="shared" si="4"/>
        <v>Wednesday</v>
      </c>
      <c r="Q314" s="2" t="str">
        <f>IF(Table1[[#This Row],[temp]]&gt;=0.24,"cold","colder")</f>
        <v>colder</v>
      </c>
      <c r="R314" s="4">
        <v>2</v>
      </c>
      <c r="S314" s="16" t="str" cm="1">
        <f t="array" ref="S314">_xlfn.IFS(Table1[[#This Row],[weathersit]]=1,"clear sky",Table1[[#This Row],[weathersit]]=2,"mist",Table1[[#This Row],[weathersit]]=3,"partially dark",Table1[[#This Row],[weathersit]]=4,"rain")</f>
        <v>clear sky</v>
      </c>
    </row>
    <row r="315" spans="1:19" ht="15" customHeight="1" x14ac:dyDescent="0.3">
      <c r="A315" s="2">
        <v>314</v>
      </c>
      <c r="B315" s="3">
        <v>40857</v>
      </c>
      <c r="C315" s="2">
        <v>1</v>
      </c>
      <c r="D315" s="2">
        <v>0</v>
      </c>
      <c r="E315" s="2">
        <v>1</v>
      </c>
      <c r="F315" s="2">
        <v>13</v>
      </c>
      <c r="G315" s="2" t="b">
        <v>0</v>
      </c>
      <c r="H315" s="2">
        <v>5</v>
      </c>
      <c r="I315" s="2">
        <v>1</v>
      </c>
      <c r="J315" s="2">
        <v>0.22</v>
      </c>
      <c r="K315" s="4">
        <v>0.19700000000000001</v>
      </c>
      <c r="L315" s="4">
        <v>0.37</v>
      </c>
      <c r="M315" s="4">
        <v>0.3881</v>
      </c>
      <c r="N315" s="4">
        <v>73</v>
      </c>
      <c r="O315" s="2">
        <v>77</v>
      </c>
      <c r="P315" s="2" t="str">
        <f t="shared" si="4"/>
        <v>Thursday</v>
      </c>
      <c r="Q315" s="2" t="str">
        <f>IF(Table1[[#This Row],[temp]]&gt;=0.24,"cold","colder")</f>
        <v>colder</v>
      </c>
      <c r="R315" s="4">
        <v>4</v>
      </c>
      <c r="S315" s="16" t="str" cm="1">
        <f t="array" ref="S315">_xlfn.IFS(Table1[[#This Row],[weathersit]]=1,"clear sky",Table1[[#This Row],[weathersit]]=2,"mist",Table1[[#This Row],[weathersit]]=3,"partially dark",Table1[[#This Row],[weathersit]]=4,"rain")</f>
        <v>clear sky</v>
      </c>
    </row>
    <row r="316" spans="1:19" ht="15" customHeight="1" x14ac:dyDescent="0.3">
      <c r="A316" s="2">
        <v>315</v>
      </c>
      <c r="B316" s="3">
        <v>40858</v>
      </c>
      <c r="C316" s="2">
        <v>1</v>
      </c>
      <c r="D316" s="2">
        <v>0</v>
      </c>
      <c r="E316" s="2">
        <v>1</v>
      </c>
      <c r="F316" s="2">
        <v>14</v>
      </c>
      <c r="G316" s="2" t="b">
        <v>0</v>
      </c>
      <c r="H316" s="2">
        <v>5</v>
      </c>
      <c r="I316" s="2">
        <v>1</v>
      </c>
      <c r="J316" s="2">
        <v>0.22</v>
      </c>
      <c r="K316" s="4">
        <v>0.21210000000000001</v>
      </c>
      <c r="L316" s="4">
        <v>0.41</v>
      </c>
      <c r="M316" s="4">
        <v>0.28360000000000002</v>
      </c>
      <c r="N316" s="4">
        <v>59</v>
      </c>
      <c r="O316" s="2">
        <v>64</v>
      </c>
      <c r="P316" s="2" t="str">
        <f t="shared" si="4"/>
        <v>Friday</v>
      </c>
      <c r="Q316" s="2" t="str">
        <f>IF(Table1[[#This Row],[temp]]&gt;=0.24,"cold","colder")</f>
        <v>colder</v>
      </c>
      <c r="R316" s="4">
        <v>5</v>
      </c>
      <c r="S316" s="16" t="str" cm="1">
        <f t="array" ref="S316">_xlfn.IFS(Table1[[#This Row],[weathersit]]=1,"clear sky",Table1[[#This Row],[weathersit]]=2,"mist",Table1[[#This Row],[weathersit]]=3,"partially dark",Table1[[#This Row],[weathersit]]=4,"rain")</f>
        <v>clear sky</v>
      </c>
    </row>
    <row r="317" spans="1:19" ht="15" customHeight="1" x14ac:dyDescent="0.3">
      <c r="A317" s="2">
        <v>316</v>
      </c>
      <c r="B317" s="3">
        <v>40859</v>
      </c>
      <c r="C317" s="2">
        <v>1</v>
      </c>
      <c r="D317" s="2">
        <v>0</v>
      </c>
      <c r="E317" s="2">
        <v>1</v>
      </c>
      <c r="F317" s="2">
        <v>15</v>
      </c>
      <c r="G317" s="2" t="b">
        <v>0</v>
      </c>
      <c r="H317" s="2">
        <v>5</v>
      </c>
      <c r="I317" s="2">
        <v>1</v>
      </c>
      <c r="J317" s="2">
        <v>0.24</v>
      </c>
      <c r="K317" s="4">
        <v>0.2424</v>
      </c>
      <c r="L317" s="4">
        <v>0.38</v>
      </c>
      <c r="M317" s="4">
        <v>0.16420000000000001</v>
      </c>
      <c r="N317" s="4">
        <v>59</v>
      </c>
      <c r="O317" s="2">
        <v>68</v>
      </c>
      <c r="P317" s="2" t="str">
        <f t="shared" si="4"/>
        <v>Saturday</v>
      </c>
      <c r="Q317" s="2" t="str">
        <f>IF(Table1[[#This Row],[temp]]&gt;=0.24,"cold","colder")</f>
        <v>cold</v>
      </c>
      <c r="R317" s="4">
        <v>9</v>
      </c>
      <c r="S317" s="16" t="str" cm="1">
        <f t="array" ref="S317">_xlfn.IFS(Table1[[#This Row],[weathersit]]=1,"clear sky",Table1[[#This Row],[weathersit]]=2,"mist",Table1[[#This Row],[weathersit]]=3,"partially dark",Table1[[#This Row],[weathersit]]=4,"rain")</f>
        <v>clear sky</v>
      </c>
    </row>
    <row r="318" spans="1:19" ht="15" customHeight="1" x14ac:dyDescent="0.3">
      <c r="A318" s="2">
        <v>317</v>
      </c>
      <c r="B318" s="3">
        <v>40860</v>
      </c>
      <c r="C318" s="2">
        <v>1</v>
      </c>
      <c r="D318" s="2">
        <v>0</v>
      </c>
      <c r="E318" s="2">
        <v>1</v>
      </c>
      <c r="F318" s="2">
        <v>16</v>
      </c>
      <c r="G318" s="2" t="b">
        <v>0</v>
      </c>
      <c r="H318" s="2">
        <v>5</v>
      </c>
      <c r="I318" s="2">
        <v>1</v>
      </c>
      <c r="J318" s="2">
        <v>0.22</v>
      </c>
      <c r="K318" s="4">
        <v>0.2424</v>
      </c>
      <c r="L318" s="4">
        <v>0.41</v>
      </c>
      <c r="M318" s="4">
        <v>0.1045</v>
      </c>
      <c r="N318" s="4">
        <v>87</v>
      </c>
      <c r="O318" s="2">
        <v>90</v>
      </c>
      <c r="P318" s="2" t="str">
        <f t="shared" si="4"/>
        <v>Sunday</v>
      </c>
      <c r="Q318" s="2" t="str">
        <f>IF(Table1[[#This Row],[temp]]&gt;=0.24,"cold","colder")</f>
        <v>colder</v>
      </c>
      <c r="R318" s="4">
        <v>3</v>
      </c>
      <c r="S318" s="16" t="str" cm="1">
        <f t="array" ref="S318">_xlfn.IFS(Table1[[#This Row],[weathersit]]=1,"clear sky",Table1[[#This Row],[weathersit]]=2,"mist",Table1[[#This Row],[weathersit]]=3,"partially dark",Table1[[#This Row],[weathersit]]=4,"rain")</f>
        <v>clear sky</v>
      </c>
    </row>
    <row r="319" spans="1:19" ht="15" customHeight="1" x14ac:dyDescent="0.3">
      <c r="A319" s="2">
        <v>318</v>
      </c>
      <c r="B319" s="3">
        <v>40861</v>
      </c>
      <c r="C319" s="2">
        <v>1</v>
      </c>
      <c r="D319" s="2">
        <v>0</v>
      </c>
      <c r="E319" s="2">
        <v>1</v>
      </c>
      <c r="F319" s="2">
        <v>17</v>
      </c>
      <c r="G319" s="2" t="b">
        <v>0</v>
      </c>
      <c r="H319" s="2">
        <v>5</v>
      </c>
      <c r="I319" s="2">
        <v>1</v>
      </c>
      <c r="J319" s="2">
        <v>0.22</v>
      </c>
      <c r="K319" s="4">
        <v>0.2273</v>
      </c>
      <c r="L319" s="4">
        <v>0.41</v>
      </c>
      <c r="M319" s="4">
        <v>0.16420000000000001</v>
      </c>
      <c r="N319" s="4">
        <v>155</v>
      </c>
      <c r="O319" s="2">
        <v>159</v>
      </c>
      <c r="P319" s="2" t="str">
        <f t="shared" si="4"/>
        <v>Monday</v>
      </c>
      <c r="Q319" s="2" t="str">
        <f>IF(Table1[[#This Row],[temp]]&gt;=0.24,"cold","colder")</f>
        <v>colder</v>
      </c>
      <c r="R319" s="4">
        <v>4</v>
      </c>
      <c r="S319" s="16" t="str" cm="1">
        <f t="array" ref="S319">_xlfn.IFS(Table1[[#This Row],[weathersit]]=1,"clear sky",Table1[[#This Row],[weathersit]]=2,"mist",Table1[[#This Row],[weathersit]]=3,"partially dark",Table1[[#This Row],[weathersit]]=4,"rain")</f>
        <v>clear sky</v>
      </c>
    </row>
    <row r="320" spans="1:19" ht="15" customHeight="1" x14ac:dyDescent="0.3">
      <c r="A320" s="2">
        <v>319</v>
      </c>
      <c r="B320" s="3">
        <v>40862</v>
      </c>
      <c r="C320" s="2">
        <v>1</v>
      </c>
      <c r="D320" s="2">
        <v>0</v>
      </c>
      <c r="E320" s="2">
        <v>1</v>
      </c>
      <c r="F320" s="2">
        <v>18</v>
      </c>
      <c r="G320" s="2" t="b">
        <v>0</v>
      </c>
      <c r="H320" s="2">
        <v>5</v>
      </c>
      <c r="I320" s="2">
        <v>1</v>
      </c>
      <c r="J320" s="2">
        <v>0.2</v>
      </c>
      <c r="K320" s="4">
        <v>0.2576</v>
      </c>
      <c r="L320" s="4">
        <v>0.47</v>
      </c>
      <c r="M320" s="4">
        <v>0</v>
      </c>
      <c r="N320" s="4">
        <v>134</v>
      </c>
      <c r="O320" s="2">
        <v>139</v>
      </c>
      <c r="P320" s="2" t="str">
        <f t="shared" si="4"/>
        <v>Tuesday</v>
      </c>
      <c r="Q320" s="2" t="str">
        <f>IF(Table1[[#This Row],[temp]]&gt;=0.24,"cold","colder")</f>
        <v>colder</v>
      </c>
      <c r="R320" s="4">
        <v>5</v>
      </c>
      <c r="S320" s="16" t="str" cm="1">
        <f t="array" ref="S320">_xlfn.IFS(Table1[[#This Row],[weathersit]]=1,"clear sky",Table1[[#This Row],[weathersit]]=2,"mist",Table1[[#This Row],[weathersit]]=3,"partially dark",Table1[[#This Row],[weathersit]]=4,"rain")</f>
        <v>clear sky</v>
      </c>
    </row>
    <row r="321" spans="1:19" ht="15" customHeight="1" x14ac:dyDescent="0.3">
      <c r="A321" s="2">
        <v>320</v>
      </c>
      <c r="B321" s="3">
        <v>40863</v>
      </c>
      <c r="C321" s="2">
        <v>1</v>
      </c>
      <c r="D321" s="2">
        <v>0</v>
      </c>
      <c r="E321" s="2">
        <v>1</v>
      </c>
      <c r="F321" s="2">
        <v>19</v>
      </c>
      <c r="G321" s="2" t="b">
        <v>0</v>
      </c>
      <c r="H321" s="2">
        <v>5</v>
      </c>
      <c r="I321" s="2">
        <v>1</v>
      </c>
      <c r="J321" s="2">
        <v>0.16</v>
      </c>
      <c r="K321" s="4">
        <v>0.19700000000000001</v>
      </c>
      <c r="L321" s="4">
        <v>0.59</v>
      </c>
      <c r="M321" s="4">
        <v>8.9599999999999999E-2</v>
      </c>
      <c r="N321" s="4">
        <v>89</v>
      </c>
      <c r="O321" s="2">
        <v>92</v>
      </c>
      <c r="P321" s="2" t="str">
        <f t="shared" si="4"/>
        <v>Wednesday</v>
      </c>
      <c r="Q321" s="2" t="str">
        <f>IF(Table1[[#This Row],[temp]]&gt;=0.24,"cold","colder")</f>
        <v>colder</v>
      </c>
      <c r="R321" s="4">
        <v>3</v>
      </c>
      <c r="S321" s="16" t="str" cm="1">
        <f t="array" ref="S321">_xlfn.IFS(Table1[[#This Row],[weathersit]]=1,"clear sky",Table1[[#This Row],[weathersit]]=2,"mist",Table1[[#This Row],[weathersit]]=3,"partially dark",Table1[[#This Row],[weathersit]]=4,"rain")</f>
        <v>clear sky</v>
      </c>
    </row>
    <row r="322" spans="1:19" ht="15" customHeight="1" x14ac:dyDescent="0.3">
      <c r="A322" s="2">
        <v>321</v>
      </c>
      <c r="B322" s="3">
        <v>40864</v>
      </c>
      <c r="C322" s="2">
        <v>1</v>
      </c>
      <c r="D322" s="2">
        <v>0</v>
      </c>
      <c r="E322" s="2">
        <v>1</v>
      </c>
      <c r="F322" s="2">
        <v>20</v>
      </c>
      <c r="G322" s="2" t="b">
        <v>0</v>
      </c>
      <c r="H322" s="2">
        <v>5</v>
      </c>
      <c r="I322" s="2">
        <v>1</v>
      </c>
      <c r="J322" s="2">
        <v>0.18</v>
      </c>
      <c r="K322" s="4">
        <v>0.2424</v>
      </c>
      <c r="L322" s="4">
        <v>0.59</v>
      </c>
      <c r="M322" s="4">
        <v>0</v>
      </c>
      <c r="N322" s="4">
        <v>68</v>
      </c>
      <c r="O322" s="2">
        <v>68</v>
      </c>
      <c r="P322" s="2" t="str">
        <f t="shared" ref="P322:P385" si="5">TEXT(B322,"dddd")</f>
        <v>Thursday</v>
      </c>
      <c r="Q322" s="2" t="str">
        <f>IF(Table1[[#This Row],[temp]]&gt;=0.24,"cold","colder")</f>
        <v>colder</v>
      </c>
      <c r="R322" s="4">
        <v>0</v>
      </c>
      <c r="S322" s="16" t="str" cm="1">
        <f t="array" ref="S322">_xlfn.IFS(Table1[[#This Row],[weathersit]]=1,"clear sky",Table1[[#This Row],[weathersit]]=2,"mist",Table1[[#This Row],[weathersit]]=3,"partially dark",Table1[[#This Row],[weathersit]]=4,"rain")</f>
        <v>clear sky</v>
      </c>
    </row>
    <row r="323" spans="1:19" ht="15" customHeight="1" x14ac:dyDescent="0.3">
      <c r="A323" s="2">
        <v>322</v>
      </c>
      <c r="B323" s="3">
        <v>40865</v>
      </c>
      <c r="C323" s="2">
        <v>1</v>
      </c>
      <c r="D323" s="2">
        <v>0</v>
      </c>
      <c r="E323" s="2">
        <v>1</v>
      </c>
      <c r="F323" s="2">
        <v>21</v>
      </c>
      <c r="G323" s="2" t="b">
        <v>0</v>
      </c>
      <c r="H323" s="2">
        <v>5</v>
      </c>
      <c r="I323" s="2">
        <v>1</v>
      </c>
      <c r="J323" s="2">
        <v>0.16</v>
      </c>
      <c r="K323" s="4">
        <v>0.2273</v>
      </c>
      <c r="L323" s="4">
        <v>0.69</v>
      </c>
      <c r="M323" s="4">
        <v>0</v>
      </c>
      <c r="N323" s="4">
        <v>48</v>
      </c>
      <c r="O323" s="2">
        <v>52</v>
      </c>
      <c r="P323" s="2" t="str">
        <f t="shared" si="5"/>
        <v>Friday</v>
      </c>
      <c r="Q323" s="2" t="str">
        <f>IF(Table1[[#This Row],[temp]]&gt;=0.24,"cold","colder")</f>
        <v>colder</v>
      </c>
      <c r="R323" s="4">
        <v>4</v>
      </c>
      <c r="S323" s="16" t="str" cm="1">
        <f t="array" ref="S323">_xlfn.IFS(Table1[[#This Row],[weathersit]]=1,"clear sky",Table1[[#This Row],[weathersit]]=2,"mist",Table1[[#This Row],[weathersit]]=3,"partially dark",Table1[[#This Row],[weathersit]]=4,"rain")</f>
        <v>clear sky</v>
      </c>
    </row>
    <row r="324" spans="1:19" ht="15" customHeight="1" x14ac:dyDescent="0.3">
      <c r="A324" s="2">
        <v>323</v>
      </c>
      <c r="B324" s="3">
        <v>40866</v>
      </c>
      <c r="C324" s="2">
        <v>1</v>
      </c>
      <c r="D324" s="2">
        <v>0</v>
      </c>
      <c r="E324" s="2">
        <v>1</v>
      </c>
      <c r="F324" s="2">
        <v>22</v>
      </c>
      <c r="G324" s="2" t="b">
        <v>0</v>
      </c>
      <c r="H324" s="2">
        <v>5</v>
      </c>
      <c r="I324" s="2">
        <v>2</v>
      </c>
      <c r="J324" s="2">
        <v>0.16</v>
      </c>
      <c r="K324" s="4">
        <v>0.2273</v>
      </c>
      <c r="L324" s="4">
        <v>0.69</v>
      </c>
      <c r="M324" s="4">
        <v>0</v>
      </c>
      <c r="N324" s="4">
        <v>34</v>
      </c>
      <c r="O324" s="2">
        <v>36</v>
      </c>
      <c r="P324" s="2" t="str">
        <f t="shared" si="5"/>
        <v>Saturday</v>
      </c>
      <c r="Q324" s="2" t="str">
        <f>IF(Table1[[#This Row],[temp]]&gt;=0.24,"cold","colder")</f>
        <v>colder</v>
      </c>
      <c r="R324" s="4">
        <v>2</v>
      </c>
      <c r="S324" s="16" t="str" cm="1">
        <f t="array" ref="S324">_xlfn.IFS(Table1[[#This Row],[weathersit]]=1,"clear sky",Table1[[#This Row],[weathersit]]=2,"mist",Table1[[#This Row],[weathersit]]=3,"partially dark",Table1[[#This Row],[weathersit]]=4,"rain")</f>
        <v>mist</v>
      </c>
    </row>
    <row r="325" spans="1:19" ht="15" customHeight="1" x14ac:dyDescent="0.3">
      <c r="A325" s="2">
        <v>324</v>
      </c>
      <c r="B325" s="3">
        <v>40867</v>
      </c>
      <c r="C325" s="2">
        <v>1</v>
      </c>
      <c r="D325" s="2">
        <v>0</v>
      </c>
      <c r="E325" s="2">
        <v>1</v>
      </c>
      <c r="F325" s="2">
        <v>23</v>
      </c>
      <c r="G325" s="2" t="b">
        <v>0</v>
      </c>
      <c r="H325" s="2">
        <v>5</v>
      </c>
      <c r="I325" s="2">
        <v>2</v>
      </c>
      <c r="J325" s="2">
        <v>0.18</v>
      </c>
      <c r="K325" s="4">
        <v>0.2424</v>
      </c>
      <c r="L325" s="4">
        <v>0.55000000000000004</v>
      </c>
      <c r="M325" s="4">
        <v>0</v>
      </c>
      <c r="N325" s="4">
        <v>26</v>
      </c>
      <c r="O325" s="2">
        <v>27</v>
      </c>
      <c r="P325" s="2" t="str">
        <f t="shared" si="5"/>
        <v>Sunday</v>
      </c>
      <c r="Q325" s="2" t="str">
        <f>IF(Table1[[#This Row],[temp]]&gt;=0.24,"cold","colder")</f>
        <v>colder</v>
      </c>
      <c r="R325" s="4">
        <v>1</v>
      </c>
      <c r="S325" s="16" t="str" cm="1">
        <f t="array" ref="S325">_xlfn.IFS(Table1[[#This Row],[weathersit]]=1,"clear sky",Table1[[#This Row],[weathersit]]=2,"mist",Table1[[#This Row],[weathersit]]=3,"partially dark",Table1[[#This Row],[weathersit]]=4,"rain")</f>
        <v>mist</v>
      </c>
    </row>
    <row r="326" spans="1:19" ht="15" customHeight="1" x14ac:dyDescent="0.3">
      <c r="A326" s="2">
        <v>325</v>
      </c>
      <c r="B326" s="3">
        <v>40868</v>
      </c>
      <c r="C326" s="2">
        <v>1</v>
      </c>
      <c r="D326" s="2">
        <v>0</v>
      </c>
      <c r="E326" s="2">
        <v>1</v>
      </c>
      <c r="F326" s="2">
        <v>0</v>
      </c>
      <c r="G326" s="2" t="b">
        <v>0</v>
      </c>
      <c r="H326" s="2">
        <v>6</v>
      </c>
      <c r="I326" s="2">
        <v>1</v>
      </c>
      <c r="J326" s="2">
        <v>0.18</v>
      </c>
      <c r="K326" s="4">
        <v>0.2424</v>
      </c>
      <c r="L326" s="4">
        <v>0.55000000000000004</v>
      </c>
      <c r="M326" s="4">
        <v>0</v>
      </c>
      <c r="N326" s="4">
        <v>25</v>
      </c>
      <c r="O326" s="2">
        <v>28</v>
      </c>
      <c r="P326" s="2" t="str">
        <f t="shared" si="5"/>
        <v>Monday</v>
      </c>
      <c r="Q326" s="2" t="str">
        <f>IF(Table1[[#This Row],[temp]]&gt;=0.24,"cold","colder")</f>
        <v>colder</v>
      </c>
      <c r="R326" s="4">
        <v>3</v>
      </c>
      <c r="S326" s="16" t="str" cm="1">
        <f t="array" ref="S326">_xlfn.IFS(Table1[[#This Row],[weathersit]]=1,"clear sky",Table1[[#This Row],[weathersit]]=2,"mist",Table1[[#This Row],[weathersit]]=3,"partially dark",Table1[[#This Row],[weathersit]]=4,"rain")</f>
        <v>clear sky</v>
      </c>
    </row>
    <row r="327" spans="1:19" ht="15" customHeight="1" x14ac:dyDescent="0.3">
      <c r="A327" s="2">
        <v>326</v>
      </c>
      <c r="B327" s="3">
        <v>40869</v>
      </c>
      <c r="C327" s="2">
        <v>1</v>
      </c>
      <c r="D327" s="2">
        <v>0</v>
      </c>
      <c r="E327" s="2">
        <v>1</v>
      </c>
      <c r="F327" s="2">
        <v>1</v>
      </c>
      <c r="G327" s="2" t="b">
        <v>0</v>
      </c>
      <c r="H327" s="2">
        <v>6</v>
      </c>
      <c r="I327" s="2">
        <v>2</v>
      </c>
      <c r="J327" s="2">
        <v>0.16</v>
      </c>
      <c r="K327" s="4">
        <v>0.19700000000000001</v>
      </c>
      <c r="L327" s="4">
        <v>0.59</v>
      </c>
      <c r="M327" s="4">
        <v>8.9599999999999999E-2</v>
      </c>
      <c r="N327" s="4">
        <v>18</v>
      </c>
      <c r="O327" s="2">
        <v>20</v>
      </c>
      <c r="P327" s="2" t="str">
        <f t="shared" si="5"/>
        <v>Tuesday</v>
      </c>
      <c r="Q327" s="2" t="str">
        <f>IF(Table1[[#This Row],[temp]]&gt;=0.24,"cold","colder")</f>
        <v>colder</v>
      </c>
      <c r="R327" s="4">
        <v>2</v>
      </c>
      <c r="S327" s="16" t="str" cm="1">
        <f t="array" ref="S327">_xlfn.IFS(Table1[[#This Row],[weathersit]]=1,"clear sky",Table1[[#This Row],[weathersit]]=2,"mist",Table1[[#This Row],[weathersit]]=3,"partially dark",Table1[[#This Row],[weathersit]]=4,"rain")</f>
        <v>mist</v>
      </c>
    </row>
    <row r="328" spans="1:19" ht="15" customHeight="1" x14ac:dyDescent="0.3">
      <c r="A328" s="2">
        <v>327</v>
      </c>
      <c r="B328" s="3">
        <v>40870</v>
      </c>
      <c r="C328" s="2">
        <v>1</v>
      </c>
      <c r="D328" s="2">
        <v>0</v>
      </c>
      <c r="E328" s="2">
        <v>1</v>
      </c>
      <c r="F328" s="2">
        <v>2</v>
      </c>
      <c r="G328" s="2" t="b">
        <v>0</v>
      </c>
      <c r="H328" s="2">
        <v>6</v>
      </c>
      <c r="I328" s="2">
        <v>2</v>
      </c>
      <c r="J328" s="2">
        <v>0.16</v>
      </c>
      <c r="K328" s="4">
        <v>0.19700000000000001</v>
      </c>
      <c r="L328" s="4">
        <v>0.59</v>
      </c>
      <c r="M328" s="4">
        <v>8.9599999999999999E-2</v>
      </c>
      <c r="N328" s="4">
        <v>12</v>
      </c>
      <c r="O328" s="2">
        <v>12</v>
      </c>
      <c r="P328" s="2" t="str">
        <f t="shared" si="5"/>
        <v>Wednesday</v>
      </c>
      <c r="Q328" s="2" t="str">
        <f>IF(Table1[[#This Row],[temp]]&gt;=0.24,"cold","colder")</f>
        <v>colder</v>
      </c>
      <c r="R328" s="4">
        <v>0</v>
      </c>
      <c r="S328" s="16" t="str" cm="1">
        <f t="array" ref="S328">_xlfn.IFS(Table1[[#This Row],[weathersit]]=1,"clear sky",Table1[[#This Row],[weathersit]]=2,"mist",Table1[[#This Row],[weathersit]]=3,"partially dark",Table1[[#This Row],[weathersit]]=4,"rain")</f>
        <v>mist</v>
      </c>
    </row>
    <row r="329" spans="1:19" ht="15" customHeight="1" x14ac:dyDescent="0.3">
      <c r="A329" s="2">
        <v>328</v>
      </c>
      <c r="B329" s="3">
        <v>40871</v>
      </c>
      <c r="C329" s="2">
        <v>1</v>
      </c>
      <c r="D329" s="2">
        <v>0</v>
      </c>
      <c r="E329" s="2">
        <v>1</v>
      </c>
      <c r="F329" s="2">
        <v>3</v>
      </c>
      <c r="G329" s="2" t="b">
        <v>0</v>
      </c>
      <c r="H329" s="2">
        <v>6</v>
      </c>
      <c r="I329" s="2">
        <v>2</v>
      </c>
      <c r="J329" s="2">
        <v>0.16</v>
      </c>
      <c r="K329" s="4">
        <v>0.2273</v>
      </c>
      <c r="L329" s="4">
        <v>0.59</v>
      </c>
      <c r="M329" s="4">
        <v>0</v>
      </c>
      <c r="N329" s="4">
        <v>7</v>
      </c>
      <c r="O329" s="2">
        <v>8</v>
      </c>
      <c r="P329" s="2" t="str">
        <f t="shared" si="5"/>
        <v>Thursday</v>
      </c>
      <c r="Q329" s="2" t="str">
        <f>IF(Table1[[#This Row],[temp]]&gt;=0.24,"cold","colder")</f>
        <v>colder</v>
      </c>
      <c r="R329" s="4">
        <v>1</v>
      </c>
      <c r="S329" s="16" t="str" cm="1">
        <f t="array" ref="S329">_xlfn.IFS(Table1[[#This Row],[weathersit]]=1,"clear sky",Table1[[#This Row],[weathersit]]=2,"mist",Table1[[#This Row],[weathersit]]=3,"partially dark",Table1[[#This Row],[weathersit]]=4,"rain")</f>
        <v>mist</v>
      </c>
    </row>
    <row r="330" spans="1:19" ht="15" customHeight="1" x14ac:dyDescent="0.3">
      <c r="A330" s="2">
        <v>329</v>
      </c>
      <c r="B330" s="3">
        <v>40872</v>
      </c>
      <c r="C330" s="2">
        <v>1</v>
      </c>
      <c r="D330" s="2">
        <v>0</v>
      </c>
      <c r="E330" s="2">
        <v>1</v>
      </c>
      <c r="F330" s="2">
        <v>4</v>
      </c>
      <c r="G330" s="2" t="b">
        <v>0</v>
      </c>
      <c r="H330" s="2">
        <v>6</v>
      </c>
      <c r="I330" s="2">
        <v>2</v>
      </c>
      <c r="J330" s="2">
        <v>0.16</v>
      </c>
      <c r="K330" s="4">
        <v>0.2273</v>
      </c>
      <c r="L330" s="4">
        <v>0.59</v>
      </c>
      <c r="M330" s="4">
        <v>0</v>
      </c>
      <c r="N330" s="4">
        <v>5</v>
      </c>
      <c r="O330" s="2">
        <v>5</v>
      </c>
      <c r="P330" s="2" t="str">
        <f t="shared" si="5"/>
        <v>Friday</v>
      </c>
      <c r="Q330" s="2" t="str">
        <f>IF(Table1[[#This Row],[temp]]&gt;=0.24,"cold","colder")</f>
        <v>colder</v>
      </c>
      <c r="R330" s="4">
        <v>0</v>
      </c>
      <c r="S330" s="16" t="str" cm="1">
        <f t="array" ref="S330">_xlfn.IFS(Table1[[#This Row],[weathersit]]=1,"clear sky",Table1[[#This Row],[weathersit]]=2,"mist",Table1[[#This Row],[weathersit]]=3,"partially dark",Table1[[#This Row],[weathersit]]=4,"rain")</f>
        <v>mist</v>
      </c>
    </row>
    <row r="331" spans="1:19" ht="15" customHeight="1" x14ac:dyDescent="0.3">
      <c r="A331" s="2">
        <v>330</v>
      </c>
      <c r="B331" s="3">
        <v>40873</v>
      </c>
      <c r="C331" s="2">
        <v>1</v>
      </c>
      <c r="D331" s="2">
        <v>0</v>
      </c>
      <c r="E331" s="2">
        <v>1</v>
      </c>
      <c r="F331" s="2">
        <v>5</v>
      </c>
      <c r="G331" s="2" t="b">
        <v>0</v>
      </c>
      <c r="H331" s="2">
        <v>6</v>
      </c>
      <c r="I331" s="2">
        <v>1</v>
      </c>
      <c r="J331" s="2">
        <v>0.16</v>
      </c>
      <c r="K331" s="4">
        <v>0.2273</v>
      </c>
      <c r="L331" s="4">
        <v>0.59</v>
      </c>
      <c r="M331" s="4">
        <v>0</v>
      </c>
      <c r="N331" s="4">
        <v>1</v>
      </c>
      <c r="O331" s="2">
        <v>1</v>
      </c>
      <c r="P331" s="2" t="str">
        <f t="shared" si="5"/>
        <v>Saturday</v>
      </c>
      <c r="Q331" s="2" t="str">
        <f>IF(Table1[[#This Row],[temp]]&gt;=0.24,"cold","colder")</f>
        <v>colder</v>
      </c>
      <c r="R331" s="4">
        <v>0</v>
      </c>
      <c r="S331" s="16" t="str" cm="1">
        <f t="array" ref="S331">_xlfn.IFS(Table1[[#This Row],[weathersit]]=1,"clear sky",Table1[[#This Row],[weathersit]]=2,"mist",Table1[[#This Row],[weathersit]]=3,"partially dark",Table1[[#This Row],[weathersit]]=4,"rain")</f>
        <v>clear sky</v>
      </c>
    </row>
    <row r="332" spans="1:19" ht="15" customHeight="1" x14ac:dyDescent="0.3">
      <c r="A332" s="2">
        <v>331</v>
      </c>
      <c r="B332" s="3">
        <v>40874</v>
      </c>
      <c r="C332" s="2">
        <v>1</v>
      </c>
      <c r="D332" s="2">
        <v>0</v>
      </c>
      <c r="E332" s="2">
        <v>1</v>
      </c>
      <c r="F332" s="2">
        <v>6</v>
      </c>
      <c r="G332" s="2" t="b">
        <v>0</v>
      </c>
      <c r="H332" s="2">
        <v>6</v>
      </c>
      <c r="I332" s="2">
        <v>1</v>
      </c>
      <c r="J332" s="2">
        <v>0.14000000000000001</v>
      </c>
      <c r="K332" s="4">
        <v>0.16669999999999999</v>
      </c>
      <c r="L332" s="4">
        <v>0.63</v>
      </c>
      <c r="M332" s="4">
        <v>0.1045</v>
      </c>
      <c r="N332" s="4">
        <v>2</v>
      </c>
      <c r="O332" s="2">
        <v>3</v>
      </c>
      <c r="P332" s="2" t="str">
        <f t="shared" si="5"/>
        <v>Sunday</v>
      </c>
      <c r="Q332" s="2" t="str">
        <f>IF(Table1[[#This Row],[temp]]&gt;=0.24,"cold","colder")</f>
        <v>colder</v>
      </c>
      <c r="R332" s="4">
        <v>1</v>
      </c>
      <c r="S332" s="16" t="str" cm="1">
        <f t="array" ref="S332">_xlfn.IFS(Table1[[#This Row],[weathersit]]=1,"clear sky",Table1[[#This Row],[weathersit]]=2,"mist",Table1[[#This Row],[weathersit]]=3,"partially dark",Table1[[#This Row],[weathersit]]=4,"rain")</f>
        <v>clear sky</v>
      </c>
    </row>
    <row r="333" spans="1:19" ht="15" customHeight="1" x14ac:dyDescent="0.3">
      <c r="A333" s="2">
        <v>332</v>
      </c>
      <c r="B333" s="3">
        <v>40875</v>
      </c>
      <c r="C333" s="2">
        <v>1</v>
      </c>
      <c r="D333" s="2">
        <v>0</v>
      </c>
      <c r="E333" s="2">
        <v>1</v>
      </c>
      <c r="F333" s="2">
        <v>7</v>
      </c>
      <c r="G333" s="2" t="b">
        <v>0</v>
      </c>
      <c r="H333" s="2">
        <v>6</v>
      </c>
      <c r="I333" s="2">
        <v>1</v>
      </c>
      <c r="J333" s="2">
        <v>0.14000000000000001</v>
      </c>
      <c r="K333" s="4">
        <v>0.21210000000000001</v>
      </c>
      <c r="L333" s="4">
        <v>0.63</v>
      </c>
      <c r="M333" s="4">
        <v>0</v>
      </c>
      <c r="N333" s="4">
        <v>9</v>
      </c>
      <c r="O333" s="2">
        <v>10</v>
      </c>
      <c r="P333" s="2" t="str">
        <f t="shared" si="5"/>
        <v>Monday</v>
      </c>
      <c r="Q333" s="2" t="str">
        <f>IF(Table1[[#This Row],[temp]]&gt;=0.24,"cold","colder")</f>
        <v>colder</v>
      </c>
      <c r="R333" s="4">
        <v>1</v>
      </c>
      <c r="S333" s="16" t="str" cm="1">
        <f t="array" ref="S333">_xlfn.IFS(Table1[[#This Row],[weathersit]]=1,"clear sky",Table1[[#This Row],[weathersit]]=2,"mist",Table1[[#This Row],[weathersit]]=3,"partially dark",Table1[[#This Row],[weathersit]]=4,"rain")</f>
        <v>clear sky</v>
      </c>
    </row>
    <row r="334" spans="1:19" ht="15" customHeight="1" x14ac:dyDescent="0.3">
      <c r="A334" s="2">
        <v>333</v>
      </c>
      <c r="B334" s="3">
        <v>40876</v>
      </c>
      <c r="C334" s="2">
        <v>1</v>
      </c>
      <c r="D334" s="2">
        <v>0</v>
      </c>
      <c r="E334" s="2">
        <v>1</v>
      </c>
      <c r="F334" s="2">
        <v>8</v>
      </c>
      <c r="G334" s="2" t="b">
        <v>0</v>
      </c>
      <c r="H334" s="2">
        <v>6</v>
      </c>
      <c r="I334" s="2">
        <v>1</v>
      </c>
      <c r="J334" s="2">
        <v>0.14000000000000001</v>
      </c>
      <c r="K334" s="4">
        <v>0.1515</v>
      </c>
      <c r="L334" s="4">
        <v>0.63</v>
      </c>
      <c r="M334" s="4">
        <v>0.1343</v>
      </c>
      <c r="N334" s="4">
        <v>22</v>
      </c>
      <c r="O334" s="2">
        <v>23</v>
      </c>
      <c r="P334" s="2" t="str">
        <f t="shared" si="5"/>
        <v>Tuesday</v>
      </c>
      <c r="Q334" s="2" t="str">
        <f>IF(Table1[[#This Row],[temp]]&gt;=0.24,"cold","colder")</f>
        <v>colder</v>
      </c>
      <c r="R334" s="4">
        <v>1</v>
      </c>
      <c r="S334" s="16" t="str" cm="1">
        <f t="array" ref="S334">_xlfn.IFS(Table1[[#This Row],[weathersit]]=1,"clear sky",Table1[[#This Row],[weathersit]]=2,"mist",Table1[[#This Row],[weathersit]]=3,"partially dark",Table1[[#This Row],[weathersit]]=4,"rain")</f>
        <v>clear sky</v>
      </c>
    </row>
    <row r="335" spans="1:19" ht="15" customHeight="1" x14ac:dyDescent="0.3">
      <c r="A335" s="2">
        <v>334</v>
      </c>
      <c r="B335" s="3">
        <v>40877</v>
      </c>
      <c r="C335" s="2">
        <v>1</v>
      </c>
      <c r="D335" s="2">
        <v>0</v>
      </c>
      <c r="E335" s="2">
        <v>1</v>
      </c>
      <c r="F335" s="2">
        <v>9</v>
      </c>
      <c r="G335" s="2" t="b">
        <v>0</v>
      </c>
      <c r="H335" s="2">
        <v>6</v>
      </c>
      <c r="I335" s="2">
        <v>1</v>
      </c>
      <c r="J335" s="2">
        <v>0.16</v>
      </c>
      <c r="K335" s="4">
        <v>0.18179999999999999</v>
      </c>
      <c r="L335" s="4">
        <v>0.64</v>
      </c>
      <c r="M335" s="4">
        <v>0.1343</v>
      </c>
      <c r="N335" s="4">
        <v>31</v>
      </c>
      <c r="O335" s="2">
        <v>33</v>
      </c>
      <c r="P335" s="2" t="str">
        <f t="shared" si="5"/>
        <v>Wednesday</v>
      </c>
      <c r="Q335" s="2" t="str">
        <f>IF(Table1[[#This Row],[temp]]&gt;=0.24,"cold","colder")</f>
        <v>colder</v>
      </c>
      <c r="R335" s="4">
        <v>2</v>
      </c>
      <c r="S335" s="16" t="str" cm="1">
        <f t="array" ref="S335">_xlfn.IFS(Table1[[#This Row],[weathersit]]=1,"clear sky",Table1[[#This Row],[weathersit]]=2,"mist",Table1[[#This Row],[weathersit]]=3,"partially dark",Table1[[#This Row],[weathersit]]=4,"rain")</f>
        <v>clear sky</v>
      </c>
    </row>
    <row r="336" spans="1:19" ht="15" customHeight="1" x14ac:dyDescent="0.3">
      <c r="A336" s="2">
        <v>335</v>
      </c>
      <c r="B336" s="3">
        <v>40878</v>
      </c>
      <c r="C336" s="2">
        <v>1</v>
      </c>
      <c r="D336" s="2">
        <v>0</v>
      </c>
      <c r="E336" s="2">
        <v>1</v>
      </c>
      <c r="F336" s="2">
        <v>10</v>
      </c>
      <c r="G336" s="2" t="b">
        <v>0</v>
      </c>
      <c r="H336" s="2">
        <v>6</v>
      </c>
      <c r="I336" s="2">
        <v>1</v>
      </c>
      <c r="J336" s="2">
        <v>0.18</v>
      </c>
      <c r="K336" s="4">
        <v>0.19700000000000001</v>
      </c>
      <c r="L336" s="4">
        <v>0.59</v>
      </c>
      <c r="M336" s="4">
        <v>0.16420000000000001</v>
      </c>
      <c r="N336" s="4">
        <v>57</v>
      </c>
      <c r="O336" s="2">
        <v>59</v>
      </c>
      <c r="P336" s="2" t="str">
        <f t="shared" si="5"/>
        <v>Thursday</v>
      </c>
      <c r="Q336" s="2" t="str">
        <f>IF(Table1[[#This Row],[temp]]&gt;=0.24,"cold","colder")</f>
        <v>colder</v>
      </c>
      <c r="R336" s="4">
        <v>2</v>
      </c>
      <c r="S336" s="16" t="str" cm="1">
        <f t="array" ref="S336">_xlfn.IFS(Table1[[#This Row],[weathersit]]=1,"clear sky",Table1[[#This Row],[weathersit]]=2,"mist",Table1[[#This Row],[weathersit]]=3,"partially dark",Table1[[#This Row],[weathersit]]=4,"rain")</f>
        <v>clear sky</v>
      </c>
    </row>
    <row r="337" spans="1:19" ht="15" customHeight="1" x14ac:dyDescent="0.3">
      <c r="A337" s="2">
        <v>336</v>
      </c>
      <c r="B337" s="3">
        <v>40879</v>
      </c>
      <c r="C337" s="2">
        <v>1</v>
      </c>
      <c r="D337" s="2">
        <v>0</v>
      </c>
      <c r="E337" s="2">
        <v>1</v>
      </c>
      <c r="F337" s="2">
        <v>11</v>
      </c>
      <c r="G337" s="2" t="b">
        <v>0</v>
      </c>
      <c r="H337" s="2">
        <v>6</v>
      </c>
      <c r="I337" s="2">
        <v>1</v>
      </c>
      <c r="J337" s="2">
        <v>0.2</v>
      </c>
      <c r="K337" s="4">
        <v>0.19700000000000001</v>
      </c>
      <c r="L337" s="4">
        <v>0.55000000000000004</v>
      </c>
      <c r="M337" s="4">
        <v>0.22389999999999999</v>
      </c>
      <c r="N337" s="4">
        <v>54</v>
      </c>
      <c r="O337" s="2">
        <v>72</v>
      </c>
      <c r="P337" s="2" t="str">
        <f t="shared" si="5"/>
        <v>Friday</v>
      </c>
      <c r="Q337" s="2" t="str">
        <f>IF(Table1[[#This Row],[temp]]&gt;=0.24,"cold","colder")</f>
        <v>colder</v>
      </c>
      <c r="R337" s="4">
        <v>18</v>
      </c>
      <c r="S337" s="16" t="str" cm="1">
        <f t="array" ref="S337">_xlfn.IFS(Table1[[#This Row],[weathersit]]=1,"clear sky",Table1[[#This Row],[weathersit]]=2,"mist",Table1[[#This Row],[weathersit]]=3,"partially dark",Table1[[#This Row],[weathersit]]=4,"rain")</f>
        <v>clear sky</v>
      </c>
    </row>
    <row r="338" spans="1:19" ht="15" customHeight="1" x14ac:dyDescent="0.3">
      <c r="A338" s="2">
        <v>337</v>
      </c>
      <c r="B338" s="3">
        <v>40880</v>
      </c>
      <c r="C338" s="2">
        <v>1</v>
      </c>
      <c r="D338" s="2">
        <v>0</v>
      </c>
      <c r="E338" s="2">
        <v>1</v>
      </c>
      <c r="F338" s="2">
        <v>12</v>
      </c>
      <c r="G338" s="2" t="b">
        <v>0</v>
      </c>
      <c r="H338" s="2">
        <v>6</v>
      </c>
      <c r="I338" s="2">
        <v>1</v>
      </c>
      <c r="J338" s="2">
        <v>0.24</v>
      </c>
      <c r="K338" s="4">
        <v>0.2273</v>
      </c>
      <c r="L338" s="4">
        <v>0.48</v>
      </c>
      <c r="M338" s="4">
        <v>0.22389999999999999</v>
      </c>
      <c r="N338" s="4">
        <v>74</v>
      </c>
      <c r="O338" s="2">
        <v>89</v>
      </c>
      <c r="P338" s="2" t="str">
        <f t="shared" si="5"/>
        <v>Saturday</v>
      </c>
      <c r="Q338" s="2" t="str">
        <f>IF(Table1[[#This Row],[temp]]&gt;=0.24,"cold","colder")</f>
        <v>cold</v>
      </c>
      <c r="R338" s="4">
        <v>15</v>
      </c>
      <c r="S338" s="16" t="str" cm="1">
        <f t="array" ref="S338">_xlfn.IFS(Table1[[#This Row],[weathersit]]=1,"clear sky",Table1[[#This Row],[weathersit]]=2,"mist",Table1[[#This Row],[weathersit]]=3,"partially dark",Table1[[#This Row],[weathersit]]=4,"rain")</f>
        <v>clear sky</v>
      </c>
    </row>
    <row r="339" spans="1:19" ht="15" customHeight="1" x14ac:dyDescent="0.3">
      <c r="A339" s="2">
        <v>338</v>
      </c>
      <c r="B339" s="3">
        <v>40881</v>
      </c>
      <c r="C339" s="2">
        <v>1</v>
      </c>
      <c r="D339" s="2">
        <v>0</v>
      </c>
      <c r="E339" s="2">
        <v>1</v>
      </c>
      <c r="F339" s="2">
        <v>13</v>
      </c>
      <c r="G339" s="2" t="b">
        <v>0</v>
      </c>
      <c r="H339" s="2">
        <v>6</v>
      </c>
      <c r="I339" s="2">
        <v>1</v>
      </c>
      <c r="J339" s="2">
        <v>0.28000000000000003</v>
      </c>
      <c r="K339" s="4">
        <v>0.2576</v>
      </c>
      <c r="L339" s="4">
        <v>0.38</v>
      </c>
      <c r="M339" s="4">
        <v>0.29849999999999999</v>
      </c>
      <c r="N339" s="4">
        <v>80</v>
      </c>
      <c r="O339" s="2">
        <v>101</v>
      </c>
      <c r="P339" s="2" t="str">
        <f t="shared" si="5"/>
        <v>Sunday</v>
      </c>
      <c r="Q339" s="2" t="str">
        <f>IF(Table1[[#This Row],[temp]]&gt;=0.24,"cold","colder")</f>
        <v>cold</v>
      </c>
      <c r="R339" s="4">
        <v>21</v>
      </c>
      <c r="S339" s="16" t="str" cm="1">
        <f t="array" ref="S339">_xlfn.IFS(Table1[[#This Row],[weathersit]]=1,"clear sky",Table1[[#This Row],[weathersit]]=2,"mist",Table1[[#This Row],[weathersit]]=3,"partially dark",Table1[[#This Row],[weathersit]]=4,"rain")</f>
        <v>clear sky</v>
      </c>
    </row>
    <row r="340" spans="1:19" ht="15" customHeight="1" x14ac:dyDescent="0.3">
      <c r="A340" s="2">
        <v>339</v>
      </c>
      <c r="B340" s="3">
        <v>40882</v>
      </c>
      <c r="C340" s="2">
        <v>1</v>
      </c>
      <c r="D340" s="2">
        <v>0</v>
      </c>
      <c r="E340" s="2">
        <v>1</v>
      </c>
      <c r="F340" s="2">
        <v>14</v>
      </c>
      <c r="G340" s="2" t="b">
        <v>0</v>
      </c>
      <c r="H340" s="2">
        <v>6</v>
      </c>
      <c r="I340" s="2">
        <v>1</v>
      </c>
      <c r="J340" s="2">
        <v>0.3</v>
      </c>
      <c r="K340" s="4">
        <v>0.28789999999999999</v>
      </c>
      <c r="L340" s="4">
        <v>0.39</v>
      </c>
      <c r="M340" s="4">
        <v>0.28360000000000002</v>
      </c>
      <c r="N340" s="4">
        <v>92</v>
      </c>
      <c r="O340" s="2">
        <v>118</v>
      </c>
      <c r="P340" s="2" t="str">
        <f t="shared" si="5"/>
        <v>Monday</v>
      </c>
      <c r="Q340" s="2" t="str">
        <f>IF(Table1[[#This Row],[temp]]&gt;=0.24,"cold","colder")</f>
        <v>cold</v>
      </c>
      <c r="R340" s="4">
        <v>26</v>
      </c>
      <c r="S340" s="16" t="str" cm="1">
        <f t="array" ref="S340">_xlfn.IFS(Table1[[#This Row],[weathersit]]=1,"clear sky",Table1[[#This Row],[weathersit]]=2,"mist",Table1[[#This Row],[weathersit]]=3,"partially dark",Table1[[#This Row],[weathersit]]=4,"rain")</f>
        <v>clear sky</v>
      </c>
    </row>
    <row r="341" spans="1:19" ht="15" customHeight="1" x14ac:dyDescent="0.3">
      <c r="A341" s="2">
        <v>340</v>
      </c>
      <c r="B341" s="3">
        <v>40883</v>
      </c>
      <c r="C341" s="2">
        <v>1</v>
      </c>
      <c r="D341" s="2">
        <v>0</v>
      </c>
      <c r="E341" s="2">
        <v>1</v>
      </c>
      <c r="F341" s="2">
        <v>15</v>
      </c>
      <c r="G341" s="2" t="b">
        <v>0</v>
      </c>
      <c r="H341" s="2">
        <v>6</v>
      </c>
      <c r="I341" s="2">
        <v>2</v>
      </c>
      <c r="J341" s="2">
        <v>0.32</v>
      </c>
      <c r="K341" s="4">
        <v>0.31819999999999998</v>
      </c>
      <c r="L341" s="4">
        <v>0.36</v>
      </c>
      <c r="M341" s="4">
        <v>0.19400000000000001</v>
      </c>
      <c r="N341" s="4">
        <v>108</v>
      </c>
      <c r="O341" s="2">
        <v>129</v>
      </c>
      <c r="P341" s="2" t="str">
        <f t="shared" si="5"/>
        <v>Tuesday</v>
      </c>
      <c r="Q341" s="2" t="str">
        <f>IF(Table1[[#This Row],[temp]]&gt;=0.24,"cold","colder")</f>
        <v>cold</v>
      </c>
      <c r="R341" s="4">
        <v>21</v>
      </c>
      <c r="S341" s="16" t="str" cm="1">
        <f t="array" ref="S341">_xlfn.IFS(Table1[[#This Row],[weathersit]]=1,"clear sky",Table1[[#This Row],[weathersit]]=2,"mist",Table1[[#This Row],[weathersit]]=3,"partially dark",Table1[[#This Row],[weathersit]]=4,"rain")</f>
        <v>mist</v>
      </c>
    </row>
    <row r="342" spans="1:19" ht="15" customHeight="1" x14ac:dyDescent="0.3">
      <c r="A342" s="2">
        <v>341</v>
      </c>
      <c r="B342" s="3">
        <v>40884</v>
      </c>
      <c r="C342" s="2">
        <v>1</v>
      </c>
      <c r="D342" s="2">
        <v>0</v>
      </c>
      <c r="E342" s="2">
        <v>1</v>
      </c>
      <c r="F342" s="2">
        <v>16</v>
      </c>
      <c r="G342" s="2" t="b">
        <v>0</v>
      </c>
      <c r="H342" s="2">
        <v>6</v>
      </c>
      <c r="I342" s="2">
        <v>2</v>
      </c>
      <c r="J342" s="2">
        <v>0.34</v>
      </c>
      <c r="K342" s="4">
        <v>0.33329999999999999</v>
      </c>
      <c r="L342" s="4">
        <v>0.34</v>
      </c>
      <c r="M342" s="4">
        <v>0.19400000000000001</v>
      </c>
      <c r="N342" s="4">
        <v>95</v>
      </c>
      <c r="O342" s="2">
        <v>128</v>
      </c>
      <c r="P342" s="2" t="str">
        <f t="shared" si="5"/>
        <v>Wednesday</v>
      </c>
      <c r="Q342" s="2" t="str">
        <f>IF(Table1[[#This Row],[temp]]&gt;=0.24,"cold","colder")</f>
        <v>cold</v>
      </c>
      <c r="R342" s="4">
        <v>33</v>
      </c>
      <c r="S342" s="16" t="str" cm="1">
        <f t="array" ref="S342">_xlfn.IFS(Table1[[#This Row],[weathersit]]=1,"clear sky",Table1[[#This Row],[weathersit]]=2,"mist",Table1[[#This Row],[weathersit]]=3,"partially dark",Table1[[#This Row],[weathersit]]=4,"rain")</f>
        <v>mist</v>
      </c>
    </row>
    <row r="343" spans="1:19" ht="15" customHeight="1" x14ac:dyDescent="0.3">
      <c r="A343" s="2">
        <v>342</v>
      </c>
      <c r="B343" s="3">
        <v>40885</v>
      </c>
      <c r="C343" s="2">
        <v>1</v>
      </c>
      <c r="D343" s="2">
        <v>0</v>
      </c>
      <c r="E343" s="2">
        <v>1</v>
      </c>
      <c r="F343" s="2">
        <v>17</v>
      </c>
      <c r="G343" s="2" t="b">
        <v>0</v>
      </c>
      <c r="H343" s="2">
        <v>6</v>
      </c>
      <c r="I343" s="2">
        <v>2</v>
      </c>
      <c r="J343" s="2">
        <v>0.32</v>
      </c>
      <c r="K343" s="4">
        <v>0.30299999999999999</v>
      </c>
      <c r="L343" s="4">
        <v>0.36</v>
      </c>
      <c r="M343" s="4">
        <v>0.28360000000000002</v>
      </c>
      <c r="N343" s="4">
        <v>54</v>
      </c>
      <c r="O343" s="2">
        <v>83</v>
      </c>
      <c r="P343" s="2" t="str">
        <f t="shared" si="5"/>
        <v>Thursday</v>
      </c>
      <c r="Q343" s="2" t="str">
        <f>IF(Table1[[#This Row],[temp]]&gt;=0.24,"cold","colder")</f>
        <v>cold</v>
      </c>
      <c r="R343" s="4">
        <v>29</v>
      </c>
      <c r="S343" s="16" t="str" cm="1">
        <f t="array" ref="S343">_xlfn.IFS(Table1[[#This Row],[weathersit]]=1,"clear sky",Table1[[#This Row],[weathersit]]=2,"mist",Table1[[#This Row],[weathersit]]=3,"partially dark",Table1[[#This Row],[weathersit]]=4,"rain")</f>
        <v>mist</v>
      </c>
    </row>
    <row r="344" spans="1:19" ht="15" customHeight="1" x14ac:dyDescent="0.3">
      <c r="A344" s="2">
        <v>343</v>
      </c>
      <c r="B344" s="3">
        <v>40886</v>
      </c>
      <c r="C344" s="2">
        <v>1</v>
      </c>
      <c r="D344" s="2">
        <v>0</v>
      </c>
      <c r="E344" s="2">
        <v>1</v>
      </c>
      <c r="F344" s="2">
        <v>18</v>
      </c>
      <c r="G344" s="2" t="b">
        <v>0</v>
      </c>
      <c r="H344" s="2">
        <v>6</v>
      </c>
      <c r="I344" s="2">
        <v>2</v>
      </c>
      <c r="J344" s="2">
        <v>0.3</v>
      </c>
      <c r="K344" s="4">
        <v>0.28789999999999999</v>
      </c>
      <c r="L344" s="4">
        <v>0.45</v>
      </c>
      <c r="M344" s="4">
        <v>0.25369999999999998</v>
      </c>
      <c r="N344" s="4">
        <v>69</v>
      </c>
      <c r="O344" s="2">
        <v>84</v>
      </c>
      <c r="P344" s="2" t="str">
        <f t="shared" si="5"/>
        <v>Friday</v>
      </c>
      <c r="Q344" s="2" t="str">
        <f>IF(Table1[[#This Row],[temp]]&gt;=0.24,"cold","colder")</f>
        <v>cold</v>
      </c>
      <c r="R344" s="4">
        <v>15</v>
      </c>
      <c r="S344" s="16" t="str" cm="1">
        <f t="array" ref="S344">_xlfn.IFS(Table1[[#This Row],[weathersit]]=1,"clear sky",Table1[[#This Row],[weathersit]]=2,"mist",Table1[[#This Row],[weathersit]]=3,"partially dark",Table1[[#This Row],[weathersit]]=4,"rain")</f>
        <v>mist</v>
      </c>
    </row>
    <row r="345" spans="1:19" ht="15" customHeight="1" x14ac:dyDescent="0.3">
      <c r="A345" s="2">
        <v>344</v>
      </c>
      <c r="B345" s="3">
        <v>40887</v>
      </c>
      <c r="C345" s="2">
        <v>1</v>
      </c>
      <c r="D345" s="2">
        <v>0</v>
      </c>
      <c r="E345" s="2">
        <v>1</v>
      </c>
      <c r="F345" s="2">
        <v>19</v>
      </c>
      <c r="G345" s="2" t="b">
        <v>0</v>
      </c>
      <c r="H345" s="2">
        <v>6</v>
      </c>
      <c r="I345" s="2">
        <v>2</v>
      </c>
      <c r="J345" s="2">
        <v>0.32</v>
      </c>
      <c r="K345" s="4">
        <v>0.30299999999999999</v>
      </c>
      <c r="L345" s="4">
        <v>0.39</v>
      </c>
      <c r="M345" s="4">
        <v>0.25369999999999998</v>
      </c>
      <c r="N345" s="4">
        <v>60</v>
      </c>
      <c r="O345" s="2">
        <v>74</v>
      </c>
      <c r="P345" s="2" t="str">
        <f t="shared" si="5"/>
        <v>Saturday</v>
      </c>
      <c r="Q345" s="2" t="str">
        <f>IF(Table1[[#This Row],[temp]]&gt;=0.24,"cold","colder")</f>
        <v>cold</v>
      </c>
      <c r="R345" s="4">
        <v>14</v>
      </c>
      <c r="S345" s="16" t="str" cm="1">
        <f t="array" ref="S345">_xlfn.IFS(Table1[[#This Row],[weathersit]]=1,"clear sky",Table1[[#This Row],[weathersit]]=2,"mist",Table1[[#This Row],[weathersit]]=3,"partially dark",Table1[[#This Row],[weathersit]]=4,"rain")</f>
        <v>mist</v>
      </c>
    </row>
    <row r="346" spans="1:19" ht="15" customHeight="1" x14ac:dyDescent="0.3">
      <c r="A346" s="2">
        <v>345</v>
      </c>
      <c r="B346" s="3">
        <v>40888</v>
      </c>
      <c r="C346" s="2">
        <v>1</v>
      </c>
      <c r="D346" s="2">
        <v>0</v>
      </c>
      <c r="E346" s="2">
        <v>1</v>
      </c>
      <c r="F346" s="2">
        <v>20</v>
      </c>
      <c r="G346" s="2" t="b">
        <v>0</v>
      </c>
      <c r="H346" s="2">
        <v>6</v>
      </c>
      <c r="I346" s="2">
        <v>2</v>
      </c>
      <c r="J346" s="2">
        <v>0.32</v>
      </c>
      <c r="K346" s="4">
        <v>0.30299999999999999</v>
      </c>
      <c r="L346" s="4">
        <v>0.39</v>
      </c>
      <c r="M346" s="4">
        <v>0.25369999999999998</v>
      </c>
      <c r="N346" s="4">
        <v>35</v>
      </c>
      <c r="O346" s="2">
        <v>41</v>
      </c>
      <c r="P346" s="2" t="str">
        <f t="shared" si="5"/>
        <v>Sunday</v>
      </c>
      <c r="Q346" s="2" t="str">
        <f>IF(Table1[[#This Row],[temp]]&gt;=0.24,"cold","colder")</f>
        <v>cold</v>
      </c>
      <c r="R346" s="4">
        <v>6</v>
      </c>
      <c r="S346" s="16" t="str" cm="1">
        <f t="array" ref="S346">_xlfn.IFS(Table1[[#This Row],[weathersit]]=1,"clear sky",Table1[[#This Row],[weathersit]]=2,"mist",Table1[[#This Row],[weathersit]]=3,"partially dark",Table1[[#This Row],[weathersit]]=4,"rain")</f>
        <v>mist</v>
      </c>
    </row>
    <row r="347" spans="1:19" ht="15" customHeight="1" x14ac:dyDescent="0.3">
      <c r="A347" s="2">
        <v>346</v>
      </c>
      <c r="B347" s="3">
        <v>40889</v>
      </c>
      <c r="C347" s="2">
        <v>1</v>
      </c>
      <c r="D347" s="2">
        <v>0</v>
      </c>
      <c r="E347" s="2">
        <v>1</v>
      </c>
      <c r="F347" s="2">
        <v>21</v>
      </c>
      <c r="G347" s="2" t="b">
        <v>0</v>
      </c>
      <c r="H347" s="2">
        <v>6</v>
      </c>
      <c r="I347" s="2">
        <v>2</v>
      </c>
      <c r="J347" s="2">
        <v>0.32</v>
      </c>
      <c r="K347" s="4">
        <v>0.30299999999999999</v>
      </c>
      <c r="L347" s="4">
        <v>0.39</v>
      </c>
      <c r="M347" s="4">
        <v>0.22389999999999999</v>
      </c>
      <c r="N347" s="4">
        <v>51</v>
      </c>
      <c r="O347" s="2">
        <v>57</v>
      </c>
      <c r="P347" s="2" t="str">
        <f t="shared" si="5"/>
        <v>Monday</v>
      </c>
      <c r="Q347" s="2" t="str">
        <f>IF(Table1[[#This Row],[temp]]&gt;=0.24,"cold","colder")</f>
        <v>cold</v>
      </c>
      <c r="R347" s="4">
        <v>6</v>
      </c>
      <c r="S347" s="16" t="str" cm="1">
        <f t="array" ref="S347">_xlfn.IFS(Table1[[#This Row],[weathersit]]=1,"clear sky",Table1[[#This Row],[weathersit]]=2,"mist",Table1[[#This Row],[weathersit]]=3,"partially dark",Table1[[#This Row],[weathersit]]=4,"rain")</f>
        <v>mist</v>
      </c>
    </row>
    <row r="348" spans="1:19" ht="15" customHeight="1" x14ac:dyDescent="0.3">
      <c r="A348" s="2">
        <v>347</v>
      </c>
      <c r="B348" s="3">
        <v>40890</v>
      </c>
      <c r="C348" s="2">
        <v>1</v>
      </c>
      <c r="D348" s="2">
        <v>0</v>
      </c>
      <c r="E348" s="2">
        <v>1</v>
      </c>
      <c r="F348" s="2">
        <v>22</v>
      </c>
      <c r="G348" s="2" t="b">
        <v>0</v>
      </c>
      <c r="H348" s="2">
        <v>6</v>
      </c>
      <c r="I348" s="2">
        <v>2</v>
      </c>
      <c r="J348" s="2">
        <v>0.3</v>
      </c>
      <c r="K348" s="4">
        <v>0.31819999999999998</v>
      </c>
      <c r="L348" s="4">
        <v>0.42</v>
      </c>
      <c r="M348" s="4">
        <v>0.1045</v>
      </c>
      <c r="N348" s="4">
        <v>26</v>
      </c>
      <c r="O348" s="2">
        <v>26</v>
      </c>
      <c r="P348" s="2" t="str">
        <f t="shared" si="5"/>
        <v>Tuesday</v>
      </c>
      <c r="Q348" s="2" t="str">
        <f>IF(Table1[[#This Row],[temp]]&gt;=0.24,"cold","colder")</f>
        <v>cold</v>
      </c>
      <c r="R348" s="4">
        <v>0</v>
      </c>
      <c r="S348" s="16" t="str" cm="1">
        <f t="array" ref="S348">_xlfn.IFS(Table1[[#This Row],[weathersit]]=1,"clear sky",Table1[[#This Row],[weathersit]]=2,"mist",Table1[[#This Row],[weathersit]]=3,"partially dark",Table1[[#This Row],[weathersit]]=4,"rain")</f>
        <v>mist</v>
      </c>
    </row>
    <row r="349" spans="1:19" ht="15" customHeight="1" x14ac:dyDescent="0.3">
      <c r="A349" s="2">
        <v>348</v>
      </c>
      <c r="B349" s="3">
        <v>40891</v>
      </c>
      <c r="C349" s="2">
        <v>1</v>
      </c>
      <c r="D349" s="2">
        <v>0</v>
      </c>
      <c r="E349" s="2">
        <v>1</v>
      </c>
      <c r="F349" s="2">
        <v>23</v>
      </c>
      <c r="G349" s="2" t="b">
        <v>0</v>
      </c>
      <c r="H349" s="2">
        <v>6</v>
      </c>
      <c r="I349" s="2">
        <v>1</v>
      </c>
      <c r="J349" s="2">
        <v>0.3</v>
      </c>
      <c r="K349" s="4">
        <v>0.28789999999999999</v>
      </c>
      <c r="L349" s="4">
        <v>0.45</v>
      </c>
      <c r="M349" s="4">
        <v>0.28360000000000002</v>
      </c>
      <c r="N349" s="4">
        <v>39</v>
      </c>
      <c r="O349" s="2">
        <v>44</v>
      </c>
      <c r="P349" s="2" t="str">
        <f t="shared" si="5"/>
        <v>Wednesday</v>
      </c>
      <c r="Q349" s="2" t="str">
        <f>IF(Table1[[#This Row],[temp]]&gt;=0.24,"cold","colder")</f>
        <v>cold</v>
      </c>
      <c r="R349" s="4">
        <v>5</v>
      </c>
      <c r="S349" s="16" t="str" cm="1">
        <f t="array" ref="S349">_xlfn.IFS(Table1[[#This Row],[weathersit]]=1,"clear sky",Table1[[#This Row],[weathersit]]=2,"mist",Table1[[#This Row],[weathersit]]=3,"partially dark",Table1[[#This Row],[weathersit]]=4,"rain")</f>
        <v>clear sky</v>
      </c>
    </row>
    <row r="350" spans="1:19" ht="15" customHeight="1" x14ac:dyDescent="0.3">
      <c r="A350" s="2">
        <v>349</v>
      </c>
      <c r="B350" s="3">
        <v>40892</v>
      </c>
      <c r="C350" s="2">
        <v>1</v>
      </c>
      <c r="D350" s="2">
        <v>0</v>
      </c>
      <c r="E350" s="2">
        <v>1</v>
      </c>
      <c r="F350" s="2">
        <v>0</v>
      </c>
      <c r="G350" s="2" t="b">
        <v>0</v>
      </c>
      <c r="H350" s="2">
        <v>0</v>
      </c>
      <c r="I350" s="2">
        <v>1</v>
      </c>
      <c r="J350" s="2">
        <v>0.26</v>
      </c>
      <c r="K350" s="4">
        <v>0.30299999999999999</v>
      </c>
      <c r="L350" s="4">
        <v>0.56000000000000005</v>
      </c>
      <c r="M350" s="4">
        <v>0</v>
      </c>
      <c r="N350" s="4">
        <v>33</v>
      </c>
      <c r="O350" s="2">
        <v>39</v>
      </c>
      <c r="P350" s="2" t="str">
        <f t="shared" si="5"/>
        <v>Thursday</v>
      </c>
      <c r="Q350" s="2" t="str">
        <f>IF(Table1[[#This Row],[temp]]&gt;=0.24,"cold","colder")</f>
        <v>cold</v>
      </c>
      <c r="R350" s="4">
        <v>6</v>
      </c>
      <c r="S350" s="16" t="str" cm="1">
        <f t="array" ref="S350">_xlfn.IFS(Table1[[#This Row],[weathersit]]=1,"clear sky",Table1[[#This Row],[weathersit]]=2,"mist",Table1[[#This Row],[weathersit]]=3,"partially dark",Table1[[#This Row],[weathersit]]=4,"rain")</f>
        <v>clear sky</v>
      </c>
    </row>
    <row r="351" spans="1:19" ht="15" customHeight="1" x14ac:dyDescent="0.3">
      <c r="A351" s="2">
        <v>350</v>
      </c>
      <c r="B351" s="3">
        <v>40893</v>
      </c>
      <c r="C351" s="2">
        <v>1</v>
      </c>
      <c r="D351" s="2">
        <v>0</v>
      </c>
      <c r="E351" s="2">
        <v>1</v>
      </c>
      <c r="F351" s="2">
        <v>1</v>
      </c>
      <c r="G351" s="2" t="b">
        <v>0</v>
      </c>
      <c r="H351" s="2">
        <v>0</v>
      </c>
      <c r="I351" s="2">
        <v>1</v>
      </c>
      <c r="J351" s="2">
        <v>0.26</v>
      </c>
      <c r="K351" s="4">
        <v>0.2727</v>
      </c>
      <c r="L351" s="4">
        <v>0.56000000000000005</v>
      </c>
      <c r="M351" s="4">
        <v>0.1343</v>
      </c>
      <c r="N351" s="4">
        <v>19</v>
      </c>
      <c r="O351" s="2">
        <v>23</v>
      </c>
      <c r="P351" s="2" t="str">
        <f t="shared" si="5"/>
        <v>Friday</v>
      </c>
      <c r="Q351" s="2" t="str">
        <f>IF(Table1[[#This Row],[temp]]&gt;=0.24,"cold","colder")</f>
        <v>cold</v>
      </c>
      <c r="R351" s="4">
        <v>4</v>
      </c>
      <c r="S351" s="16" t="str" cm="1">
        <f t="array" ref="S351">_xlfn.IFS(Table1[[#This Row],[weathersit]]=1,"clear sky",Table1[[#This Row],[weathersit]]=2,"mist",Table1[[#This Row],[weathersit]]=3,"partially dark",Table1[[#This Row],[weathersit]]=4,"rain")</f>
        <v>clear sky</v>
      </c>
    </row>
    <row r="352" spans="1:19" ht="15" customHeight="1" x14ac:dyDescent="0.3">
      <c r="A352" s="2">
        <v>351</v>
      </c>
      <c r="B352" s="3">
        <v>40894</v>
      </c>
      <c r="C352" s="2">
        <v>1</v>
      </c>
      <c r="D352" s="2">
        <v>0</v>
      </c>
      <c r="E352" s="2">
        <v>1</v>
      </c>
      <c r="F352" s="2">
        <v>2</v>
      </c>
      <c r="G352" s="2" t="b">
        <v>0</v>
      </c>
      <c r="H352" s="2">
        <v>0</v>
      </c>
      <c r="I352" s="2">
        <v>1</v>
      </c>
      <c r="J352" s="2">
        <v>0.26</v>
      </c>
      <c r="K352" s="4">
        <v>0.28789999999999999</v>
      </c>
      <c r="L352" s="4">
        <v>0.56000000000000005</v>
      </c>
      <c r="M352" s="4">
        <v>8.9599999999999999E-2</v>
      </c>
      <c r="N352" s="4">
        <v>13</v>
      </c>
      <c r="O352" s="2">
        <v>16</v>
      </c>
      <c r="P352" s="2" t="str">
        <f t="shared" si="5"/>
        <v>Saturday</v>
      </c>
      <c r="Q352" s="2" t="str">
        <f>IF(Table1[[#This Row],[temp]]&gt;=0.24,"cold","colder")</f>
        <v>cold</v>
      </c>
      <c r="R352" s="4">
        <v>3</v>
      </c>
      <c r="S352" s="16" t="str" cm="1">
        <f t="array" ref="S352">_xlfn.IFS(Table1[[#This Row],[weathersit]]=1,"clear sky",Table1[[#This Row],[weathersit]]=2,"mist",Table1[[#This Row],[weathersit]]=3,"partially dark",Table1[[#This Row],[weathersit]]=4,"rain")</f>
        <v>clear sky</v>
      </c>
    </row>
    <row r="353" spans="1:19" ht="15" customHeight="1" x14ac:dyDescent="0.3">
      <c r="A353" s="2">
        <v>352</v>
      </c>
      <c r="B353" s="3">
        <v>40895</v>
      </c>
      <c r="C353" s="2">
        <v>1</v>
      </c>
      <c r="D353" s="2">
        <v>0</v>
      </c>
      <c r="E353" s="2">
        <v>1</v>
      </c>
      <c r="F353" s="2">
        <v>3</v>
      </c>
      <c r="G353" s="2" t="b">
        <v>0</v>
      </c>
      <c r="H353" s="2">
        <v>0</v>
      </c>
      <c r="I353" s="2">
        <v>1</v>
      </c>
      <c r="J353" s="2">
        <v>0.22</v>
      </c>
      <c r="K353" s="4">
        <v>0.2727</v>
      </c>
      <c r="L353" s="4">
        <v>0.69</v>
      </c>
      <c r="M353" s="4">
        <v>0</v>
      </c>
      <c r="N353" s="4">
        <v>6</v>
      </c>
      <c r="O353" s="2">
        <v>15</v>
      </c>
      <c r="P353" s="2" t="str">
        <f t="shared" si="5"/>
        <v>Sunday</v>
      </c>
      <c r="Q353" s="2" t="str">
        <f>IF(Table1[[#This Row],[temp]]&gt;=0.24,"cold","colder")</f>
        <v>colder</v>
      </c>
      <c r="R353" s="4">
        <v>9</v>
      </c>
      <c r="S353" s="16" t="str" cm="1">
        <f t="array" ref="S353">_xlfn.IFS(Table1[[#This Row],[weathersit]]=1,"clear sky",Table1[[#This Row],[weathersit]]=2,"mist",Table1[[#This Row],[weathersit]]=3,"partially dark",Table1[[#This Row],[weathersit]]=4,"rain")</f>
        <v>clear sky</v>
      </c>
    </row>
    <row r="354" spans="1:19" ht="15" customHeight="1" x14ac:dyDescent="0.3">
      <c r="A354" s="2">
        <v>353</v>
      </c>
      <c r="B354" s="3">
        <v>40896</v>
      </c>
      <c r="C354" s="2">
        <v>1</v>
      </c>
      <c r="D354" s="2">
        <v>0</v>
      </c>
      <c r="E354" s="2">
        <v>1</v>
      </c>
      <c r="F354" s="2">
        <v>4</v>
      </c>
      <c r="G354" s="2" t="b">
        <v>0</v>
      </c>
      <c r="H354" s="2">
        <v>0</v>
      </c>
      <c r="I354" s="2">
        <v>1</v>
      </c>
      <c r="J354" s="2">
        <v>0.26</v>
      </c>
      <c r="K354" s="4">
        <v>0.2576</v>
      </c>
      <c r="L354" s="4">
        <v>0.56000000000000005</v>
      </c>
      <c r="M354" s="4">
        <v>0.16420000000000001</v>
      </c>
      <c r="N354" s="4">
        <v>1</v>
      </c>
      <c r="O354" s="2">
        <v>1</v>
      </c>
      <c r="P354" s="2" t="str">
        <f t="shared" si="5"/>
        <v>Monday</v>
      </c>
      <c r="Q354" s="2" t="str">
        <f>IF(Table1[[#This Row],[temp]]&gt;=0.24,"cold","colder")</f>
        <v>cold</v>
      </c>
      <c r="R354" s="4">
        <v>0</v>
      </c>
      <c r="S354" s="16" t="str" cm="1">
        <f t="array" ref="S354">_xlfn.IFS(Table1[[#This Row],[weathersit]]=1,"clear sky",Table1[[#This Row],[weathersit]]=2,"mist",Table1[[#This Row],[weathersit]]=3,"partially dark",Table1[[#This Row],[weathersit]]=4,"rain")</f>
        <v>clear sky</v>
      </c>
    </row>
    <row r="355" spans="1:19" ht="15" customHeight="1" x14ac:dyDescent="0.3">
      <c r="A355" s="2">
        <v>354</v>
      </c>
      <c r="B355" s="3">
        <v>40897</v>
      </c>
      <c r="C355" s="2">
        <v>1</v>
      </c>
      <c r="D355" s="2">
        <v>0</v>
      </c>
      <c r="E355" s="2">
        <v>1</v>
      </c>
      <c r="F355" s="2">
        <v>5</v>
      </c>
      <c r="G355" s="2" t="b">
        <v>0</v>
      </c>
      <c r="H355" s="2">
        <v>0</v>
      </c>
      <c r="I355" s="2">
        <v>2</v>
      </c>
      <c r="J355" s="2">
        <v>0.26</v>
      </c>
      <c r="K355" s="4">
        <v>0.2576</v>
      </c>
      <c r="L355" s="4">
        <v>0.56000000000000005</v>
      </c>
      <c r="M355" s="4">
        <v>0.16420000000000001</v>
      </c>
      <c r="N355" s="4">
        <v>1</v>
      </c>
      <c r="O355" s="2">
        <v>2</v>
      </c>
      <c r="P355" s="2" t="str">
        <f t="shared" si="5"/>
        <v>Tuesday</v>
      </c>
      <c r="Q355" s="2" t="str">
        <f>IF(Table1[[#This Row],[temp]]&gt;=0.24,"cold","colder")</f>
        <v>cold</v>
      </c>
      <c r="R355" s="4">
        <v>1</v>
      </c>
      <c r="S355" s="16" t="str" cm="1">
        <f t="array" ref="S355">_xlfn.IFS(Table1[[#This Row],[weathersit]]=1,"clear sky",Table1[[#This Row],[weathersit]]=2,"mist",Table1[[#This Row],[weathersit]]=3,"partially dark",Table1[[#This Row],[weathersit]]=4,"rain")</f>
        <v>mist</v>
      </c>
    </row>
    <row r="356" spans="1:19" ht="15" customHeight="1" x14ac:dyDescent="0.3">
      <c r="A356" s="2">
        <v>355</v>
      </c>
      <c r="B356" s="3">
        <v>40898</v>
      </c>
      <c r="C356" s="2">
        <v>1</v>
      </c>
      <c r="D356" s="2">
        <v>0</v>
      </c>
      <c r="E356" s="2">
        <v>1</v>
      </c>
      <c r="F356" s="2">
        <v>6</v>
      </c>
      <c r="G356" s="2" t="b">
        <v>0</v>
      </c>
      <c r="H356" s="2">
        <v>0</v>
      </c>
      <c r="I356" s="2">
        <v>2</v>
      </c>
      <c r="J356" s="2">
        <v>0.26</v>
      </c>
      <c r="K356" s="4">
        <v>0.2576</v>
      </c>
      <c r="L356" s="4">
        <v>0.56000000000000005</v>
      </c>
      <c r="M356" s="4">
        <v>0.16420000000000001</v>
      </c>
      <c r="N356" s="4">
        <v>1</v>
      </c>
      <c r="O356" s="2">
        <v>1</v>
      </c>
      <c r="P356" s="2" t="str">
        <f t="shared" si="5"/>
        <v>Wednesday</v>
      </c>
      <c r="Q356" s="2" t="str">
        <f>IF(Table1[[#This Row],[temp]]&gt;=0.24,"cold","colder")</f>
        <v>cold</v>
      </c>
      <c r="R356" s="4">
        <v>0</v>
      </c>
      <c r="S356" s="16" t="str" cm="1">
        <f t="array" ref="S356">_xlfn.IFS(Table1[[#This Row],[weathersit]]=1,"clear sky",Table1[[#This Row],[weathersit]]=2,"mist",Table1[[#This Row],[weathersit]]=3,"partially dark",Table1[[#This Row],[weathersit]]=4,"rain")</f>
        <v>mist</v>
      </c>
    </row>
    <row r="357" spans="1:19" ht="15" customHeight="1" x14ac:dyDescent="0.3">
      <c r="A357" s="2">
        <v>356</v>
      </c>
      <c r="B357" s="3">
        <v>40899</v>
      </c>
      <c r="C357" s="2">
        <v>1</v>
      </c>
      <c r="D357" s="2">
        <v>0</v>
      </c>
      <c r="E357" s="2">
        <v>1</v>
      </c>
      <c r="F357" s="2">
        <v>7</v>
      </c>
      <c r="G357" s="2" t="b">
        <v>0</v>
      </c>
      <c r="H357" s="2">
        <v>0</v>
      </c>
      <c r="I357" s="2">
        <v>2</v>
      </c>
      <c r="J357" s="2">
        <v>0.24</v>
      </c>
      <c r="K357" s="4">
        <v>0.21210000000000001</v>
      </c>
      <c r="L357" s="4">
        <v>0.56000000000000005</v>
      </c>
      <c r="M357" s="4">
        <v>0.29849999999999999</v>
      </c>
      <c r="N357" s="4">
        <v>3</v>
      </c>
      <c r="O357" s="2">
        <v>3</v>
      </c>
      <c r="P357" s="2" t="str">
        <f t="shared" si="5"/>
        <v>Thursday</v>
      </c>
      <c r="Q357" s="2" t="str">
        <f>IF(Table1[[#This Row],[temp]]&gt;=0.24,"cold","colder")</f>
        <v>cold</v>
      </c>
      <c r="R357" s="4">
        <v>0</v>
      </c>
      <c r="S357" s="16" t="str" cm="1">
        <f t="array" ref="S357">_xlfn.IFS(Table1[[#This Row],[weathersit]]=1,"clear sky",Table1[[#This Row],[weathersit]]=2,"mist",Table1[[#This Row],[weathersit]]=3,"partially dark",Table1[[#This Row],[weathersit]]=4,"rain")</f>
        <v>mist</v>
      </c>
    </row>
    <row r="358" spans="1:19" ht="15" customHeight="1" x14ac:dyDescent="0.3">
      <c r="A358" s="2">
        <v>357</v>
      </c>
      <c r="B358" s="3">
        <v>40900</v>
      </c>
      <c r="C358" s="2">
        <v>1</v>
      </c>
      <c r="D358" s="2">
        <v>0</v>
      </c>
      <c r="E358" s="2">
        <v>1</v>
      </c>
      <c r="F358" s="2">
        <v>8</v>
      </c>
      <c r="G358" s="2" t="b">
        <v>0</v>
      </c>
      <c r="H358" s="2">
        <v>0</v>
      </c>
      <c r="I358" s="2">
        <v>1</v>
      </c>
      <c r="J358" s="2">
        <v>0.22</v>
      </c>
      <c r="K358" s="4">
        <v>0.21210000000000001</v>
      </c>
      <c r="L358" s="4">
        <v>0.55000000000000004</v>
      </c>
      <c r="M358" s="4">
        <v>0.28360000000000002</v>
      </c>
      <c r="N358" s="4">
        <v>18</v>
      </c>
      <c r="O358" s="2">
        <v>18</v>
      </c>
      <c r="P358" s="2" t="str">
        <f t="shared" si="5"/>
        <v>Friday</v>
      </c>
      <c r="Q358" s="2" t="str">
        <f>IF(Table1[[#This Row],[temp]]&gt;=0.24,"cold","colder")</f>
        <v>colder</v>
      </c>
      <c r="R358" s="4">
        <v>0</v>
      </c>
      <c r="S358" s="16" t="str" cm="1">
        <f t="array" ref="S358">_xlfn.IFS(Table1[[#This Row],[weathersit]]=1,"clear sky",Table1[[#This Row],[weathersit]]=2,"mist",Table1[[#This Row],[weathersit]]=3,"partially dark",Table1[[#This Row],[weathersit]]=4,"rain")</f>
        <v>clear sky</v>
      </c>
    </row>
    <row r="359" spans="1:19" ht="15" customHeight="1" x14ac:dyDescent="0.3">
      <c r="A359" s="2">
        <v>358</v>
      </c>
      <c r="B359" s="3">
        <v>40901</v>
      </c>
      <c r="C359" s="2">
        <v>1</v>
      </c>
      <c r="D359" s="2">
        <v>0</v>
      </c>
      <c r="E359" s="2">
        <v>1</v>
      </c>
      <c r="F359" s="2">
        <v>9</v>
      </c>
      <c r="G359" s="2" t="b">
        <v>0</v>
      </c>
      <c r="H359" s="2">
        <v>0</v>
      </c>
      <c r="I359" s="2">
        <v>1</v>
      </c>
      <c r="J359" s="2">
        <v>0.22</v>
      </c>
      <c r="K359" s="4">
        <v>0.21210000000000001</v>
      </c>
      <c r="L359" s="4">
        <v>0.51</v>
      </c>
      <c r="M359" s="4">
        <v>0.25369999999999998</v>
      </c>
      <c r="N359" s="4">
        <v>29</v>
      </c>
      <c r="O359" s="2">
        <v>32</v>
      </c>
      <c r="P359" s="2" t="str">
        <f t="shared" si="5"/>
        <v>Saturday</v>
      </c>
      <c r="Q359" s="2" t="str">
        <f>IF(Table1[[#This Row],[temp]]&gt;=0.24,"cold","colder")</f>
        <v>colder</v>
      </c>
      <c r="R359" s="4">
        <v>3</v>
      </c>
      <c r="S359" s="16" t="str" cm="1">
        <f t="array" ref="S359">_xlfn.IFS(Table1[[#This Row],[weathersit]]=1,"clear sky",Table1[[#This Row],[weathersit]]=2,"mist",Table1[[#This Row],[weathersit]]=3,"partially dark",Table1[[#This Row],[weathersit]]=4,"rain")</f>
        <v>clear sky</v>
      </c>
    </row>
    <row r="360" spans="1:19" ht="15" customHeight="1" x14ac:dyDescent="0.3">
      <c r="A360" s="2">
        <v>359</v>
      </c>
      <c r="B360" s="3">
        <v>40902</v>
      </c>
      <c r="C360" s="2">
        <v>1</v>
      </c>
      <c r="D360" s="2">
        <v>0</v>
      </c>
      <c r="E360" s="2">
        <v>1</v>
      </c>
      <c r="F360" s="2">
        <v>10</v>
      </c>
      <c r="G360" s="2" t="b">
        <v>0</v>
      </c>
      <c r="H360" s="2">
        <v>0</v>
      </c>
      <c r="I360" s="2">
        <v>1</v>
      </c>
      <c r="J360" s="2">
        <v>0.22</v>
      </c>
      <c r="K360" s="4">
        <v>0.21210000000000001</v>
      </c>
      <c r="L360" s="4">
        <v>0.51</v>
      </c>
      <c r="M360" s="4">
        <v>0.28360000000000002</v>
      </c>
      <c r="N360" s="4">
        <v>71</v>
      </c>
      <c r="O360" s="2">
        <v>79</v>
      </c>
      <c r="P360" s="2" t="str">
        <f t="shared" si="5"/>
        <v>Sunday</v>
      </c>
      <c r="Q360" s="2" t="str">
        <f>IF(Table1[[#This Row],[temp]]&gt;=0.24,"cold","colder")</f>
        <v>colder</v>
      </c>
      <c r="R360" s="4">
        <v>8</v>
      </c>
      <c r="S360" s="16" t="str" cm="1">
        <f t="array" ref="S360">_xlfn.IFS(Table1[[#This Row],[weathersit]]=1,"clear sky",Table1[[#This Row],[weathersit]]=2,"mist",Table1[[#This Row],[weathersit]]=3,"partially dark",Table1[[#This Row],[weathersit]]=4,"rain")</f>
        <v>clear sky</v>
      </c>
    </row>
    <row r="361" spans="1:19" ht="15" customHeight="1" x14ac:dyDescent="0.3">
      <c r="A361" s="2">
        <v>360</v>
      </c>
      <c r="B361" s="3">
        <v>40903</v>
      </c>
      <c r="C361" s="2">
        <v>1</v>
      </c>
      <c r="D361" s="2">
        <v>0</v>
      </c>
      <c r="E361" s="2">
        <v>1</v>
      </c>
      <c r="F361" s="2">
        <v>11</v>
      </c>
      <c r="G361" s="2" t="b">
        <v>0</v>
      </c>
      <c r="H361" s="2">
        <v>0</v>
      </c>
      <c r="I361" s="2">
        <v>1</v>
      </c>
      <c r="J361" s="2">
        <v>0.24</v>
      </c>
      <c r="K361" s="4">
        <v>0.2273</v>
      </c>
      <c r="L361" s="4">
        <v>0.44</v>
      </c>
      <c r="M361" s="4">
        <v>0.25369999999999998</v>
      </c>
      <c r="N361" s="4">
        <v>70</v>
      </c>
      <c r="O361" s="2">
        <v>93</v>
      </c>
      <c r="P361" s="2" t="str">
        <f t="shared" si="5"/>
        <v>Monday</v>
      </c>
      <c r="Q361" s="2" t="str">
        <f>IF(Table1[[#This Row],[temp]]&gt;=0.24,"cold","colder")</f>
        <v>cold</v>
      </c>
      <c r="R361" s="4">
        <v>23</v>
      </c>
      <c r="S361" s="16" t="str" cm="1">
        <f t="array" ref="S361">_xlfn.IFS(Table1[[#This Row],[weathersit]]=1,"clear sky",Table1[[#This Row],[weathersit]]=2,"mist",Table1[[#This Row],[weathersit]]=3,"partially dark",Table1[[#This Row],[weathersit]]=4,"rain")</f>
        <v>clear sky</v>
      </c>
    </row>
    <row r="362" spans="1:19" ht="15" customHeight="1" x14ac:dyDescent="0.3">
      <c r="A362" s="2">
        <v>361</v>
      </c>
      <c r="B362" s="3">
        <v>40904</v>
      </c>
      <c r="C362" s="2">
        <v>1</v>
      </c>
      <c r="D362" s="2">
        <v>0</v>
      </c>
      <c r="E362" s="2">
        <v>1</v>
      </c>
      <c r="F362" s="2">
        <v>12</v>
      </c>
      <c r="G362" s="2" t="b">
        <v>0</v>
      </c>
      <c r="H362" s="2">
        <v>0</v>
      </c>
      <c r="I362" s="2">
        <v>1</v>
      </c>
      <c r="J362" s="2">
        <v>0.24</v>
      </c>
      <c r="K362" s="4">
        <v>0.21210000000000001</v>
      </c>
      <c r="L362" s="4">
        <v>0.41</v>
      </c>
      <c r="M362" s="4">
        <v>0.28360000000000002</v>
      </c>
      <c r="N362" s="4">
        <v>75</v>
      </c>
      <c r="O362" s="2">
        <v>104</v>
      </c>
      <c r="P362" s="2" t="str">
        <f t="shared" si="5"/>
        <v>Tuesday</v>
      </c>
      <c r="Q362" s="2" t="str">
        <f>IF(Table1[[#This Row],[temp]]&gt;=0.24,"cold","colder")</f>
        <v>cold</v>
      </c>
      <c r="R362" s="4">
        <v>29</v>
      </c>
      <c r="S362" s="16" t="str" cm="1">
        <f t="array" ref="S362">_xlfn.IFS(Table1[[#This Row],[weathersit]]=1,"clear sky",Table1[[#This Row],[weathersit]]=2,"mist",Table1[[#This Row],[weathersit]]=3,"partially dark",Table1[[#This Row],[weathersit]]=4,"rain")</f>
        <v>clear sky</v>
      </c>
    </row>
    <row r="363" spans="1:19" ht="15" customHeight="1" x14ac:dyDescent="0.3">
      <c r="A363" s="2">
        <v>362</v>
      </c>
      <c r="B363" s="3">
        <v>40905</v>
      </c>
      <c r="C363" s="2">
        <v>1</v>
      </c>
      <c r="D363" s="2">
        <v>0</v>
      </c>
      <c r="E363" s="2">
        <v>1</v>
      </c>
      <c r="F363" s="2">
        <v>13</v>
      </c>
      <c r="G363" s="2" t="b">
        <v>0</v>
      </c>
      <c r="H363" s="2">
        <v>0</v>
      </c>
      <c r="I363" s="2">
        <v>1</v>
      </c>
      <c r="J363" s="2">
        <v>0.26</v>
      </c>
      <c r="K363" s="4">
        <v>0.2273</v>
      </c>
      <c r="L363" s="4">
        <v>0.35</v>
      </c>
      <c r="M363" s="4">
        <v>0.29849999999999999</v>
      </c>
      <c r="N363" s="4">
        <v>95</v>
      </c>
      <c r="O363" s="2">
        <v>118</v>
      </c>
      <c r="P363" s="2" t="str">
        <f t="shared" si="5"/>
        <v>Wednesday</v>
      </c>
      <c r="Q363" s="2" t="str">
        <f>IF(Table1[[#This Row],[temp]]&gt;=0.24,"cold","colder")</f>
        <v>cold</v>
      </c>
      <c r="R363" s="4">
        <v>23</v>
      </c>
      <c r="S363" s="16" t="str" cm="1">
        <f t="array" ref="S363">_xlfn.IFS(Table1[[#This Row],[weathersit]]=1,"clear sky",Table1[[#This Row],[weathersit]]=2,"mist",Table1[[#This Row],[weathersit]]=3,"partially dark",Table1[[#This Row],[weathersit]]=4,"rain")</f>
        <v>clear sky</v>
      </c>
    </row>
    <row r="364" spans="1:19" ht="15" customHeight="1" x14ac:dyDescent="0.3">
      <c r="A364" s="2">
        <v>363</v>
      </c>
      <c r="B364" s="3">
        <v>40906</v>
      </c>
      <c r="C364" s="2">
        <v>1</v>
      </c>
      <c r="D364" s="2">
        <v>0</v>
      </c>
      <c r="E364" s="2">
        <v>1</v>
      </c>
      <c r="F364" s="2">
        <v>14</v>
      </c>
      <c r="G364" s="2" t="b">
        <v>0</v>
      </c>
      <c r="H364" s="2">
        <v>0</v>
      </c>
      <c r="I364" s="2">
        <v>1</v>
      </c>
      <c r="J364" s="2">
        <v>0.28000000000000003</v>
      </c>
      <c r="K364" s="4">
        <v>0.2727</v>
      </c>
      <c r="L364" s="4">
        <v>0.36</v>
      </c>
      <c r="M364" s="4">
        <v>0.25369999999999998</v>
      </c>
      <c r="N364" s="4">
        <v>69</v>
      </c>
      <c r="O364" s="2">
        <v>91</v>
      </c>
      <c r="P364" s="2" t="str">
        <f t="shared" si="5"/>
        <v>Thursday</v>
      </c>
      <c r="Q364" s="2" t="str">
        <f>IF(Table1[[#This Row],[temp]]&gt;=0.24,"cold","colder")</f>
        <v>cold</v>
      </c>
      <c r="R364" s="4">
        <v>22</v>
      </c>
      <c r="S364" s="16" t="str" cm="1">
        <f t="array" ref="S364">_xlfn.IFS(Table1[[#This Row],[weathersit]]=1,"clear sky",Table1[[#This Row],[weathersit]]=2,"mist",Table1[[#This Row],[weathersit]]=3,"partially dark",Table1[[#This Row],[weathersit]]=4,"rain")</f>
        <v>clear sky</v>
      </c>
    </row>
    <row r="365" spans="1:19" ht="15" customHeight="1" x14ac:dyDescent="0.3">
      <c r="A365" s="2">
        <v>364</v>
      </c>
      <c r="B365" s="3">
        <v>40907</v>
      </c>
      <c r="C365" s="2">
        <v>1</v>
      </c>
      <c r="D365" s="2">
        <v>0</v>
      </c>
      <c r="E365" s="2">
        <v>1</v>
      </c>
      <c r="F365" s="2">
        <v>15</v>
      </c>
      <c r="G365" s="2" t="b">
        <v>0</v>
      </c>
      <c r="H365" s="2">
        <v>0</v>
      </c>
      <c r="I365" s="2">
        <v>1</v>
      </c>
      <c r="J365" s="2">
        <v>0.26</v>
      </c>
      <c r="K365" s="4">
        <v>0.2424</v>
      </c>
      <c r="L365" s="4">
        <v>0.38</v>
      </c>
      <c r="M365" s="4">
        <v>0.25369999999999998</v>
      </c>
      <c r="N365" s="4">
        <v>78</v>
      </c>
      <c r="O365" s="2">
        <v>113</v>
      </c>
      <c r="P365" s="2" t="str">
        <f t="shared" si="5"/>
        <v>Friday</v>
      </c>
      <c r="Q365" s="2" t="str">
        <f>IF(Table1[[#This Row],[temp]]&gt;=0.24,"cold","colder")</f>
        <v>cold</v>
      </c>
      <c r="R365" s="4">
        <v>35</v>
      </c>
      <c r="S365" s="16" t="str" cm="1">
        <f t="array" ref="S365">_xlfn.IFS(Table1[[#This Row],[weathersit]]=1,"clear sky",Table1[[#This Row],[weathersit]]=2,"mist",Table1[[#This Row],[weathersit]]=3,"partially dark",Table1[[#This Row],[weathersit]]=4,"rain")</f>
        <v>clear sky</v>
      </c>
    </row>
    <row r="366" spans="1:19" ht="15" customHeight="1" x14ac:dyDescent="0.3">
      <c r="A366" s="2">
        <v>365</v>
      </c>
      <c r="B366" s="3">
        <v>40908</v>
      </c>
      <c r="C366" s="2">
        <v>1</v>
      </c>
      <c r="D366" s="2">
        <v>0</v>
      </c>
      <c r="E366" s="2">
        <v>1</v>
      </c>
      <c r="F366" s="2">
        <v>16</v>
      </c>
      <c r="G366" s="2" t="b">
        <v>0</v>
      </c>
      <c r="H366" s="2">
        <v>0</v>
      </c>
      <c r="I366" s="2">
        <v>1</v>
      </c>
      <c r="J366" s="2">
        <v>0.24</v>
      </c>
      <c r="K366" s="4">
        <v>0.2273</v>
      </c>
      <c r="L366" s="4">
        <v>0.38</v>
      </c>
      <c r="M366" s="4">
        <v>0.22389999999999999</v>
      </c>
      <c r="N366" s="4">
        <v>77</v>
      </c>
      <c r="O366" s="2">
        <v>99</v>
      </c>
      <c r="P366" s="2" t="str">
        <f t="shared" si="5"/>
        <v>Saturday</v>
      </c>
      <c r="Q366" s="2" t="str">
        <f>IF(Table1[[#This Row],[temp]]&gt;=0.24,"cold","colder")</f>
        <v>cold</v>
      </c>
      <c r="R366" s="4">
        <v>22</v>
      </c>
      <c r="S366" s="16" t="str" cm="1">
        <f t="array" ref="S366">_xlfn.IFS(Table1[[#This Row],[weathersit]]=1,"clear sky",Table1[[#This Row],[weathersit]]=2,"mist",Table1[[#This Row],[weathersit]]=3,"partially dark",Table1[[#This Row],[weathersit]]=4,"rain")</f>
        <v>clear sky</v>
      </c>
    </row>
    <row r="367" spans="1:19" ht="15" customHeight="1" x14ac:dyDescent="0.3">
      <c r="A367" s="2">
        <v>366</v>
      </c>
      <c r="B367" s="3">
        <v>40909</v>
      </c>
      <c r="C367" s="2">
        <v>1</v>
      </c>
      <c r="D367" s="2">
        <v>0</v>
      </c>
      <c r="E367" s="2">
        <v>1</v>
      </c>
      <c r="F367" s="2">
        <v>17</v>
      </c>
      <c r="G367" s="2" t="b">
        <v>0</v>
      </c>
      <c r="H367" s="2">
        <v>0</v>
      </c>
      <c r="I367" s="2">
        <v>1</v>
      </c>
      <c r="J367" s="2">
        <v>0.22</v>
      </c>
      <c r="K367" s="4">
        <v>0.21210000000000001</v>
      </c>
      <c r="L367" s="4">
        <v>0.37</v>
      </c>
      <c r="M367" s="4">
        <v>0.25369999999999998</v>
      </c>
      <c r="N367" s="4">
        <v>82</v>
      </c>
      <c r="O367" s="2">
        <v>105</v>
      </c>
      <c r="P367" s="2" t="str">
        <f t="shared" si="5"/>
        <v>Sunday</v>
      </c>
      <c r="Q367" s="2" t="str">
        <f>IF(Table1[[#This Row],[temp]]&gt;=0.24,"cold","colder")</f>
        <v>colder</v>
      </c>
      <c r="R367" s="4">
        <v>23</v>
      </c>
      <c r="S367" s="16" t="str" cm="1">
        <f t="array" ref="S367">_xlfn.IFS(Table1[[#This Row],[weathersit]]=1,"clear sky",Table1[[#This Row],[weathersit]]=2,"mist",Table1[[#This Row],[weathersit]]=3,"partially dark",Table1[[#This Row],[weathersit]]=4,"rain")</f>
        <v>clear sky</v>
      </c>
    </row>
    <row r="368" spans="1:19" ht="15" customHeight="1" x14ac:dyDescent="0.3">
      <c r="A368" s="2">
        <v>367</v>
      </c>
      <c r="B368" s="3">
        <v>40910</v>
      </c>
      <c r="C368" s="2">
        <v>1</v>
      </c>
      <c r="D368" s="2">
        <v>0</v>
      </c>
      <c r="E368" s="2">
        <v>1</v>
      </c>
      <c r="F368" s="2">
        <v>18</v>
      </c>
      <c r="G368" s="2" t="b">
        <v>0</v>
      </c>
      <c r="H368" s="2">
        <v>0</v>
      </c>
      <c r="I368" s="2">
        <v>1</v>
      </c>
      <c r="J368" s="2">
        <v>0.2</v>
      </c>
      <c r="K368" s="4">
        <v>0.21210000000000001</v>
      </c>
      <c r="L368" s="4">
        <v>0.4</v>
      </c>
      <c r="M368" s="4">
        <v>0.16420000000000001</v>
      </c>
      <c r="N368" s="4">
        <v>56</v>
      </c>
      <c r="O368" s="2">
        <v>67</v>
      </c>
      <c r="P368" s="2" t="str">
        <f t="shared" si="5"/>
        <v>Monday</v>
      </c>
      <c r="Q368" s="2" t="str">
        <f>IF(Table1[[#This Row],[temp]]&gt;=0.24,"cold","colder")</f>
        <v>colder</v>
      </c>
      <c r="R368" s="4">
        <v>11</v>
      </c>
      <c r="S368" s="16" t="str" cm="1">
        <f t="array" ref="S368">_xlfn.IFS(Table1[[#This Row],[weathersit]]=1,"clear sky",Table1[[#This Row],[weathersit]]=2,"mist",Table1[[#This Row],[weathersit]]=3,"partially dark",Table1[[#This Row],[weathersit]]=4,"rain")</f>
        <v>clear sky</v>
      </c>
    </row>
    <row r="369" spans="1:19" ht="15" customHeight="1" x14ac:dyDescent="0.3">
      <c r="A369" s="2">
        <v>368</v>
      </c>
      <c r="B369" s="3">
        <v>40911</v>
      </c>
      <c r="C369" s="2">
        <v>1</v>
      </c>
      <c r="D369" s="2">
        <v>0</v>
      </c>
      <c r="E369" s="2">
        <v>1</v>
      </c>
      <c r="F369" s="2">
        <v>19</v>
      </c>
      <c r="G369" s="2" t="b">
        <v>0</v>
      </c>
      <c r="H369" s="2">
        <v>0</v>
      </c>
      <c r="I369" s="2">
        <v>1</v>
      </c>
      <c r="J369" s="2">
        <v>0.18</v>
      </c>
      <c r="K369" s="4">
        <v>0.19700000000000001</v>
      </c>
      <c r="L369" s="4">
        <v>0.47</v>
      </c>
      <c r="M369" s="4">
        <v>0.1343</v>
      </c>
      <c r="N369" s="4">
        <v>47</v>
      </c>
      <c r="O369" s="2">
        <v>61</v>
      </c>
      <c r="P369" s="2" t="str">
        <f t="shared" si="5"/>
        <v>Tuesday</v>
      </c>
      <c r="Q369" s="2" t="str">
        <f>IF(Table1[[#This Row],[temp]]&gt;=0.24,"cold","colder")</f>
        <v>colder</v>
      </c>
      <c r="R369" s="4">
        <v>14</v>
      </c>
      <c r="S369" s="16" t="str" cm="1">
        <f t="array" ref="S369">_xlfn.IFS(Table1[[#This Row],[weathersit]]=1,"clear sky",Table1[[#This Row],[weathersit]]=2,"mist",Table1[[#This Row],[weathersit]]=3,"partially dark",Table1[[#This Row],[weathersit]]=4,"rain")</f>
        <v>clear sky</v>
      </c>
    </row>
    <row r="370" spans="1:19" ht="15" customHeight="1" x14ac:dyDescent="0.3">
      <c r="A370" s="2">
        <v>369</v>
      </c>
      <c r="B370" s="3">
        <v>40912</v>
      </c>
      <c r="C370" s="2">
        <v>1</v>
      </c>
      <c r="D370" s="2">
        <v>0</v>
      </c>
      <c r="E370" s="2">
        <v>1</v>
      </c>
      <c r="F370" s="2">
        <v>20</v>
      </c>
      <c r="G370" s="2" t="b">
        <v>0</v>
      </c>
      <c r="H370" s="2">
        <v>0</v>
      </c>
      <c r="I370" s="2">
        <v>1</v>
      </c>
      <c r="J370" s="2">
        <v>0.18</v>
      </c>
      <c r="K370" s="4">
        <v>0.19700000000000001</v>
      </c>
      <c r="L370" s="4">
        <v>0.47</v>
      </c>
      <c r="M370" s="4">
        <v>0.16420000000000001</v>
      </c>
      <c r="N370" s="4">
        <v>50</v>
      </c>
      <c r="O370" s="2">
        <v>57</v>
      </c>
      <c r="P370" s="2" t="str">
        <f t="shared" si="5"/>
        <v>Wednesday</v>
      </c>
      <c r="Q370" s="2" t="str">
        <f>IF(Table1[[#This Row],[temp]]&gt;=0.24,"cold","colder")</f>
        <v>colder</v>
      </c>
      <c r="R370" s="4">
        <v>7</v>
      </c>
      <c r="S370" s="16" t="str" cm="1">
        <f t="array" ref="S370">_xlfn.IFS(Table1[[#This Row],[weathersit]]=1,"clear sky",Table1[[#This Row],[weathersit]]=2,"mist",Table1[[#This Row],[weathersit]]=3,"partially dark",Table1[[#This Row],[weathersit]]=4,"rain")</f>
        <v>clear sky</v>
      </c>
    </row>
    <row r="371" spans="1:19" ht="15" customHeight="1" x14ac:dyDescent="0.3">
      <c r="A371" s="2">
        <v>370</v>
      </c>
      <c r="B371" s="3">
        <v>40913</v>
      </c>
      <c r="C371" s="2">
        <v>1</v>
      </c>
      <c r="D371" s="2">
        <v>0</v>
      </c>
      <c r="E371" s="2">
        <v>1</v>
      </c>
      <c r="F371" s="2">
        <v>21</v>
      </c>
      <c r="G371" s="2" t="b">
        <v>0</v>
      </c>
      <c r="H371" s="2">
        <v>0</v>
      </c>
      <c r="I371" s="2">
        <v>1</v>
      </c>
      <c r="J371" s="2">
        <v>0.18</v>
      </c>
      <c r="K371" s="4">
        <v>0.19700000000000001</v>
      </c>
      <c r="L371" s="4">
        <v>0.51</v>
      </c>
      <c r="M371" s="4">
        <v>0.16420000000000001</v>
      </c>
      <c r="N371" s="4">
        <v>22</v>
      </c>
      <c r="O371" s="2">
        <v>28</v>
      </c>
      <c r="P371" s="2" t="str">
        <f t="shared" si="5"/>
        <v>Thursday</v>
      </c>
      <c r="Q371" s="2" t="str">
        <f>IF(Table1[[#This Row],[temp]]&gt;=0.24,"cold","colder")</f>
        <v>colder</v>
      </c>
      <c r="R371" s="4">
        <v>6</v>
      </c>
      <c r="S371" s="16" t="str" cm="1">
        <f t="array" ref="S371">_xlfn.IFS(Table1[[#This Row],[weathersit]]=1,"clear sky",Table1[[#This Row],[weathersit]]=2,"mist",Table1[[#This Row],[weathersit]]=3,"partially dark",Table1[[#This Row],[weathersit]]=4,"rain")</f>
        <v>clear sky</v>
      </c>
    </row>
    <row r="372" spans="1:19" ht="15" customHeight="1" x14ac:dyDescent="0.3">
      <c r="A372" s="2">
        <v>371</v>
      </c>
      <c r="B372" s="3">
        <v>40914</v>
      </c>
      <c r="C372" s="2">
        <v>1</v>
      </c>
      <c r="D372" s="2">
        <v>0</v>
      </c>
      <c r="E372" s="2">
        <v>1</v>
      </c>
      <c r="F372" s="2">
        <v>22</v>
      </c>
      <c r="G372" s="2" t="b">
        <v>0</v>
      </c>
      <c r="H372" s="2">
        <v>0</v>
      </c>
      <c r="I372" s="2">
        <v>2</v>
      </c>
      <c r="J372" s="2">
        <v>0.2</v>
      </c>
      <c r="K372" s="4">
        <v>0.21210000000000001</v>
      </c>
      <c r="L372" s="4">
        <v>0.49</v>
      </c>
      <c r="M372" s="4">
        <v>0.1343</v>
      </c>
      <c r="N372" s="4">
        <v>19</v>
      </c>
      <c r="O372" s="2">
        <v>21</v>
      </c>
      <c r="P372" s="2" t="str">
        <f t="shared" si="5"/>
        <v>Friday</v>
      </c>
      <c r="Q372" s="2" t="str">
        <f>IF(Table1[[#This Row],[temp]]&gt;=0.24,"cold","colder")</f>
        <v>colder</v>
      </c>
      <c r="R372" s="4">
        <v>2</v>
      </c>
      <c r="S372" s="16" t="str" cm="1">
        <f t="array" ref="S372">_xlfn.IFS(Table1[[#This Row],[weathersit]]=1,"clear sky",Table1[[#This Row],[weathersit]]=2,"mist",Table1[[#This Row],[weathersit]]=3,"partially dark",Table1[[#This Row],[weathersit]]=4,"rain")</f>
        <v>mist</v>
      </c>
    </row>
    <row r="373" spans="1:19" ht="15" customHeight="1" x14ac:dyDescent="0.3">
      <c r="A373" s="2">
        <v>372</v>
      </c>
      <c r="B373" s="3">
        <v>40915</v>
      </c>
      <c r="C373" s="2">
        <v>1</v>
      </c>
      <c r="D373" s="2">
        <v>0</v>
      </c>
      <c r="E373" s="2">
        <v>1</v>
      </c>
      <c r="F373" s="2">
        <v>23</v>
      </c>
      <c r="G373" s="2" t="b">
        <v>0</v>
      </c>
      <c r="H373" s="2">
        <v>0</v>
      </c>
      <c r="I373" s="2">
        <v>2</v>
      </c>
      <c r="J373" s="2">
        <v>0.2</v>
      </c>
      <c r="K373" s="4">
        <v>0.2273</v>
      </c>
      <c r="L373" s="4">
        <v>0.4</v>
      </c>
      <c r="M373" s="4">
        <v>0.1045</v>
      </c>
      <c r="N373" s="4">
        <v>18</v>
      </c>
      <c r="O373" s="2">
        <v>18</v>
      </c>
      <c r="P373" s="2" t="str">
        <f t="shared" si="5"/>
        <v>Saturday</v>
      </c>
      <c r="Q373" s="2" t="str">
        <f>IF(Table1[[#This Row],[temp]]&gt;=0.24,"cold","colder")</f>
        <v>colder</v>
      </c>
      <c r="R373" s="4">
        <v>0</v>
      </c>
      <c r="S373" s="16" t="str" cm="1">
        <f t="array" ref="S373">_xlfn.IFS(Table1[[#This Row],[weathersit]]=1,"clear sky",Table1[[#This Row],[weathersit]]=2,"mist",Table1[[#This Row],[weathersit]]=3,"partially dark",Table1[[#This Row],[weathersit]]=4,"rain")</f>
        <v>mist</v>
      </c>
    </row>
    <row r="374" spans="1:19" ht="15" customHeight="1" x14ac:dyDescent="0.3">
      <c r="A374" s="2">
        <v>373</v>
      </c>
      <c r="B374" s="3">
        <v>40916</v>
      </c>
      <c r="C374" s="2">
        <v>1</v>
      </c>
      <c r="D374" s="2">
        <v>0</v>
      </c>
      <c r="E374" s="2">
        <v>1</v>
      </c>
      <c r="F374" s="2">
        <v>0</v>
      </c>
      <c r="G374" s="2" t="b">
        <v>1</v>
      </c>
      <c r="H374" s="2">
        <v>1</v>
      </c>
      <c r="I374" s="2">
        <v>2</v>
      </c>
      <c r="J374" s="2">
        <v>0.2</v>
      </c>
      <c r="K374" s="4">
        <v>0.19700000000000001</v>
      </c>
      <c r="L374" s="4">
        <v>0.47</v>
      </c>
      <c r="M374" s="4">
        <v>0.22389999999999999</v>
      </c>
      <c r="N374" s="4">
        <v>16</v>
      </c>
      <c r="O374" s="2">
        <v>17</v>
      </c>
      <c r="P374" s="2" t="str">
        <f t="shared" si="5"/>
        <v>Sunday</v>
      </c>
      <c r="Q374" s="2" t="str">
        <f>IF(Table1[[#This Row],[temp]]&gt;=0.24,"cold","colder")</f>
        <v>colder</v>
      </c>
      <c r="R374" s="4">
        <v>1</v>
      </c>
      <c r="S374" s="16" t="str" cm="1">
        <f t="array" ref="S374">_xlfn.IFS(Table1[[#This Row],[weathersit]]=1,"clear sky",Table1[[#This Row],[weathersit]]=2,"mist",Table1[[#This Row],[weathersit]]=3,"partially dark",Table1[[#This Row],[weathersit]]=4,"rain")</f>
        <v>mist</v>
      </c>
    </row>
    <row r="375" spans="1:19" ht="15" customHeight="1" x14ac:dyDescent="0.3">
      <c r="A375" s="2">
        <v>374</v>
      </c>
      <c r="B375" s="3">
        <v>40917</v>
      </c>
      <c r="C375" s="2">
        <v>1</v>
      </c>
      <c r="D375" s="2">
        <v>0</v>
      </c>
      <c r="E375" s="2">
        <v>1</v>
      </c>
      <c r="F375" s="2">
        <v>1</v>
      </c>
      <c r="G375" s="2" t="b">
        <v>1</v>
      </c>
      <c r="H375" s="2">
        <v>1</v>
      </c>
      <c r="I375" s="2">
        <v>2</v>
      </c>
      <c r="J375" s="2">
        <v>0.2</v>
      </c>
      <c r="K375" s="4">
        <v>0.19700000000000001</v>
      </c>
      <c r="L375" s="4">
        <v>0.44</v>
      </c>
      <c r="M375" s="4">
        <v>0.19400000000000001</v>
      </c>
      <c r="N375" s="4">
        <v>15</v>
      </c>
      <c r="O375" s="2">
        <v>16</v>
      </c>
      <c r="P375" s="2" t="str">
        <f t="shared" si="5"/>
        <v>Monday</v>
      </c>
      <c r="Q375" s="2" t="str">
        <f>IF(Table1[[#This Row],[temp]]&gt;=0.24,"cold","colder")</f>
        <v>colder</v>
      </c>
      <c r="R375" s="4">
        <v>1</v>
      </c>
      <c r="S375" s="16" t="str" cm="1">
        <f t="array" ref="S375">_xlfn.IFS(Table1[[#This Row],[weathersit]]=1,"clear sky",Table1[[#This Row],[weathersit]]=2,"mist",Table1[[#This Row],[weathersit]]=3,"partially dark",Table1[[#This Row],[weathersit]]=4,"rain")</f>
        <v>mist</v>
      </c>
    </row>
    <row r="376" spans="1:19" ht="15" customHeight="1" x14ac:dyDescent="0.3">
      <c r="A376" s="2">
        <v>375</v>
      </c>
      <c r="B376" s="3">
        <v>40918</v>
      </c>
      <c r="C376" s="2">
        <v>1</v>
      </c>
      <c r="D376" s="2">
        <v>0</v>
      </c>
      <c r="E376" s="2">
        <v>1</v>
      </c>
      <c r="F376" s="2">
        <v>2</v>
      </c>
      <c r="G376" s="2" t="b">
        <v>1</v>
      </c>
      <c r="H376" s="2">
        <v>1</v>
      </c>
      <c r="I376" s="2">
        <v>2</v>
      </c>
      <c r="J376" s="2">
        <v>0.18</v>
      </c>
      <c r="K376" s="4">
        <v>0.16669999999999999</v>
      </c>
      <c r="L376" s="4">
        <v>0.43</v>
      </c>
      <c r="M376" s="4">
        <v>0.25369999999999998</v>
      </c>
      <c r="N376" s="4">
        <v>8</v>
      </c>
      <c r="O376" s="2">
        <v>8</v>
      </c>
      <c r="P376" s="2" t="str">
        <f t="shared" si="5"/>
        <v>Tuesday</v>
      </c>
      <c r="Q376" s="2" t="str">
        <f>IF(Table1[[#This Row],[temp]]&gt;=0.24,"cold","colder")</f>
        <v>colder</v>
      </c>
      <c r="R376" s="4">
        <v>0</v>
      </c>
      <c r="S376" s="16" t="str" cm="1">
        <f t="array" ref="S376">_xlfn.IFS(Table1[[#This Row],[weathersit]]=1,"clear sky",Table1[[#This Row],[weathersit]]=2,"mist",Table1[[#This Row],[weathersit]]=3,"partially dark",Table1[[#This Row],[weathersit]]=4,"rain")</f>
        <v>mist</v>
      </c>
    </row>
    <row r="377" spans="1:19" ht="15" customHeight="1" x14ac:dyDescent="0.3">
      <c r="A377" s="2">
        <v>376</v>
      </c>
      <c r="B377" s="3">
        <v>40919</v>
      </c>
      <c r="C377" s="2">
        <v>1</v>
      </c>
      <c r="D377" s="2">
        <v>0</v>
      </c>
      <c r="E377" s="2">
        <v>1</v>
      </c>
      <c r="F377" s="2">
        <v>3</v>
      </c>
      <c r="G377" s="2" t="b">
        <v>1</v>
      </c>
      <c r="H377" s="2">
        <v>1</v>
      </c>
      <c r="I377" s="2">
        <v>2</v>
      </c>
      <c r="J377" s="2">
        <v>0.18</v>
      </c>
      <c r="K377" s="4">
        <v>0.18179999999999999</v>
      </c>
      <c r="L377" s="4">
        <v>0.43</v>
      </c>
      <c r="M377" s="4">
        <v>0.19400000000000001</v>
      </c>
      <c r="N377" s="4">
        <v>2</v>
      </c>
      <c r="O377" s="2">
        <v>2</v>
      </c>
      <c r="P377" s="2" t="str">
        <f t="shared" si="5"/>
        <v>Wednesday</v>
      </c>
      <c r="Q377" s="2" t="str">
        <f>IF(Table1[[#This Row],[temp]]&gt;=0.24,"cold","colder")</f>
        <v>colder</v>
      </c>
      <c r="R377" s="4">
        <v>0</v>
      </c>
      <c r="S377" s="16" t="str" cm="1">
        <f t="array" ref="S377">_xlfn.IFS(Table1[[#This Row],[weathersit]]=1,"clear sky",Table1[[#This Row],[weathersit]]=2,"mist",Table1[[#This Row],[weathersit]]=3,"partially dark",Table1[[#This Row],[weathersit]]=4,"rain")</f>
        <v>mist</v>
      </c>
    </row>
    <row r="378" spans="1:19" ht="15" customHeight="1" x14ac:dyDescent="0.3">
      <c r="A378" s="2">
        <v>377</v>
      </c>
      <c r="B378" s="3">
        <v>40920</v>
      </c>
      <c r="C378" s="2">
        <v>1</v>
      </c>
      <c r="D378" s="2">
        <v>0</v>
      </c>
      <c r="E378" s="2">
        <v>1</v>
      </c>
      <c r="F378" s="2">
        <v>4</v>
      </c>
      <c r="G378" s="2" t="b">
        <v>1</v>
      </c>
      <c r="H378" s="2">
        <v>1</v>
      </c>
      <c r="I378" s="2">
        <v>2</v>
      </c>
      <c r="J378" s="2">
        <v>0.18</v>
      </c>
      <c r="K378" s="4">
        <v>0.19700000000000001</v>
      </c>
      <c r="L378" s="4">
        <v>0.43</v>
      </c>
      <c r="M378" s="4">
        <v>0.1343</v>
      </c>
      <c r="N378" s="4">
        <v>2</v>
      </c>
      <c r="O378" s="2">
        <v>3</v>
      </c>
      <c r="P378" s="2" t="str">
        <f t="shared" si="5"/>
        <v>Thursday</v>
      </c>
      <c r="Q378" s="2" t="str">
        <f>IF(Table1[[#This Row],[temp]]&gt;=0.24,"cold","colder")</f>
        <v>colder</v>
      </c>
      <c r="R378" s="4">
        <v>1</v>
      </c>
      <c r="S378" s="16" t="str" cm="1">
        <f t="array" ref="S378">_xlfn.IFS(Table1[[#This Row],[weathersit]]=1,"clear sky",Table1[[#This Row],[weathersit]]=2,"mist",Table1[[#This Row],[weathersit]]=3,"partially dark",Table1[[#This Row],[weathersit]]=4,"rain")</f>
        <v>mist</v>
      </c>
    </row>
    <row r="379" spans="1:19" ht="15" customHeight="1" x14ac:dyDescent="0.3">
      <c r="A379" s="2">
        <v>378</v>
      </c>
      <c r="B379" s="3">
        <v>40921</v>
      </c>
      <c r="C379" s="2">
        <v>1</v>
      </c>
      <c r="D379" s="2">
        <v>0</v>
      </c>
      <c r="E379" s="2">
        <v>1</v>
      </c>
      <c r="F379" s="2">
        <v>5</v>
      </c>
      <c r="G379" s="2" t="b">
        <v>1</v>
      </c>
      <c r="H379" s="2">
        <v>1</v>
      </c>
      <c r="I379" s="2">
        <v>2</v>
      </c>
      <c r="J379" s="2">
        <v>0.18</v>
      </c>
      <c r="K379" s="4">
        <v>0.19700000000000001</v>
      </c>
      <c r="L379" s="4">
        <v>0.43</v>
      </c>
      <c r="M379" s="4">
        <v>0.16420000000000001</v>
      </c>
      <c r="N379" s="4">
        <v>1</v>
      </c>
      <c r="O379" s="2">
        <v>1</v>
      </c>
      <c r="P379" s="2" t="str">
        <f t="shared" si="5"/>
        <v>Friday</v>
      </c>
      <c r="Q379" s="2" t="str">
        <f>IF(Table1[[#This Row],[temp]]&gt;=0.24,"cold","colder")</f>
        <v>colder</v>
      </c>
      <c r="R379" s="4">
        <v>0</v>
      </c>
      <c r="S379" s="16" t="str" cm="1">
        <f t="array" ref="S379">_xlfn.IFS(Table1[[#This Row],[weathersit]]=1,"clear sky",Table1[[#This Row],[weathersit]]=2,"mist",Table1[[#This Row],[weathersit]]=3,"partially dark",Table1[[#This Row],[weathersit]]=4,"rain")</f>
        <v>mist</v>
      </c>
    </row>
    <row r="380" spans="1:19" ht="15" customHeight="1" x14ac:dyDescent="0.3">
      <c r="A380" s="2">
        <v>379</v>
      </c>
      <c r="B380" s="3">
        <v>40922</v>
      </c>
      <c r="C380" s="2">
        <v>1</v>
      </c>
      <c r="D380" s="2">
        <v>0</v>
      </c>
      <c r="E380" s="2">
        <v>1</v>
      </c>
      <c r="F380" s="2">
        <v>6</v>
      </c>
      <c r="G380" s="2" t="b">
        <v>1</v>
      </c>
      <c r="H380" s="2">
        <v>1</v>
      </c>
      <c r="I380" s="2">
        <v>2</v>
      </c>
      <c r="J380" s="2">
        <v>0.18</v>
      </c>
      <c r="K380" s="4">
        <v>0.18179999999999999</v>
      </c>
      <c r="L380" s="4">
        <v>0.43</v>
      </c>
      <c r="M380" s="4">
        <v>0.19400000000000001</v>
      </c>
      <c r="N380" s="4">
        <v>5</v>
      </c>
      <c r="O380" s="2">
        <v>5</v>
      </c>
      <c r="P380" s="2" t="str">
        <f t="shared" si="5"/>
        <v>Saturday</v>
      </c>
      <c r="Q380" s="2" t="str">
        <f>IF(Table1[[#This Row],[temp]]&gt;=0.24,"cold","colder")</f>
        <v>colder</v>
      </c>
      <c r="R380" s="4">
        <v>0</v>
      </c>
      <c r="S380" s="16" t="str" cm="1">
        <f t="array" ref="S380">_xlfn.IFS(Table1[[#This Row],[weathersit]]=1,"clear sky",Table1[[#This Row],[weathersit]]=2,"mist",Table1[[#This Row],[weathersit]]=3,"partially dark",Table1[[#This Row],[weathersit]]=4,"rain")</f>
        <v>mist</v>
      </c>
    </row>
    <row r="381" spans="1:19" ht="15" customHeight="1" x14ac:dyDescent="0.3">
      <c r="A381" s="2">
        <v>380</v>
      </c>
      <c r="B381" s="3">
        <v>40923</v>
      </c>
      <c r="C381" s="2">
        <v>1</v>
      </c>
      <c r="D381" s="2">
        <v>0</v>
      </c>
      <c r="E381" s="2">
        <v>1</v>
      </c>
      <c r="F381" s="2">
        <v>7</v>
      </c>
      <c r="G381" s="2" t="b">
        <v>1</v>
      </c>
      <c r="H381" s="2">
        <v>1</v>
      </c>
      <c r="I381" s="2">
        <v>2</v>
      </c>
      <c r="J381" s="2">
        <v>0.16</v>
      </c>
      <c r="K381" s="4">
        <v>0.18179999999999999</v>
      </c>
      <c r="L381" s="4">
        <v>0.5</v>
      </c>
      <c r="M381" s="4">
        <v>0.1343</v>
      </c>
      <c r="N381" s="4">
        <v>9</v>
      </c>
      <c r="O381" s="2">
        <v>13</v>
      </c>
      <c r="P381" s="2" t="str">
        <f t="shared" si="5"/>
        <v>Sunday</v>
      </c>
      <c r="Q381" s="2" t="str">
        <f>IF(Table1[[#This Row],[temp]]&gt;=0.24,"cold","colder")</f>
        <v>colder</v>
      </c>
      <c r="R381" s="4">
        <v>4</v>
      </c>
      <c r="S381" s="16" t="str" cm="1">
        <f t="array" ref="S381">_xlfn.IFS(Table1[[#This Row],[weathersit]]=1,"clear sky",Table1[[#This Row],[weathersit]]=2,"mist",Table1[[#This Row],[weathersit]]=3,"partially dark",Table1[[#This Row],[weathersit]]=4,"rain")</f>
        <v>mist</v>
      </c>
    </row>
    <row r="382" spans="1:19" ht="15" customHeight="1" x14ac:dyDescent="0.3">
      <c r="A382" s="2">
        <v>381</v>
      </c>
      <c r="B382" s="3">
        <v>40924</v>
      </c>
      <c r="C382" s="2">
        <v>1</v>
      </c>
      <c r="D382" s="2">
        <v>0</v>
      </c>
      <c r="E382" s="2">
        <v>1</v>
      </c>
      <c r="F382" s="2">
        <v>8</v>
      </c>
      <c r="G382" s="2" t="b">
        <v>1</v>
      </c>
      <c r="H382" s="2">
        <v>1</v>
      </c>
      <c r="I382" s="2">
        <v>2</v>
      </c>
      <c r="J382" s="2">
        <v>0.16</v>
      </c>
      <c r="K382" s="4">
        <v>0.1515</v>
      </c>
      <c r="L382" s="4">
        <v>0.47</v>
      </c>
      <c r="M382" s="4">
        <v>0.22389999999999999</v>
      </c>
      <c r="N382" s="4">
        <v>30</v>
      </c>
      <c r="O382" s="2">
        <v>33</v>
      </c>
      <c r="P382" s="2" t="str">
        <f t="shared" si="5"/>
        <v>Monday</v>
      </c>
      <c r="Q382" s="2" t="str">
        <f>IF(Table1[[#This Row],[temp]]&gt;=0.24,"cold","colder")</f>
        <v>colder</v>
      </c>
      <c r="R382" s="4">
        <v>3</v>
      </c>
      <c r="S382" s="16" t="str" cm="1">
        <f t="array" ref="S382">_xlfn.IFS(Table1[[#This Row],[weathersit]]=1,"clear sky",Table1[[#This Row],[weathersit]]=2,"mist",Table1[[#This Row],[weathersit]]=3,"partially dark",Table1[[#This Row],[weathersit]]=4,"rain")</f>
        <v>mist</v>
      </c>
    </row>
    <row r="383" spans="1:19" ht="15" customHeight="1" x14ac:dyDescent="0.3">
      <c r="A383" s="2">
        <v>382</v>
      </c>
      <c r="B383" s="3">
        <v>40925</v>
      </c>
      <c r="C383" s="2">
        <v>1</v>
      </c>
      <c r="D383" s="2">
        <v>0</v>
      </c>
      <c r="E383" s="2">
        <v>1</v>
      </c>
      <c r="F383" s="2">
        <v>9</v>
      </c>
      <c r="G383" s="2" t="b">
        <v>1</v>
      </c>
      <c r="H383" s="2">
        <v>1</v>
      </c>
      <c r="I383" s="2">
        <v>2</v>
      </c>
      <c r="J383" s="2">
        <v>0.16</v>
      </c>
      <c r="K383" s="4">
        <v>0.1515</v>
      </c>
      <c r="L383" s="4">
        <v>0.47</v>
      </c>
      <c r="M383" s="4">
        <v>0.22389999999999999</v>
      </c>
      <c r="N383" s="4">
        <v>39</v>
      </c>
      <c r="O383" s="2">
        <v>47</v>
      </c>
      <c r="P383" s="2" t="str">
        <f t="shared" si="5"/>
        <v>Tuesday</v>
      </c>
      <c r="Q383" s="2" t="str">
        <f>IF(Table1[[#This Row],[temp]]&gt;=0.24,"cold","colder")</f>
        <v>colder</v>
      </c>
      <c r="R383" s="4">
        <v>8</v>
      </c>
      <c r="S383" s="16" t="str" cm="1">
        <f t="array" ref="S383">_xlfn.IFS(Table1[[#This Row],[weathersit]]=1,"clear sky",Table1[[#This Row],[weathersit]]=2,"mist",Table1[[#This Row],[weathersit]]=3,"partially dark",Table1[[#This Row],[weathersit]]=4,"rain")</f>
        <v>mist</v>
      </c>
    </row>
    <row r="384" spans="1:19" ht="15" customHeight="1" x14ac:dyDescent="0.3">
      <c r="A384" s="2">
        <v>383</v>
      </c>
      <c r="B384" s="3">
        <v>40926</v>
      </c>
      <c r="C384" s="2">
        <v>1</v>
      </c>
      <c r="D384" s="2">
        <v>0</v>
      </c>
      <c r="E384" s="2">
        <v>1</v>
      </c>
      <c r="F384" s="2">
        <v>10</v>
      </c>
      <c r="G384" s="2" t="b">
        <v>1</v>
      </c>
      <c r="H384" s="2">
        <v>1</v>
      </c>
      <c r="I384" s="2">
        <v>2</v>
      </c>
      <c r="J384" s="2">
        <v>0.16</v>
      </c>
      <c r="K384" s="4">
        <v>0.1515</v>
      </c>
      <c r="L384" s="4">
        <v>0.5</v>
      </c>
      <c r="M384" s="4">
        <v>0.25369999999999998</v>
      </c>
      <c r="N384" s="4">
        <v>50</v>
      </c>
      <c r="O384" s="2">
        <v>57</v>
      </c>
      <c r="P384" s="2" t="str">
        <f t="shared" si="5"/>
        <v>Wednesday</v>
      </c>
      <c r="Q384" s="2" t="str">
        <f>IF(Table1[[#This Row],[temp]]&gt;=0.24,"cold","colder")</f>
        <v>colder</v>
      </c>
      <c r="R384" s="4">
        <v>7</v>
      </c>
      <c r="S384" s="16" t="str" cm="1">
        <f t="array" ref="S384">_xlfn.IFS(Table1[[#This Row],[weathersit]]=1,"clear sky",Table1[[#This Row],[weathersit]]=2,"mist",Table1[[#This Row],[weathersit]]=3,"partially dark",Table1[[#This Row],[weathersit]]=4,"rain")</f>
        <v>mist</v>
      </c>
    </row>
    <row r="385" spans="1:19" ht="15" customHeight="1" x14ac:dyDescent="0.3">
      <c r="A385" s="2">
        <v>384</v>
      </c>
      <c r="B385" s="3">
        <v>40927</v>
      </c>
      <c r="C385" s="2">
        <v>1</v>
      </c>
      <c r="D385" s="2">
        <v>0</v>
      </c>
      <c r="E385" s="2">
        <v>1</v>
      </c>
      <c r="F385" s="2">
        <v>11</v>
      </c>
      <c r="G385" s="2" t="b">
        <v>1</v>
      </c>
      <c r="H385" s="2">
        <v>1</v>
      </c>
      <c r="I385" s="2">
        <v>2</v>
      </c>
      <c r="J385" s="2">
        <v>0.16</v>
      </c>
      <c r="K385" s="4">
        <v>0.1515</v>
      </c>
      <c r="L385" s="4">
        <v>0.55000000000000004</v>
      </c>
      <c r="M385" s="4">
        <v>0.19400000000000001</v>
      </c>
      <c r="N385" s="4">
        <v>55</v>
      </c>
      <c r="O385" s="2">
        <v>64</v>
      </c>
      <c r="P385" s="2" t="str">
        <f t="shared" si="5"/>
        <v>Thursday</v>
      </c>
      <c r="Q385" s="2" t="str">
        <f>IF(Table1[[#This Row],[temp]]&gt;=0.24,"cold","colder")</f>
        <v>colder</v>
      </c>
      <c r="R385" s="4">
        <v>9</v>
      </c>
      <c r="S385" s="16" t="str" cm="1">
        <f t="array" ref="S385">_xlfn.IFS(Table1[[#This Row],[weathersit]]=1,"clear sky",Table1[[#This Row],[weathersit]]=2,"mist",Table1[[#This Row],[weathersit]]=3,"partially dark",Table1[[#This Row],[weathersit]]=4,"rain")</f>
        <v>mist</v>
      </c>
    </row>
    <row r="386" spans="1:19" ht="15" customHeight="1" x14ac:dyDescent="0.3">
      <c r="A386" s="2">
        <v>385</v>
      </c>
      <c r="B386" s="3">
        <v>40928</v>
      </c>
      <c r="C386" s="2">
        <v>1</v>
      </c>
      <c r="D386" s="2">
        <v>0</v>
      </c>
      <c r="E386" s="2">
        <v>1</v>
      </c>
      <c r="F386" s="2">
        <v>12</v>
      </c>
      <c r="G386" s="2" t="b">
        <v>1</v>
      </c>
      <c r="H386" s="2">
        <v>1</v>
      </c>
      <c r="I386" s="2">
        <v>2</v>
      </c>
      <c r="J386" s="2">
        <v>0.18</v>
      </c>
      <c r="K386" s="4">
        <v>0.19700000000000001</v>
      </c>
      <c r="L386" s="4">
        <v>0.47</v>
      </c>
      <c r="M386" s="4">
        <v>0.1343</v>
      </c>
      <c r="N386" s="4">
        <v>70</v>
      </c>
      <c r="O386" s="2">
        <v>80</v>
      </c>
      <c r="P386" s="2" t="str">
        <f t="shared" ref="P386:P449" si="6">TEXT(B386,"dddd")</f>
        <v>Friday</v>
      </c>
      <c r="Q386" s="2" t="str">
        <f>IF(Table1[[#This Row],[temp]]&gt;=0.24,"cold","colder")</f>
        <v>colder</v>
      </c>
      <c r="R386" s="4">
        <v>10</v>
      </c>
      <c r="S386" s="16" t="str" cm="1">
        <f t="array" ref="S386">_xlfn.IFS(Table1[[#This Row],[weathersit]]=1,"clear sky",Table1[[#This Row],[weathersit]]=2,"mist",Table1[[#This Row],[weathersit]]=3,"partially dark",Table1[[#This Row],[weathersit]]=4,"rain")</f>
        <v>mist</v>
      </c>
    </row>
    <row r="387" spans="1:19" ht="15" customHeight="1" x14ac:dyDescent="0.3">
      <c r="A387" s="2">
        <v>386</v>
      </c>
      <c r="B387" s="3">
        <v>40929</v>
      </c>
      <c r="C387" s="2">
        <v>1</v>
      </c>
      <c r="D387" s="2">
        <v>0</v>
      </c>
      <c r="E387" s="2">
        <v>1</v>
      </c>
      <c r="F387" s="2">
        <v>13</v>
      </c>
      <c r="G387" s="2" t="b">
        <v>1</v>
      </c>
      <c r="H387" s="2">
        <v>1</v>
      </c>
      <c r="I387" s="2">
        <v>2</v>
      </c>
      <c r="J387" s="2">
        <v>0.18</v>
      </c>
      <c r="K387" s="4">
        <v>0.19700000000000001</v>
      </c>
      <c r="L387" s="4">
        <v>0.47</v>
      </c>
      <c r="M387" s="4">
        <v>0.1343</v>
      </c>
      <c r="N387" s="4">
        <v>80</v>
      </c>
      <c r="O387" s="2">
        <v>93</v>
      </c>
      <c r="P387" s="2" t="str">
        <f t="shared" si="6"/>
        <v>Saturday</v>
      </c>
      <c r="Q387" s="2" t="str">
        <f>IF(Table1[[#This Row],[temp]]&gt;=0.24,"cold","colder")</f>
        <v>colder</v>
      </c>
      <c r="R387" s="4">
        <v>13</v>
      </c>
      <c r="S387" s="16" t="str" cm="1">
        <f t="array" ref="S387">_xlfn.IFS(Table1[[#This Row],[weathersit]]=1,"clear sky",Table1[[#This Row],[weathersit]]=2,"mist",Table1[[#This Row],[weathersit]]=3,"partially dark",Table1[[#This Row],[weathersit]]=4,"rain")</f>
        <v>mist</v>
      </c>
    </row>
    <row r="388" spans="1:19" ht="15" customHeight="1" x14ac:dyDescent="0.3">
      <c r="A388" s="2">
        <v>387</v>
      </c>
      <c r="B388" s="3">
        <v>40930</v>
      </c>
      <c r="C388" s="2">
        <v>1</v>
      </c>
      <c r="D388" s="2">
        <v>0</v>
      </c>
      <c r="E388" s="2">
        <v>1</v>
      </c>
      <c r="F388" s="2">
        <v>14</v>
      </c>
      <c r="G388" s="2" t="b">
        <v>1</v>
      </c>
      <c r="H388" s="2">
        <v>1</v>
      </c>
      <c r="I388" s="2">
        <v>2</v>
      </c>
      <c r="J388" s="2">
        <v>0.18</v>
      </c>
      <c r="K388" s="4">
        <v>0.21210000000000001</v>
      </c>
      <c r="L388" s="4">
        <v>0.43</v>
      </c>
      <c r="M388" s="4">
        <v>0.1045</v>
      </c>
      <c r="N388" s="4">
        <v>74</v>
      </c>
      <c r="O388" s="2">
        <v>86</v>
      </c>
      <c r="P388" s="2" t="str">
        <f t="shared" si="6"/>
        <v>Sunday</v>
      </c>
      <c r="Q388" s="2" t="str">
        <f>IF(Table1[[#This Row],[temp]]&gt;=0.24,"cold","colder")</f>
        <v>colder</v>
      </c>
      <c r="R388" s="4">
        <v>12</v>
      </c>
      <c r="S388" s="16" t="str" cm="1">
        <f t="array" ref="S388">_xlfn.IFS(Table1[[#This Row],[weathersit]]=1,"clear sky",Table1[[#This Row],[weathersit]]=2,"mist",Table1[[#This Row],[weathersit]]=3,"partially dark",Table1[[#This Row],[weathersit]]=4,"rain")</f>
        <v>mist</v>
      </c>
    </row>
    <row r="389" spans="1:19" ht="15" customHeight="1" x14ac:dyDescent="0.3">
      <c r="A389" s="2">
        <v>388</v>
      </c>
      <c r="B389" s="3">
        <v>40931</v>
      </c>
      <c r="C389" s="2">
        <v>1</v>
      </c>
      <c r="D389" s="2">
        <v>0</v>
      </c>
      <c r="E389" s="2">
        <v>1</v>
      </c>
      <c r="F389" s="2">
        <v>15</v>
      </c>
      <c r="G389" s="2" t="b">
        <v>1</v>
      </c>
      <c r="H389" s="2">
        <v>1</v>
      </c>
      <c r="I389" s="2">
        <v>2</v>
      </c>
      <c r="J389" s="2">
        <v>0.2</v>
      </c>
      <c r="K389" s="4">
        <v>0.21210000000000001</v>
      </c>
      <c r="L389" s="4">
        <v>0.47</v>
      </c>
      <c r="M389" s="4">
        <v>0.16420000000000001</v>
      </c>
      <c r="N389" s="4">
        <v>72</v>
      </c>
      <c r="O389" s="2">
        <v>93</v>
      </c>
      <c r="P389" s="2" t="str">
        <f t="shared" si="6"/>
        <v>Monday</v>
      </c>
      <c r="Q389" s="2" t="str">
        <f>IF(Table1[[#This Row],[temp]]&gt;=0.24,"cold","colder")</f>
        <v>colder</v>
      </c>
      <c r="R389" s="4">
        <v>21</v>
      </c>
      <c r="S389" s="16" t="str" cm="1">
        <f t="array" ref="S389">_xlfn.IFS(Table1[[#This Row],[weathersit]]=1,"clear sky",Table1[[#This Row],[weathersit]]=2,"mist",Table1[[#This Row],[weathersit]]=3,"partially dark",Table1[[#This Row],[weathersit]]=4,"rain")</f>
        <v>mist</v>
      </c>
    </row>
    <row r="390" spans="1:19" ht="15" customHeight="1" x14ac:dyDescent="0.3">
      <c r="A390" s="2">
        <v>389</v>
      </c>
      <c r="B390" s="3">
        <v>40932</v>
      </c>
      <c r="C390" s="2">
        <v>1</v>
      </c>
      <c r="D390" s="2">
        <v>0</v>
      </c>
      <c r="E390" s="2">
        <v>1</v>
      </c>
      <c r="F390" s="2">
        <v>16</v>
      </c>
      <c r="G390" s="2" t="b">
        <v>1</v>
      </c>
      <c r="H390" s="2">
        <v>1</v>
      </c>
      <c r="I390" s="2">
        <v>2</v>
      </c>
      <c r="J390" s="2">
        <v>0.2</v>
      </c>
      <c r="K390" s="4">
        <v>0.21210000000000001</v>
      </c>
      <c r="L390" s="4">
        <v>0.47</v>
      </c>
      <c r="M390" s="4">
        <v>0.16420000000000001</v>
      </c>
      <c r="N390" s="4">
        <v>76</v>
      </c>
      <c r="O390" s="2">
        <v>82</v>
      </c>
      <c r="P390" s="2" t="str">
        <f t="shared" si="6"/>
        <v>Tuesday</v>
      </c>
      <c r="Q390" s="2" t="str">
        <f>IF(Table1[[#This Row],[temp]]&gt;=0.24,"cold","colder")</f>
        <v>colder</v>
      </c>
      <c r="R390" s="4">
        <v>6</v>
      </c>
      <c r="S390" s="16" t="str" cm="1">
        <f t="array" ref="S390">_xlfn.IFS(Table1[[#This Row],[weathersit]]=1,"clear sky",Table1[[#This Row],[weathersit]]=2,"mist",Table1[[#This Row],[weathersit]]=3,"partially dark",Table1[[#This Row],[weathersit]]=4,"rain")</f>
        <v>mist</v>
      </c>
    </row>
    <row r="391" spans="1:19" ht="15" customHeight="1" x14ac:dyDescent="0.3">
      <c r="A391" s="2">
        <v>390</v>
      </c>
      <c r="B391" s="3">
        <v>40933</v>
      </c>
      <c r="C391" s="2">
        <v>1</v>
      </c>
      <c r="D391" s="2">
        <v>0</v>
      </c>
      <c r="E391" s="2">
        <v>1</v>
      </c>
      <c r="F391" s="2">
        <v>17</v>
      </c>
      <c r="G391" s="2" t="b">
        <v>1</v>
      </c>
      <c r="H391" s="2">
        <v>1</v>
      </c>
      <c r="I391" s="2">
        <v>1</v>
      </c>
      <c r="J391" s="2">
        <v>0.2</v>
      </c>
      <c r="K391" s="4">
        <v>0.19700000000000001</v>
      </c>
      <c r="L391" s="4">
        <v>0.51</v>
      </c>
      <c r="M391" s="4">
        <v>0.19400000000000001</v>
      </c>
      <c r="N391" s="4">
        <v>67</v>
      </c>
      <c r="O391" s="2">
        <v>71</v>
      </c>
      <c r="P391" s="2" t="str">
        <f t="shared" si="6"/>
        <v>Wednesday</v>
      </c>
      <c r="Q391" s="2" t="str">
        <f>IF(Table1[[#This Row],[temp]]&gt;=0.24,"cold","colder")</f>
        <v>colder</v>
      </c>
      <c r="R391" s="4">
        <v>4</v>
      </c>
      <c r="S391" s="16" t="str" cm="1">
        <f t="array" ref="S391">_xlfn.IFS(Table1[[#This Row],[weathersit]]=1,"clear sky",Table1[[#This Row],[weathersit]]=2,"mist",Table1[[#This Row],[weathersit]]=3,"partially dark",Table1[[#This Row],[weathersit]]=4,"rain")</f>
        <v>clear sky</v>
      </c>
    </row>
    <row r="392" spans="1:19" ht="15" customHeight="1" x14ac:dyDescent="0.3">
      <c r="A392" s="2">
        <v>391</v>
      </c>
      <c r="B392" s="3">
        <v>40934</v>
      </c>
      <c r="C392" s="2">
        <v>1</v>
      </c>
      <c r="D392" s="2">
        <v>0</v>
      </c>
      <c r="E392" s="2">
        <v>1</v>
      </c>
      <c r="F392" s="2">
        <v>18</v>
      </c>
      <c r="G392" s="2" t="b">
        <v>1</v>
      </c>
      <c r="H392" s="2">
        <v>1</v>
      </c>
      <c r="I392" s="2">
        <v>2</v>
      </c>
      <c r="J392" s="2">
        <v>0.18</v>
      </c>
      <c r="K392" s="4">
        <v>0.16669999999999999</v>
      </c>
      <c r="L392" s="4">
        <v>0.55000000000000004</v>
      </c>
      <c r="M392" s="4">
        <v>0.25369999999999998</v>
      </c>
      <c r="N392" s="4">
        <v>85</v>
      </c>
      <c r="O392" s="2">
        <v>92</v>
      </c>
      <c r="P392" s="2" t="str">
        <f t="shared" si="6"/>
        <v>Thursday</v>
      </c>
      <c r="Q392" s="2" t="str">
        <f>IF(Table1[[#This Row],[temp]]&gt;=0.24,"cold","colder")</f>
        <v>colder</v>
      </c>
      <c r="R392" s="4">
        <v>7</v>
      </c>
      <c r="S392" s="16" t="str" cm="1">
        <f t="array" ref="S392">_xlfn.IFS(Table1[[#This Row],[weathersit]]=1,"clear sky",Table1[[#This Row],[weathersit]]=2,"mist",Table1[[#This Row],[weathersit]]=3,"partially dark",Table1[[#This Row],[weathersit]]=4,"rain")</f>
        <v>mist</v>
      </c>
    </row>
    <row r="393" spans="1:19" ht="15" customHeight="1" x14ac:dyDescent="0.3">
      <c r="A393" s="2">
        <v>392</v>
      </c>
      <c r="B393" s="3">
        <v>40935</v>
      </c>
      <c r="C393" s="2">
        <v>1</v>
      </c>
      <c r="D393" s="2">
        <v>0</v>
      </c>
      <c r="E393" s="2">
        <v>1</v>
      </c>
      <c r="F393" s="2">
        <v>19</v>
      </c>
      <c r="G393" s="2" t="b">
        <v>1</v>
      </c>
      <c r="H393" s="2">
        <v>1</v>
      </c>
      <c r="I393" s="2">
        <v>3</v>
      </c>
      <c r="J393" s="2">
        <v>0.18</v>
      </c>
      <c r="K393" s="4">
        <v>0.18179999999999999</v>
      </c>
      <c r="L393" s="4">
        <v>0.59</v>
      </c>
      <c r="M393" s="4">
        <v>0.19400000000000001</v>
      </c>
      <c r="N393" s="4">
        <v>58</v>
      </c>
      <c r="O393" s="2">
        <v>60</v>
      </c>
      <c r="P393" s="2" t="str">
        <f t="shared" si="6"/>
        <v>Friday</v>
      </c>
      <c r="Q393" s="2" t="str">
        <f>IF(Table1[[#This Row],[temp]]&gt;=0.24,"cold","colder")</f>
        <v>colder</v>
      </c>
      <c r="R393" s="4">
        <v>2</v>
      </c>
      <c r="S393" s="16" t="str" cm="1">
        <f t="array" ref="S393">_xlfn.IFS(Table1[[#This Row],[weathersit]]=1,"clear sky",Table1[[#This Row],[weathersit]]=2,"mist",Table1[[#This Row],[weathersit]]=3,"partially dark",Table1[[#This Row],[weathersit]]=4,"rain")</f>
        <v>partially dark</v>
      </c>
    </row>
    <row r="394" spans="1:19" ht="15" customHeight="1" x14ac:dyDescent="0.3">
      <c r="A394" s="2">
        <v>393</v>
      </c>
      <c r="B394" s="3">
        <v>40936</v>
      </c>
      <c r="C394" s="2">
        <v>1</v>
      </c>
      <c r="D394" s="2">
        <v>0</v>
      </c>
      <c r="E394" s="2">
        <v>1</v>
      </c>
      <c r="F394" s="2">
        <v>20</v>
      </c>
      <c r="G394" s="2" t="b">
        <v>1</v>
      </c>
      <c r="H394" s="2">
        <v>1</v>
      </c>
      <c r="I394" s="2">
        <v>3</v>
      </c>
      <c r="J394" s="2">
        <v>0.16</v>
      </c>
      <c r="K394" s="4">
        <v>0.1515</v>
      </c>
      <c r="L394" s="4">
        <v>0.8</v>
      </c>
      <c r="M394" s="4">
        <v>0.19400000000000001</v>
      </c>
      <c r="N394" s="4">
        <v>29</v>
      </c>
      <c r="O394" s="2">
        <v>33</v>
      </c>
      <c r="P394" s="2" t="str">
        <f t="shared" si="6"/>
        <v>Saturday</v>
      </c>
      <c r="Q394" s="2" t="str">
        <f>IF(Table1[[#This Row],[temp]]&gt;=0.24,"cold","colder")</f>
        <v>colder</v>
      </c>
      <c r="R394" s="4">
        <v>4</v>
      </c>
      <c r="S394" s="16" t="str" cm="1">
        <f t="array" ref="S394">_xlfn.IFS(Table1[[#This Row],[weathersit]]=1,"clear sky",Table1[[#This Row],[weathersit]]=2,"mist",Table1[[#This Row],[weathersit]]=3,"partially dark",Table1[[#This Row],[weathersit]]=4,"rain")</f>
        <v>partially dark</v>
      </c>
    </row>
    <row r="395" spans="1:19" ht="15" customHeight="1" x14ac:dyDescent="0.3">
      <c r="A395" s="2">
        <v>394</v>
      </c>
      <c r="B395" s="3">
        <v>40937</v>
      </c>
      <c r="C395" s="2">
        <v>1</v>
      </c>
      <c r="D395" s="2">
        <v>0</v>
      </c>
      <c r="E395" s="2">
        <v>1</v>
      </c>
      <c r="F395" s="2">
        <v>21</v>
      </c>
      <c r="G395" s="2" t="b">
        <v>1</v>
      </c>
      <c r="H395" s="2">
        <v>1</v>
      </c>
      <c r="I395" s="2">
        <v>3</v>
      </c>
      <c r="J395" s="2">
        <v>0.16</v>
      </c>
      <c r="K395" s="4">
        <v>0.1515</v>
      </c>
      <c r="L395" s="4">
        <v>0.8</v>
      </c>
      <c r="M395" s="4">
        <v>0.19400000000000001</v>
      </c>
      <c r="N395" s="4">
        <v>24</v>
      </c>
      <c r="O395" s="2">
        <v>27</v>
      </c>
      <c r="P395" s="2" t="str">
        <f t="shared" si="6"/>
        <v>Sunday</v>
      </c>
      <c r="Q395" s="2" t="str">
        <f>IF(Table1[[#This Row],[temp]]&gt;=0.24,"cold","colder")</f>
        <v>colder</v>
      </c>
      <c r="R395" s="4">
        <v>3</v>
      </c>
      <c r="S395" s="16" t="str" cm="1">
        <f t="array" ref="S395">_xlfn.IFS(Table1[[#This Row],[weathersit]]=1,"clear sky",Table1[[#This Row],[weathersit]]=2,"mist",Table1[[#This Row],[weathersit]]=3,"partially dark",Table1[[#This Row],[weathersit]]=4,"rain")</f>
        <v>partially dark</v>
      </c>
    </row>
    <row r="396" spans="1:19" ht="15" customHeight="1" x14ac:dyDescent="0.3">
      <c r="A396" s="2">
        <v>395</v>
      </c>
      <c r="B396" s="3">
        <v>40938</v>
      </c>
      <c r="C396" s="2">
        <v>1</v>
      </c>
      <c r="D396" s="2">
        <v>0</v>
      </c>
      <c r="E396" s="2">
        <v>1</v>
      </c>
      <c r="F396" s="2">
        <v>22</v>
      </c>
      <c r="G396" s="2" t="b">
        <v>1</v>
      </c>
      <c r="H396" s="2">
        <v>1</v>
      </c>
      <c r="I396" s="2">
        <v>3</v>
      </c>
      <c r="J396" s="2">
        <v>0.14000000000000001</v>
      </c>
      <c r="K396" s="4">
        <v>0.1212</v>
      </c>
      <c r="L396" s="4">
        <v>0.93</v>
      </c>
      <c r="M396" s="4">
        <v>0.25369999999999998</v>
      </c>
      <c r="N396" s="4">
        <v>13</v>
      </c>
      <c r="O396" s="2">
        <v>13</v>
      </c>
      <c r="P396" s="2" t="str">
        <f t="shared" si="6"/>
        <v>Monday</v>
      </c>
      <c r="Q396" s="2" t="str">
        <f>IF(Table1[[#This Row],[temp]]&gt;=0.24,"cold","colder")</f>
        <v>colder</v>
      </c>
      <c r="R396" s="4">
        <v>0</v>
      </c>
      <c r="S396" s="16" t="str" cm="1">
        <f t="array" ref="S396">_xlfn.IFS(Table1[[#This Row],[weathersit]]=1,"clear sky",Table1[[#This Row],[weathersit]]=2,"mist",Table1[[#This Row],[weathersit]]=3,"partially dark",Table1[[#This Row],[weathersit]]=4,"rain")</f>
        <v>partially dark</v>
      </c>
    </row>
    <row r="397" spans="1:19" ht="15" customHeight="1" x14ac:dyDescent="0.3">
      <c r="A397" s="2">
        <v>396</v>
      </c>
      <c r="B397" s="3">
        <v>40939</v>
      </c>
      <c r="C397" s="2">
        <v>1</v>
      </c>
      <c r="D397" s="2">
        <v>0</v>
      </c>
      <c r="E397" s="2">
        <v>1</v>
      </c>
      <c r="F397" s="2">
        <v>23</v>
      </c>
      <c r="G397" s="2" t="b">
        <v>1</v>
      </c>
      <c r="H397" s="2">
        <v>1</v>
      </c>
      <c r="I397" s="2">
        <v>3</v>
      </c>
      <c r="J397" s="2">
        <v>0.16</v>
      </c>
      <c r="K397" s="4">
        <v>0.13639999999999999</v>
      </c>
      <c r="L397" s="4">
        <v>0.86</v>
      </c>
      <c r="M397" s="4">
        <v>0.28360000000000002</v>
      </c>
      <c r="N397" s="4">
        <v>3</v>
      </c>
      <c r="O397" s="2">
        <v>4</v>
      </c>
      <c r="P397" s="2" t="str">
        <f t="shared" si="6"/>
        <v>Tuesday</v>
      </c>
      <c r="Q397" s="2" t="str">
        <f>IF(Table1[[#This Row],[temp]]&gt;=0.24,"cold","colder")</f>
        <v>colder</v>
      </c>
      <c r="R397" s="4">
        <v>1</v>
      </c>
      <c r="S397" s="16" t="str" cm="1">
        <f t="array" ref="S397">_xlfn.IFS(Table1[[#This Row],[weathersit]]=1,"clear sky",Table1[[#This Row],[weathersit]]=2,"mist",Table1[[#This Row],[weathersit]]=3,"partially dark",Table1[[#This Row],[weathersit]]=4,"rain")</f>
        <v>partially dark</v>
      </c>
    </row>
    <row r="398" spans="1:19" ht="15" customHeight="1" x14ac:dyDescent="0.3">
      <c r="A398" s="2">
        <v>397</v>
      </c>
      <c r="B398" s="3">
        <v>40940</v>
      </c>
      <c r="C398" s="2">
        <v>1</v>
      </c>
      <c r="D398" s="2">
        <v>0</v>
      </c>
      <c r="E398" s="2">
        <v>1</v>
      </c>
      <c r="F398" s="2">
        <v>12</v>
      </c>
      <c r="G398" s="2" t="b">
        <v>0</v>
      </c>
      <c r="H398" s="2">
        <v>2</v>
      </c>
      <c r="I398" s="2">
        <v>2</v>
      </c>
      <c r="J398" s="2">
        <v>0.2</v>
      </c>
      <c r="K398" s="4">
        <v>0.18179999999999999</v>
      </c>
      <c r="L398" s="4">
        <v>0.86</v>
      </c>
      <c r="M398" s="4">
        <v>0.32840000000000003</v>
      </c>
      <c r="N398" s="4">
        <v>3</v>
      </c>
      <c r="O398" s="2">
        <v>3</v>
      </c>
      <c r="P398" s="2" t="str">
        <f t="shared" si="6"/>
        <v>Wednesday</v>
      </c>
      <c r="Q398" s="2" t="str">
        <f>IF(Table1[[#This Row],[temp]]&gt;=0.24,"cold","colder")</f>
        <v>colder</v>
      </c>
      <c r="R398" s="4">
        <v>0</v>
      </c>
      <c r="S398" s="16" t="str" cm="1">
        <f t="array" ref="S398">_xlfn.IFS(Table1[[#This Row],[weathersit]]=1,"clear sky",Table1[[#This Row],[weathersit]]=2,"mist",Table1[[#This Row],[weathersit]]=3,"partially dark",Table1[[#This Row],[weathersit]]=4,"rain")</f>
        <v>mist</v>
      </c>
    </row>
    <row r="399" spans="1:19" ht="15" customHeight="1" x14ac:dyDescent="0.3">
      <c r="A399" s="2">
        <v>398</v>
      </c>
      <c r="B399" s="3">
        <v>40941</v>
      </c>
      <c r="C399" s="2">
        <v>1</v>
      </c>
      <c r="D399" s="2">
        <v>0</v>
      </c>
      <c r="E399" s="2">
        <v>1</v>
      </c>
      <c r="F399" s="2">
        <v>13</v>
      </c>
      <c r="G399" s="2" t="b">
        <v>0</v>
      </c>
      <c r="H399" s="2">
        <v>2</v>
      </c>
      <c r="I399" s="2">
        <v>2</v>
      </c>
      <c r="J399" s="2">
        <v>0.2</v>
      </c>
      <c r="K399" s="4">
        <v>0.19700000000000001</v>
      </c>
      <c r="L399" s="4">
        <v>0.86</v>
      </c>
      <c r="M399" s="4">
        <v>0.22389999999999999</v>
      </c>
      <c r="N399" s="4">
        <v>22</v>
      </c>
      <c r="O399" s="2">
        <v>22</v>
      </c>
      <c r="P399" s="2" t="str">
        <f t="shared" si="6"/>
        <v>Thursday</v>
      </c>
      <c r="Q399" s="2" t="str">
        <f>IF(Table1[[#This Row],[temp]]&gt;=0.24,"cold","colder")</f>
        <v>colder</v>
      </c>
      <c r="R399" s="4">
        <v>0</v>
      </c>
      <c r="S399" s="16" t="str" cm="1">
        <f t="array" ref="S399">_xlfn.IFS(Table1[[#This Row],[weathersit]]=1,"clear sky",Table1[[#This Row],[weathersit]]=2,"mist",Table1[[#This Row],[weathersit]]=3,"partially dark",Table1[[#This Row],[weathersit]]=4,"rain")</f>
        <v>mist</v>
      </c>
    </row>
    <row r="400" spans="1:19" ht="15" customHeight="1" x14ac:dyDescent="0.3">
      <c r="A400" s="2">
        <v>399</v>
      </c>
      <c r="B400" s="3">
        <v>40942</v>
      </c>
      <c r="C400" s="2">
        <v>1</v>
      </c>
      <c r="D400" s="2">
        <v>0</v>
      </c>
      <c r="E400" s="2">
        <v>1</v>
      </c>
      <c r="F400" s="2">
        <v>14</v>
      </c>
      <c r="G400" s="2" t="b">
        <v>0</v>
      </c>
      <c r="H400" s="2">
        <v>2</v>
      </c>
      <c r="I400" s="2">
        <v>2</v>
      </c>
      <c r="J400" s="2">
        <v>0.22</v>
      </c>
      <c r="K400" s="4">
        <v>0.2273</v>
      </c>
      <c r="L400" s="4">
        <v>0.8</v>
      </c>
      <c r="M400" s="4">
        <v>0.16420000000000001</v>
      </c>
      <c r="N400" s="4">
        <v>26</v>
      </c>
      <c r="O400" s="2">
        <v>28</v>
      </c>
      <c r="P400" s="2" t="str">
        <f t="shared" si="6"/>
        <v>Friday</v>
      </c>
      <c r="Q400" s="2" t="str">
        <f>IF(Table1[[#This Row],[temp]]&gt;=0.24,"cold","colder")</f>
        <v>colder</v>
      </c>
      <c r="R400" s="4">
        <v>2</v>
      </c>
      <c r="S400" s="16" t="str" cm="1">
        <f t="array" ref="S400">_xlfn.IFS(Table1[[#This Row],[weathersit]]=1,"clear sky",Table1[[#This Row],[weathersit]]=2,"mist",Table1[[#This Row],[weathersit]]=3,"partially dark",Table1[[#This Row],[weathersit]]=4,"rain")</f>
        <v>mist</v>
      </c>
    </row>
    <row r="401" spans="1:19" ht="15" customHeight="1" x14ac:dyDescent="0.3">
      <c r="A401" s="2">
        <v>400</v>
      </c>
      <c r="B401" s="3">
        <v>40943</v>
      </c>
      <c r="C401" s="2">
        <v>1</v>
      </c>
      <c r="D401" s="2">
        <v>0</v>
      </c>
      <c r="E401" s="2">
        <v>1</v>
      </c>
      <c r="F401" s="2">
        <v>15</v>
      </c>
      <c r="G401" s="2" t="b">
        <v>0</v>
      </c>
      <c r="H401" s="2">
        <v>2</v>
      </c>
      <c r="I401" s="2">
        <v>2</v>
      </c>
      <c r="J401" s="2">
        <v>0.22</v>
      </c>
      <c r="K401" s="4">
        <v>0.2273</v>
      </c>
      <c r="L401" s="4">
        <v>0.87</v>
      </c>
      <c r="M401" s="4">
        <v>0.16420000000000001</v>
      </c>
      <c r="N401" s="4">
        <v>32</v>
      </c>
      <c r="O401" s="2">
        <v>35</v>
      </c>
      <c r="P401" s="2" t="str">
        <f t="shared" si="6"/>
        <v>Saturday</v>
      </c>
      <c r="Q401" s="2" t="str">
        <f>IF(Table1[[#This Row],[temp]]&gt;=0.24,"cold","colder")</f>
        <v>colder</v>
      </c>
      <c r="R401" s="4">
        <v>3</v>
      </c>
      <c r="S401" s="16" t="str" cm="1">
        <f t="array" ref="S401">_xlfn.IFS(Table1[[#This Row],[weathersit]]=1,"clear sky",Table1[[#This Row],[weathersit]]=2,"mist",Table1[[#This Row],[weathersit]]=3,"partially dark",Table1[[#This Row],[weathersit]]=4,"rain")</f>
        <v>mist</v>
      </c>
    </row>
    <row r="402" spans="1:19" ht="15" customHeight="1" x14ac:dyDescent="0.3">
      <c r="A402" s="2">
        <v>401</v>
      </c>
      <c r="B402" s="3">
        <v>40944</v>
      </c>
      <c r="C402" s="2">
        <v>1</v>
      </c>
      <c r="D402" s="2">
        <v>0</v>
      </c>
      <c r="E402" s="2">
        <v>1</v>
      </c>
      <c r="F402" s="2">
        <v>16</v>
      </c>
      <c r="G402" s="2" t="b">
        <v>0</v>
      </c>
      <c r="H402" s="2">
        <v>2</v>
      </c>
      <c r="I402" s="2">
        <v>2</v>
      </c>
      <c r="J402" s="2">
        <v>0.22</v>
      </c>
      <c r="K402" s="4">
        <v>0.2273</v>
      </c>
      <c r="L402" s="4">
        <v>0.87</v>
      </c>
      <c r="M402" s="4">
        <v>0.19400000000000001</v>
      </c>
      <c r="N402" s="4">
        <v>61</v>
      </c>
      <c r="O402" s="2">
        <v>61</v>
      </c>
      <c r="P402" s="2" t="str">
        <f t="shared" si="6"/>
        <v>Sunday</v>
      </c>
      <c r="Q402" s="2" t="str">
        <f>IF(Table1[[#This Row],[temp]]&gt;=0.24,"cold","colder")</f>
        <v>colder</v>
      </c>
      <c r="R402" s="4">
        <v>0</v>
      </c>
      <c r="S402" s="16" t="str" cm="1">
        <f t="array" ref="S402">_xlfn.IFS(Table1[[#This Row],[weathersit]]=1,"clear sky",Table1[[#This Row],[weathersit]]=2,"mist",Table1[[#This Row],[weathersit]]=3,"partially dark",Table1[[#This Row],[weathersit]]=4,"rain")</f>
        <v>mist</v>
      </c>
    </row>
    <row r="403" spans="1:19" ht="15" customHeight="1" x14ac:dyDescent="0.3">
      <c r="A403" s="2">
        <v>402</v>
      </c>
      <c r="B403" s="3">
        <v>40945</v>
      </c>
      <c r="C403" s="2">
        <v>1</v>
      </c>
      <c r="D403" s="2">
        <v>0</v>
      </c>
      <c r="E403" s="2">
        <v>1</v>
      </c>
      <c r="F403" s="2">
        <v>17</v>
      </c>
      <c r="G403" s="2" t="b">
        <v>0</v>
      </c>
      <c r="H403" s="2">
        <v>2</v>
      </c>
      <c r="I403" s="2">
        <v>2</v>
      </c>
      <c r="J403" s="2">
        <v>0.22</v>
      </c>
      <c r="K403" s="4">
        <v>0.2273</v>
      </c>
      <c r="L403" s="4">
        <v>0.82</v>
      </c>
      <c r="M403" s="4">
        <v>0.19400000000000001</v>
      </c>
      <c r="N403" s="4">
        <v>124</v>
      </c>
      <c r="O403" s="2">
        <v>125</v>
      </c>
      <c r="P403" s="2" t="str">
        <f t="shared" si="6"/>
        <v>Monday</v>
      </c>
      <c r="Q403" s="2" t="str">
        <f>IF(Table1[[#This Row],[temp]]&gt;=0.24,"cold","colder")</f>
        <v>colder</v>
      </c>
      <c r="R403" s="4">
        <v>1</v>
      </c>
      <c r="S403" s="16" t="str" cm="1">
        <f t="array" ref="S403">_xlfn.IFS(Table1[[#This Row],[weathersit]]=1,"clear sky",Table1[[#This Row],[weathersit]]=2,"mist",Table1[[#This Row],[weathersit]]=3,"partially dark",Table1[[#This Row],[weathersit]]=4,"rain")</f>
        <v>mist</v>
      </c>
    </row>
    <row r="404" spans="1:19" ht="15" customHeight="1" x14ac:dyDescent="0.3">
      <c r="A404" s="2">
        <v>403</v>
      </c>
      <c r="B404" s="3">
        <v>40946</v>
      </c>
      <c r="C404" s="2">
        <v>1</v>
      </c>
      <c r="D404" s="2">
        <v>0</v>
      </c>
      <c r="E404" s="2">
        <v>1</v>
      </c>
      <c r="F404" s="2">
        <v>18</v>
      </c>
      <c r="G404" s="2" t="b">
        <v>0</v>
      </c>
      <c r="H404" s="2">
        <v>2</v>
      </c>
      <c r="I404" s="2">
        <v>2</v>
      </c>
      <c r="J404" s="2">
        <v>0.22</v>
      </c>
      <c r="K404" s="4">
        <v>0.2273</v>
      </c>
      <c r="L404" s="4">
        <v>0.8</v>
      </c>
      <c r="M404" s="4">
        <v>0.16420000000000001</v>
      </c>
      <c r="N404" s="4">
        <v>132</v>
      </c>
      <c r="O404" s="2">
        <v>133</v>
      </c>
      <c r="P404" s="2" t="str">
        <f t="shared" si="6"/>
        <v>Tuesday</v>
      </c>
      <c r="Q404" s="2" t="str">
        <f>IF(Table1[[#This Row],[temp]]&gt;=0.24,"cold","colder")</f>
        <v>colder</v>
      </c>
      <c r="R404" s="4">
        <v>1</v>
      </c>
      <c r="S404" s="16" t="str" cm="1">
        <f t="array" ref="S404">_xlfn.IFS(Table1[[#This Row],[weathersit]]=1,"clear sky",Table1[[#This Row],[weathersit]]=2,"mist",Table1[[#This Row],[weathersit]]=3,"partially dark",Table1[[#This Row],[weathersit]]=4,"rain")</f>
        <v>mist</v>
      </c>
    </row>
    <row r="405" spans="1:19" ht="15" customHeight="1" x14ac:dyDescent="0.3">
      <c r="A405" s="2">
        <v>404</v>
      </c>
      <c r="B405" s="3">
        <v>40947</v>
      </c>
      <c r="C405" s="2">
        <v>1</v>
      </c>
      <c r="D405" s="2">
        <v>0</v>
      </c>
      <c r="E405" s="2">
        <v>1</v>
      </c>
      <c r="F405" s="2">
        <v>19</v>
      </c>
      <c r="G405" s="2" t="b">
        <v>0</v>
      </c>
      <c r="H405" s="2">
        <v>2</v>
      </c>
      <c r="I405" s="2">
        <v>2</v>
      </c>
      <c r="J405" s="2">
        <v>0.22</v>
      </c>
      <c r="K405" s="4">
        <v>0.2273</v>
      </c>
      <c r="L405" s="4">
        <v>0.8</v>
      </c>
      <c r="M405" s="4">
        <v>0.1343</v>
      </c>
      <c r="N405" s="4">
        <v>98</v>
      </c>
      <c r="O405" s="2">
        <v>99</v>
      </c>
      <c r="P405" s="2" t="str">
        <f t="shared" si="6"/>
        <v>Wednesday</v>
      </c>
      <c r="Q405" s="2" t="str">
        <f>IF(Table1[[#This Row],[temp]]&gt;=0.24,"cold","colder")</f>
        <v>colder</v>
      </c>
      <c r="R405" s="4">
        <v>1</v>
      </c>
      <c r="S405" s="16" t="str" cm="1">
        <f t="array" ref="S405">_xlfn.IFS(Table1[[#This Row],[weathersit]]=1,"clear sky",Table1[[#This Row],[weathersit]]=2,"mist",Table1[[#This Row],[weathersit]]=3,"partially dark",Table1[[#This Row],[weathersit]]=4,"rain")</f>
        <v>mist</v>
      </c>
    </row>
    <row r="406" spans="1:19" ht="15" customHeight="1" x14ac:dyDescent="0.3">
      <c r="A406" s="2">
        <v>405</v>
      </c>
      <c r="B406" s="3">
        <v>40948</v>
      </c>
      <c r="C406" s="2">
        <v>1</v>
      </c>
      <c r="D406" s="2">
        <v>0</v>
      </c>
      <c r="E406" s="2">
        <v>1</v>
      </c>
      <c r="F406" s="2">
        <v>20</v>
      </c>
      <c r="G406" s="2" t="b">
        <v>0</v>
      </c>
      <c r="H406" s="2">
        <v>2</v>
      </c>
      <c r="I406" s="2">
        <v>2</v>
      </c>
      <c r="J406" s="2">
        <v>0.22</v>
      </c>
      <c r="K406" s="4">
        <v>0.2727</v>
      </c>
      <c r="L406" s="4">
        <v>0.87</v>
      </c>
      <c r="M406" s="4">
        <v>0</v>
      </c>
      <c r="N406" s="4">
        <v>83</v>
      </c>
      <c r="O406" s="2">
        <v>83</v>
      </c>
      <c r="P406" s="2" t="str">
        <f t="shared" si="6"/>
        <v>Thursday</v>
      </c>
      <c r="Q406" s="2" t="str">
        <f>IF(Table1[[#This Row],[temp]]&gt;=0.24,"cold","colder")</f>
        <v>colder</v>
      </c>
      <c r="R406" s="4">
        <v>0</v>
      </c>
      <c r="S406" s="16" t="str" cm="1">
        <f t="array" ref="S406">_xlfn.IFS(Table1[[#This Row],[weathersit]]=1,"clear sky",Table1[[#This Row],[weathersit]]=2,"mist",Table1[[#This Row],[weathersit]]=3,"partially dark",Table1[[#This Row],[weathersit]]=4,"rain")</f>
        <v>mist</v>
      </c>
    </row>
    <row r="407" spans="1:19" ht="15" customHeight="1" x14ac:dyDescent="0.3">
      <c r="A407" s="2">
        <v>406</v>
      </c>
      <c r="B407" s="3">
        <v>40949</v>
      </c>
      <c r="C407" s="2">
        <v>1</v>
      </c>
      <c r="D407" s="2">
        <v>0</v>
      </c>
      <c r="E407" s="2">
        <v>1</v>
      </c>
      <c r="F407" s="2">
        <v>21</v>
      </c>
      <c r="G407" s="2" t="b">
        <v>0</v>
      </c>
      <c r="H407" s="2">
        <v>2</v>
      </c>
      <c r="I407" s="2">
        <v>2</v>
      </c>
      <c r="J407" s="2">
        <v>0.22</v>
      </c>
      <c r="K407" s="4">
        <v>0.2424</v>
      </c>
      <c r="L407" s="4">
        <v>0.93</v>
      </c>
      <c r="M407" s="4">
        <v>0.1045</v>
      </c>
      <c r="N407" s="4">
        <v>41</v>
      </c>
      <c r="O407" s="2">
        <v>41</v>
      </c>
      <c r="P407" s="2" t="str">
        <f t="shared" si="6"/>
        <v>Friday</v>
      </c>
      <c r="Q407" s="2" t="str">
        <f>IF(Table1[[#This Row],[temp]]&gt;=0.24,"cold","colder")</f>
        <v>colder</v>
      </c>
      <c r="R407" s="4">
        <v>0</v>
      </c>
      <c r="S407" s="16" t="str" cm="1">
        <f t="array" ref="S407">_xlfn.IFS(Table1[[#This Row],[weathersit]]=1,"clear sky",Table1[[#This Row],[weathersit]]=2,"mist",Table1[[#This Row],[weathersit]]=3,"partially dark",Table1[[#This Row],[weathersit]]=4,"rain")</f>
        <v>mist</v>
      </c>
    </row>
    <row r="408" spans="1:19" ht="15" customHeight="1" x14ac:dyDescent="0.3">
      <c r="A408" s="2">
        <v>407</v>
      </c>
      <c r="B408" s="3">
        <v>40950</v>
      </c>
      <c r="C408" s="2">
        <v>1</v>
      </c>
      <c r="D408" s="2">
        <v>0</v>
      </c>
      <c r="E408" s="2">
        <v>1</v>
      </c>
      <c r="F408" s="2">
        <v>22</v>
      </c>
      <c r="G408" s="2" t="b">
        <v>0</v>
      </c>
      <c r="H408" s="2">
        <v>2</v>
      </c>
      <c r="I408" s="2">
        <v>2</v>
      </c>
      <c r="J408" s="2">
        <v>0.22</v>
      </c>
      <c r="K408" s="4">
        <v>0.2576</v>
      </c>
      <c r="L408" s="4">
        <v>0.93</v>
      </c>
      <c r="M408" s="4">
        <v>8.9599999999999999E-2</v>
      </c>
      <c r="N408" s="4">
        <v>33</v>
      </c>
      <c r="O408" s="2">
        <v>33</v>
      </c>
      <c r="P408" s="2" t="str">
        <f t="shared" si="6"/>
        <v>Saturday</v>
      </c>
      <c r="Q408" s="2" t="str">
        <f>IF(Table1[[#This Row],[temp]]&gt;=0.24,"cold","colder")</f>
        <v>colder</v>
      </c>
      <c r="R408" s="4">
        <v>0</v>
      </c>
      <c r="S408" s="16" t="str" cm="1">
        <f t="array" ref="S408">_xlfn.IFS(Table1[[#This Row],[weathersit]]=1,"clear sky",Table1[[#This Row],[weathersit]]=2,"mist",Table1[[#This Row],[weathersit]]=3,"partially dark",Table1[[#This Row],[weathersit]]=4,"rain")</f>
        <v>mist</v>
      </c>
    </row>
    <row r="409" spans="1:19" ht="15" customHeight="1" x14ac:dyDescent="0.3">
      <c r="A409" s="2">
        <v>408</v>
      </c>
      <c r="B409" s="3">
        <v>40951</v>
      </c>
      <c r="C409" s="2">
        <v>1</v>
      </c>
      <c r="D409" s="2">
        <v>0</v>
      </c>
      <c r="E409" s="2">
        <v>1</v>
      </c>
      <c r="F409" s="2">
        <v>23</v>
      </c>
      <c r="G409" s="2" t="b">
        <v>0</v>
      </c>
      <c r="H409" s="2">
        <v>2</v>
      </c>
      <c r="I409" s="2">
        <v>2</v>
      </c>
      <c r="J409" s="2">
        <v>0.22</v>
      </c>
      <c r="K409" s="4">
        <v>0.2727</v>
      </c>
      <c r="L409" s="4">
        <v>0.93</v>
      </c>
      <c r="M409" s="4">
        <v>0</v>
      </c>
      <c r="N409" s="4">
        <v>19</v>
      </c>
      <c r="O409" s="2">
        <v>20</v>
      </c>
      <c r="P409" s="2" t="str">
        <f t="shared" si="6"/>
        <v>Sunday</v>
      </c>
      <c r="Q409" s="2" t="str">
        <f>IF(Table1[[#This Row],[temp]]&gt;=0.24,"cold","colder")</f>
        <v>colder</v>
      </c>
      <c r="R409" s="4">
        <v>1</v>
      </c>
      <c r="S409" s="16" t="str" cm="1">
        <f t="array" ref="S409">_xlfn.IFS(Table1[[#This Row],[weathersit]]=1,"clear sky",Table1[[#This Row],[weathersit]]=2,"mist",Table1[[#This Row],[weathersit]]=3,"partially dark",Table1[[#This Row],[weathersit]]=4,"rain")</f>
        <v>mist</v>
      </c>
    </row>
    <row r="410" spans="1:19" ht="15" customHeight="1" x14ac:dyDescent="0.3">
      <c r="A410" s="2">
        <v>409</v>
      </c>
      <c r="B410" s="3">
        <v>40952</v>
      </c>
      <c r="C410" s="2">
        <v>1</v>
      </c>
      <c r="D410" s="2">
        <v>0</v>
      </c>
      <c r="E410" s="2">
        <v>1</v>
      </c>
      <c r="F410" s="2">
        <v>0</v>
      </c>
      <c r="G410" s="2" t="b">
        <v>0</v>
      </c>
      <c r="H410" s="2">
        <v>3</v>
      </c>
      <c r="I410" s="2">
        <v>2</v>
      </c>
      <c r="J410" s="2">
        <v>0.22</v>
      </c>
      <c r="K410" s="4">
        <v>0.2727</v>
      </c>
      <c r="L410" s="4">
        <v>0.93</v>
      </c>
      <c r="M410" s="4">
        <v>0</v>
      </c>
      <c r="N410" s="4">
        <v>3</v>
      </c>
      <c r="O410" s="2">
        <v>3</v>
      </c>
      <c r="P410" s="2" t="str">
        <f t="shared" si="6"/>
        <v>Monday</v>
      </c>
      <c r="Q410" s="2" t="str">
        <f>IF(Table1[[#This Row],[temp]]&gt;=0.24,"cold","colder")</f>
        <v>colder</v>
      </c>
      <c r="R410" s="4">
        <v>0</v>
      </c>
      <c r="S410" s="16" t="str" cm="1">
        <f t="array" ref="S410">_xlfn.IFS(Table1[[#This Row],[weathersit]]=1,"clear sky",Table1[[#This Row],[weathersit]]=2,"mist",Table1[[#This Row],[weathersit]]=3,"partially dark",Table1[[#This Row],[weathersit]]=4,"rain")</f>
        <v>mist</v>
      </c>
    </row>
    <row r="411" spans="1:19" ht="15" customHeight="1" x14ac:dyDescent="0.3">
      <c r="A411" s="2">
        <v>410</v>
      </c>
      <c r="B411" s="3">
        <v>40953</v>
      </c>
      <c r="C411" s="2">
        <v>1</v>
      </c>
      <c r="D411" s="2">
        <v>0</v>
      </c>
      <c r="E411" s="2">
        <v>1</v>
      </c>
      <c r="F411" s="2">
        <v>1</v>
      </c>
      <c r="G411" s="2" t="b">
        <v>0</v>
      </c>
      <c r="H411" s="2">
        <v>3</v>
      </c>
      <c r="I411" s="2">
        <v>3</v>
      </c>
      <c r="J411" s="2">
        <v>0.22</v>
      </c>
      <c r="K411" s="4">
        <v>0.2273</v>
      </c>
      <c r="L411" s="4">
        <v>0.93</v>
      </c>
      <c r="M411" s="4">
        <v>0.1343</v>
      </c>
      <c r="N411" s="4">
        <v>6</v>
      </c>
      <c r="O411" s="2">
        <v>7</v>
      </c>
      <c r="P411" s="2" t="str">
        <f t="shared" si="6"/>
        <v>Tuesday</v>
      </c>
      <c r="Q411" s="2" t="str">
        <f>IF(Table1[[#This Row],[temp]]&gt;=0.24,"cold","colder")</f>
        <v>colder</v>
      </c>
      <c r="R411" s="4">
        <v>1</v>
      </c>
      <c r="S411" s="16" t="str" cm="1">
        <f t="array" ref="S411">_xlfn.IFS(Table1[[#This Row],[weathersit]]=1,"clear sky",Table1[[#This Row],[weathersit]]=2,"mist",Table1[[#This Row],[weathersit]]=3,"partially dark",Table1[[#This Row],[weathersit]]=4,"rain")</f>
        <v>partially dark</v>
      </c>
    </row>
    <row r="412" spans="1:19" ht="15" customHeight="1" x14ac:dyDescent="0.3">
      <c r="A412" s="2">
        <v>411</v>
      </c>
      <c r="B412" s="3">
        <v>40954</v>
      </c>
      <c r="C412" s="2">
        <v>1</v>
      </c>
      <c r="D412" s="2">
        <v>0</v>
      </c>
      <c r="E412" s="2">
        <v>1</v>
      </c>
      <c r="F412" s="2">
        <v>2</v>
      </c>
      <c r="G412" s="2" t="b">
        <v>0</v>
      </c>
      <c r="H412" s="2">
        <v>3</v>
      </c>
      <c r="I412" s="2">
        <v>3</v>
      </c>
      <c r="J412" s="2">
        <v>0.22</v>
      </c>
      <c r="K412" s="4">
        <v>0.2273</v>
      </c>
      <c r="L412" s="4">
        <v>0.93</v>
      </c>
      <c r="M412" s="4">
        <v>0.1343</v>
      </c>
      <c r="N412" s="4">
        <v>3</v>
      </c>
      <c r="O412" s="2">
        <v>3</v>
      </c>
      <c r="P412" s="2" t="str">
        <f t="shared" si="6"/>
        <v>Wednesday</v>
      </c>
      <c r="Q412" s="2" t="str">
        <f>IF(Table1[[#This Row],[temp]]&gt;=0.24,"cold","colder")</f>
        <v>colder</v>
      </c>
      <c r="R412" s="4">
        <v>0</v>
      </c>
      <c r="S412" s="16" t="str" cm="1">
        <f t="array" ref="S412">_xlfn.IFS(Table1[[#This Row],[weathersit]]=1,"clear sky",Table1[[#This Row],[weathersit]]=2,"mist",Table1[[#This Row],[weathersit]]=3,"partially dark",Table1[[#This Row],[weathersit]]=4,"rain")</f>
        <v>partially dark</v>
      </c>
    </row>
    <row r="413" spans="1:19" ht="15" customHeight="1" x14ac:dyDescent="0.3">
      <c r="A413" s="2">
        <v>412</v>
      </c>
      <c r="B413" s="3">
        <v>40955</v>
      </c>
      <c r="C413" s="2">
        <v>1</v>
      </c>
      <c r="D413" s="2">
        <v>0</v>
      </c>
      <c r="E413" s="2">
        <v>1</v>
      </c>
      <c r="F413" s="2">
        <v>4</v>
      </c>
      <c r="G413" s="2" t="b">
        <v>0</v>
      </c>
      <c r="H413" s="2">
        <v>3</v>
      </c>
      <c r="I413" s="2">
        <v>3</v>
      </c>
      <c r="J413" s="2">
        <v>0.22</v>
      </c>
      <c r="K413" s="4">
        <v>0.2273</v>
      </c>
      <c r="L413" s="4">
        <v>0.93</v>
      </c>
      <c r="M413" s="4">
        <v>0.1343</v>
      </c>
      <c r="N413" s="4">
        <v>1</v>
      </c>
      <c r="O413" s="2">
        <v>2</v>
      </c>
      <c r="P413" s="2" t="str">
        <f t="shared" si="6"/>
        <v>Thursday</v>
      </c>
      <c r="Q413" s="2" t="str">
        <f>IF(Table1[[#This Row],[temp]]&gt;=0.24,"cold","colder")</f>
        <v>colder</v>
      </c>
      <c r="R413" s="4">
        <v>1</v>
      </c>
      <c r="S413" s="16" t="str" cm="1">
        <f t="array" ref="S413">_xlfn.IFS(Table1[[#This Row],[weathersit]]=1,"clear sky",Table1[[#This Row],[weathersit]]=2,"mist",Table1[[#This Row],[weathersit]]=3,"partially dark",Table1[[#This Row],[weathersit]]=4,"rain")</f>
        <v>partially dark</v>
      </c>
    </row>
    <row r="414" spans="1:19" ht="15" customHeight="1" x14ac:dyDescent="0.3">
      <c r="A414" s="2">
        <v>413</v>
      </c>
      <c r="B414" s="3">
        <v>40956</v>
      </c>
      <c r="C414" s="2">
        <v>1</v>
      </c>
      <c r="D414" s="2">
        <v>0</v>
      </c>
      <c r="E414" s="2">
        <v>1</v>
      </c>
      <c r="F414" s="2">
        <v>5</v>
      </c>
      <c r="G414" s="2" t="b">
        <v>0</v>
      </c>
      <c r="H414" s="2">
        <v>3</v>
      </c>
      <c r="I414" s="2">
        <v>2</v>
      </c>
      <c r="J414" s="2">
        <v>0.22</v>
      </c>
      <c r="K414" s="4">
        <v>0.2576</v>
      </c>
      <c r="L414" s="4">
        <v>0.93</v>
      </c>
      <c r="M414" s="4">
        <v>8.9599999999999999E-2</v>
      </c>
      <c r="N414" s="4">
        <v>7</v>
      </c>
      <c r="O414" s="2">
        <v>7</v>
      </c>
      <c r="P414" s="2" t="str">
        <f t="shared" si="6"/>
        <v>Friday</v>
      </c>
      <c r="Q414" s="2" t="str">
        <f>IF(Table1[[#This Row],[temp]]&gt;=0.24,"cold","colder")</f>
        <v>colder</v>
      </c>
      <c r="R414" s="4">
        <v>0</v>
      </c>
      <c r="S414" s="16" t="str" cm="1">
        <f t="array" ref="S414">_xlfn.IFS(Table1[[#This Row],[weathersit]]=1,"clear sky",Table1[[#This Row],[weathersit]]=2,"mist",Table1[[#This Row],[weathersit]]=3,"partially dark",Table1[[#This Row],[weathersit]]=4,"rain")</f>
        <v>mist</v>
      </c>
    </row>
    <row r="415" spans="1:19" ht="15" customHeight="1" x14ac:dyDescent="0.3">
      <c r="A415" s="2">
        <v>414</v>
      </c>
      <c r="B415" s="3">
        <v>40957</v>
      </c>
      <c r="C415" s="2">
        <v>1</v>
      </c>
      <c r="D415" s="2">
        <v>0</v>
      </c>
      <c r="E415" s="2">
        <v>1</v>
      </c>
      <c r="F415" s="2">
        <v>6</v>
      </c>
      <c r="G415" s="2" t="b">
        <v>0</v>
      </c>
      <c r="H415" s="2">
        <v>3</v>
      </c>
      <c r="I415" s="2">
        <v>2</v>
      </c>
      <c r="J415" s="2">
        <v>0.22</v>
      </c>
      <c r="K415" s="4">
        <v>0.2576</v>
      </c>
      <c r="L415" s="4">
        <v>0.93</v>
      </c>
      <c r="M415" s="4">
        <v>8.9599999999999999E-2</v>
      </c>
      <c r="N415" s="4">
        <v>32</v>
      </c>
      <c r="O415" s="2">
        <v>32</v>
      </c>
      <c r="P415" s="2" t="str">
        <f t="shared" si="6"/>
        <v>Saturday</v>
      </c>
      <c r="Q415" s="2" t="str">
        <f>IF(Table1[[#This Row],[temp]]&gt;=0.24,"cold","colder")</f>
        <v>colder</v>
      </c>
      <c r="R415" s="4">
        <v>0</v>
      </c>
      <c r="S415" s="16" t="str" cm="1">
        <f t="array" ref="S415">_xlfn.IFS(Table1[[#This Row],[weathersit]]=1,"clear sky",Table1[[#This Row],[weathersit]]=2,"mist",Table1[[#This Row],[weathersit]]=3,"partially dark",Table1[[#This Row],[weathersit]]=4,"rain")</f>
        <v>mist</v>
      </c>
    </row>
    <row r="416" spans="1:19" ht="15" customHeight="1" x14ac:dyDescent="0.3">
      <c r="A416" s="2">
        <v>415</v>
      </c>
      <c r="B416" s="3">
        <v>40958</v>
      </c>
      <c r="C416" s="2">
        <v>1</v>
      </c>
      <c r="D416" s="2">
        <v>0</v>
      </c>
      <c r="E416" s="2">
        <v>1</v>
      </c>
      <c r="F416" s="2">
        <v>7</v>
      </c>
      <c r="G416" s="2" t="b">
        <v>0</v>
      </c>
      <c r="H416" s="2">
        <v>3</v>
      </c>
      <c r="I416" s="2">
        <v>2</v>
      </c>
      <c r="J416" s="2">
        <v>0.24</v>
      </c>
      <c r="K416" s="4">
        <v>0.2576</v>
      </c>
      <c r="L416" s="4">
        <v>0.92</v>
      </c>
      <c r="M416" s="4">
        <v>0.1045</v>
      </c>
      <c r="N416" s="4">
        <v>89</v>
      </c>
      <c r="O416" s="2">
        <v>90</v>
      </c>
      <c r="P416" s="2" t="str">
        <f t="shared" si="6"/>
        <v>Sunday</v>
      </c>
      <c r="Q416" s="2" t="str">
        <f>IF(Table1[[#This Row],[temp]]&gt;=0.24,"cold","colder")</f>
        <v>cold</v>
      </c>
      <c r="R416" s="4">
        <v>1</v>
      </c>
      <c r="S416" s="16" t="str" cm="1">
        <f t="array" ref="S416">_xlfn.IFS(Table1[[#This Row],[weathersit]]=1,"clear sky",Table1[[#This Row],[weathersit]]=2,"mist",Table1[[#This Row],[weathersit]]=3,"partially dark",Table1[[#This Row],[weathersit]]=4,"rain")</f>
        <v>mist</v>
      </c>
    </row>
    <row r="417" spans="1:19" ht="15" customHeight="1" x14ac:dyDescent="0.3">
      <c r="A417" s="2">
        <v>416</v>
      </c>
      <c r="B417" s="3">
        <v>40959</v>
      </c>
      <c r="C417" s="2">
        <v>1</v>
      </c>
      <c r="D417" s="2">
        <v>0</v>
      </c>
      <c r="E417" s="2">
        <v>1</v>
      </c>
      <c r="F417" s="2">
        <v>8</v>
      </c>
      <c r="G417" s="2" t="b">
        <v>0</v>
      </c>
      <c r="H417" s="2">
        <v>3</v>
      </c>
      <c r="I417" s="2">
        <v>2</v>
      </c>
      <c r="J417" s="2">
        <v>0.24</v>
      </c>
      <c r="K417" s="4">
        <v>0.2576</v>
      </c>
      <c r="L417" s="4">
        <v>0.93</v>
      </c>
      <c r="M417" s="4">
        <v>0.1045</v>
      </c>
      <c r="N417" s="4">
        <v>196</v>
      </c>
      <c r="O417" s="2">
        <v>197</v>
      </c>
      <c r="P417" s="2" t="str">
        <f t="shared" si="6"/>
        <v>Monday</v>
      </c>
      <c r="Q417" s="2" t="str">
        <f>IF(Table1[[#This Row],[temp]]&gt;=0.24,"cold","colder")</f>
        <v>cold</v>
      </c>
      <c r="R417" s="4">
        <v>1</v>
      </c>
      <c r="S417" s="16" t="str" cm="1">
        <f t="array" ref="S417">_xlfn.IFS(Table1[[#This Row],[weathersit]]=1,"clear sky",Table1[[#This Row],[weathersit]]=2,"mist",Table1[[#This Row],[weathersit]]=3,"partially dark",Table1[[#This Row],[weathersit]]=4,"rain")</f>
        <v>mist</v>
      </c>
    </row>
    <row r="418" spans="1:19" ht="15" customHeight="1" x14ac:dyDescent="0.3">
      <c r="A418" s="2">
        <v>417</v>
      </c>
      <c r="B418" s="3">
        <v>40960</v>
      </c>
      <c r="C418" s="2">
        <v>1</v>
      </c>
      <c r="D418" s="2">
        <v>0</v>
      </c>
      <c r="E418" s="2">
        <v>1</v>
      </c>
      <c r="F418" s="2">
        <v>9</v>
      </c>
      <c r="G418" s="2" t="b">
        <v>0</v>
      </c>
      <c r="H418" s="2">
        <v>3</v>
      </c>
      <c r="I418" s="2">
        <v>2</v>
      </c>
      <c r="J418" s="2">
        <v>0.24</v>
      </c>
      <c r="K418" s="4">
        <v>0.2576</v>
      </c>
      <c r="L418" s="4">
        <v>0.93</v>
      </c>
      <c r="M418" s="4">
        <v>0.1045</v>
      </c>
      <c r="N418" s="4">
        <v>107</v>
      </c>
      <c r="O418" s="2">
        <v>109</v>
      </c>
      <c r="P418" s="2" t="str">
        <f t="shared" si="6"/>
        <v>Tuesday</v>
      </c>
      <c r="Q418" s="2" t="str">
        <f>IF(Table1[[#This Row],[temp]]&gt;=0.24,"cold","colder")</f>
        <v>cold</v>
      </c>
      <c r="R418" s="4">
        <v>2</v>
      </c>
      <c r="S418" s="16" t="str" cm="1">
        <f t="array" ref="S418">_xlfn.IFS(Table1[[#This Row],[weathersit]]=1,"clear sky",Table1[[#This Row],[weathersit]]=2,"mist",Table1[[#This Row],[weathersit]]=3,"partially dark",Table1[[#This Row],[weathersit]]=4,"rain")</f>
        <v>mist</v>
      </c>
    </row>
    <row r="419" spans="1:19" ht="15" customHeight="1" x14ac:dyDescent="0.3">
      <c r="A419" s="2">
        <v>418</v>
      </c>
      <c r="B419" s="3">
        <v>40961</v>
      </c>
      <c r="C419" s="2">
        <v>1</v>
      </c>
      <c r="D419" s="2">
        <v>0</v>
      </c>
      <c r="E419" s="2">
        <v>1</v>
      </c>
      <c r="F419" s="2">
        <v>10</v>
      </c>
      <c r="G419" s="2" t="b">
        <v>0</v>
      </c>
      <c r="H419" s="2">
        <v>3</v>
      </c>
      <c r="I419" s="2">
        <v>2</v>
      </c>
      <c r="J419" s="2">
        <v>0.26</v>
      </c>
      <c r="K419" s="4">
        <v>0.2727</v>
      </c>
      <c r="L419" s="4">
        <v>0.93</v>
      </c>
      <c r="M419" s="4">
        <v>0.1343</v>
      </c>
      <c r="N419" s="4">
        <v>46</v>
      </c>
      <c r="O419" s="2">
        <v>47</v>
      </c>
      <c r="P419" s="2" t="str">
        <f t="shared" si="6"/>
        <v>Wednesday</v>
      </c>
      <c r="Q419" s="2" t="str">
        <f>IF(Table1[[#This Row],[temp]]&gt;=0.24,"cold","colder")</f>
        <v>cold</v>
      </c>
      <c r="R419" s="4">
        <v>1</v>
      </c>
      <c r="S419" s="16" t="str" cm="1">
        <f t="array" ref="S419">_xlfn.IFS(Table1[[#This Row],[weathersit]]=1,"clear sky",Table1[[#This Row],[weathersit]]=2,"mist",Table1[[#This Row],[weathersit]]=3,"partially dark",Table1[[#This Row],[weathersit]]=4,"rain")</f>
        <v>mist</v>
      </c>
    </row>
    <row r="420" spans="1:19" ht="15" customHeight="1" x14ac:dyDescent="0.3">
      <c r="A420" s="2">
        <v>419</v>
      </c>
      <c r="B420" s="3">
        <v>40962</v>
      </c>
      <c r="C420" s="2">
        <v>1</v>
      </c>
      <c r="D420" s="2">
        <v>0</v>
      </c>
      <c r="E420" s="2">
        <v>1</v>
      </c>
      <c r="F420" s="2">
        <v>11</v>
      </c>
      <c r="G420" s="2" t="b">
        <v>0</v>
      </c>
      <c r="H420" s="2">
        <v>3</v>
      </c>
      <c r="I420" s="2">
        <v>2</v>
      </c>
      <c r="J420" s="2">
        <v>0.28000000000000003</v>
      </c>
      <c r="K420" s="4">
        <v>0.30299999999999999</v>
      </c>
      <c r="L420" s="4">
        <v>0.87</v>
      </c>
      <c r="M420" s="4">
        <v>8.9599999999999999E-2</v>
      </c>
      <c r="N420" s="4">
        <v>47</v>
      </c>
      <c r="O420" s="2">
        <v>52</v>
      </c>
      <c r="P420" s="2" t="str">
        <f t="shared" si="6"/>
        <v>Thursday</v>
      </c>
      <c r="Q420" s="2" t="str">
        <f>IF(Table1[[#This Row],[temp]]&gt;=0.24,"cold","colder")</f>
        <v>cold</v>
      </c>
      <c r="R420" s="4">
        <v>5</v>
      </c>
      <c r="S420" s="16" t="str" cm="1">
        <f t="array" ref="S420">_xlfn.IFS(Table1[[#This Row],[weathersit]]=1,"clear sky",Table1[[#This Row],[weathersit]]=2,"mist",Table1[[#This Row],[weathersit]]=3,"partially dark",Table1[[#This Row],[weathersit]]=4,"rain")</f>
        <v>mist</v>
      </c>
    </row>
    <row r="421" spans="1:19" ht="15" customHeight="1" x14ac:dyDescent="0.3">
      <c r="A421" s="2">
        <v>420</v>
      </c>
      <c r="B421" s="3">
        <v>40963</v>
      </c>
      <c r="C421" s="2">
        <v>1</v>
      </c>
      <c r="D421" s="2">
        <v>0</v>
      </c>
      <c r="E421" s="2">
        <v>1</v>
      </c>
      <c r="F421" s="2">
        <v>12</v>
      </c>
      <c r="G421" s="2" t="b">
        <v>0</v>
      </c>
      <c r="H421" s="2">
        <v>3</v>
      </c>
      <c r="I421" s="2">
        <v>2</v>
      </c>
      <c r="J421" s="2">
        <v>0.3</v>
      </c>
      <c r="K421" s="4">
        <v>0.31819999999999998</v>
      </c>
      <c r="L421" s="4">
        <v>0.81</v>
      </c>
      <c r="M421" s="4">
        <v>8.9599999999999999E-2</v>
      </c>
      <c r="N421" s="4">
        <v>65</v>
      </c>
      <c r="O421" s="2">
        <v>70</v>
      </c>
      <c r="P421" s="2" t="str">
        <f t="shared" si="6"/>
        <v>Friday</v>
      </c>
      <c r="Q421" s="2" t="str">
        <f>IF(Table1[[#This Row],[temp]]&gt;=0.24,"cold","colder")</f>
        <v>cold</v>
      </c>
      <c r="R421" s="4">
        <v>5</v>
      </c>
      <c r="S421" s="16" t="str" cm="1">
        <f t="array" ref="S421">_xlfn.IFS(Table1[[#This Row],[weathersit]]=1,"clear sky",Table1[[#This Row],[weathersit]]=2,"mist",Table1[[#This Row],[weathersit]]=3,"partially dark",Table1[[#This Row],[weathersit]]=4,"rain")</f>
        <v>mist</v>
      </c>
    </row>
    <row r="422" spans="1:19" ht="15" customHeight="1" x14ac:dyDescent="0.3">
      <c r="A422" s="2">
        <v>421</v>
      </c>
      <c r="B422" s="3">
        <v>40964</v>
      </c>
      <c r="C422" s="2">
        <v>1</v>
      </c>
      <c r="D422" s="2">
        <v>0</v>
      </c>
      <c r="E422" s="2">
        <v>1</v>
      </c>
      <c r="F422" s="2">
        <v>13</v>
      </c>
      <c r="G422" s="2" t="b">
        <v>0</v>
      </c>
      <c r="H422" s="2">
        <v>3</v>
      </c>
      <c r="I422" s="2">
        <v>1</v>
      </c>
      <c r="J422" s="2">
        <v>0.4</v>
      </c>
      <c r="K422" s="4">
        <v>0.40910000000000002</v>
      </c>
      <c r="L422" s="4">
        <v>0.62</v>
      </c>
      <c r="M422" s="4">
        <v>0.28360000000000002</v>
      </c>
      <c r="N422" s="4">
        <v>67</v>
      </c>
      <c r="O422" s="2">
        <v>78</v>
      </c>
      <c r="P422" s="2" t="str">
        <f t="shared" si="6"/>
        <v>Saturday</v>
      </c>
      <c r="Q422" s="2" t="str">
        <f>IF(Table1[[#This Row],[temp]]&gt;=0.24,"cold","colder")</f>
        <v>cold</v>
      </c>
      <c r="R422" s="4">
        <v>11</v>
      </c>
      <c r="S422" s="16" t="str" cm="1">
        <f t="array" ref="S422">_xlfn.IFS(Table1[[#This Row],[weathersit]]=1,"clear sky",Table1[[#This Row],[weathersit]]=2,"mist",Table1[[#This Row],[weathersit]]=3,"partially dark",Table1[[#This Row],[weathersit]]=4,"rain")</f>
        <v>clear sky</v>
      </c>
    </row>
    <row r="423" spans="1:19" ht="15" customHeight="1" x14ac:dyDescent="0.3">
      <c r="A423" s="2">
        <v>422</v>
      </c>
      <c r="B423" s="3">
        <v>40965</v>
      </c>
      <c r="C423" s="2">
        <v>1</v>
      </c>
      <c r="D423" s="2">
        <v>0</v>
      </c>
      <c r="E423" s="2">
        <v>1</v>
      </c>
      <c r="F423" s="2">
        <v>14</v>
      </c>
      <c r="G423" s="2" t="b">
        <v>0</v>
      </c>
      <c r="H423" s="2">
        <v>3</v>
      </c>
      <c r="I423" s="2">
        <v>1</v>
      </c>
      <c r="J423" s="2">
        <v>0.4</v>
      </c>
      <c r="K423" s="4">
        <v>0.40910000000000002</v>
      </c>
      <c r="L423" s="4">
        <v>0.57999999999999996</v>
      </c>
      <c r="M423" s="4">
        <v>0.25369999999999998</v>
      </c>
      <c r="N423" s="4">
        <v>68</v>
      </c>
      <c r="O423" s="2">
        <v>75</v>
      </c>
      <c r="P423" s="2" t="str">
        <f t="shared" si="6"/>
        <v>Sunday</v>
      </c>
      <c r="Q423" s="2" t="str">
        <f>IF(Table1[[#This Row],[temp]]&gt;=0.24,"cold","colder")</f>
        <v>cold</v>
      </c>
      <c r="R423" s="4">
        <v>7</v>
      </c>
      <c r="S423" s="16" t="str" cm="1">
        <f t="array" ref="S423">_xlfn.IFS(Table1[[#This Row],[weathersit]]=1,"clear sky",Table1[[#This Row],[weathersit]]=2,"mist",Table1[[#This Row],[weathersit]]=3,"partially dark",Table1[[#This Row],[weathersit]]=4,"rain")</f>
        <v>clear sky</v>
      </c>
    </row>
    <row r="424" spans="1:19" ht="15" customHeight="1" x14ac:dyDescent="0.3">
      <c r="A424" s="2">
        <v>423</v>
      </c>
      <c r="B424" s="3">
        <v>40966</v>
      </c>
      <c r="C424" s="2">
        <v>1</v>
      </c>
      <c r="D424" s="2">
        <v>0</v>
      </c>
      <c r="E424" s="2">
        <v>1</v>
      </c>
      <c r="F424" s="2">
        <v>15</v>
      </c>
      <c r="G424" s="2" t="b">
        <v>0</v>
      </c>
      <c r="H424" s="2">
        <v>3</v>
      </c>
      <c r="I424" s="2">
        <v>1</v>
      </c>
      <c r="J424" s="2">
        <v>0.4</v>
      </c>
      <c r="K424" s="4">
        <v>0.40910000000000002</v>
      </c>
      <c r="L424" s="4">
        <v>0.54</v>
      </c>
      <c r="M424" s="4">
        <v>0.28360000000000002</v>
      </c>
      <c r="N424" s="4">
        <v>78</v>
      </c>
      <c r="O424" s="2">
        <v>82</v>
      </c>
      <c r="P424" s="2" t="str">
        <f t="shared" si="6"/>
        <v>Monday</v>
      </c>
      <c r="Q424" s="2" t="str">
        <f>IF(Table1[[#This Row],[temp]]&gt;=0.24,"cold","colder")</f>
        <v>cold</v>
      </c>
      <c r="R424" s="4">
        <v>4</v>
      </c>
      <c r="S424" s="16" t="str" cm="1">
        <f t="array" ref="S424">_xlfn.IFS(Table1[[#This Row],[weathersit]]=1,"clear sky",Table1[[#This Row],[weathersit]]=2,"mist",Table1[[#This Row],[weathersit]]=3,"partially dark",Table1[[#This Row],[weathersit]]=4,"rain")</f>
        <v>clear sky</v>
      </c>
    </row>
    <row r="425" spans="1:19" ht="15" customHeight="1" x14ac:dyDescent="0.3">
      <c r="A425" s="2">
        <v>424</v>
      </c>
      <c r="B425" s="3">
        <v>40967</v>
      </c>
      <c r="C425" s="2">
        <v>1</v>
      </c>
      <c r="D425" s="2">
        <v>0</v>
      </c>
      <c r="E425" s="2">
        <v>1</v>
      </c>
      <c r="F425" s="2">
        <v>16</v>
      </c>
      <c r="G425" s="2" t="b">
        <v>0</v>
      </c>
      <c r="H425" s="2">
        <v>3</v>
      </c>
      <c r="I425" s="2">
        <v>1</v>
      </c>
      <c r="J425" s="2">
        <v>0.38</v>
      </c>
      <c r="K425" s="4">
        <v>0.39389999999999997</v>
      </c>
      <c r="L425" s="4">
        <v>0.57999999999999996</v>
      </c>
      <c r="M425" s="4">
        <v>0.3881</v>
      </c>
      <c r="N425" s="4">
        <v>94</v>
      </c>
      <c r="O425" s="2">
        <v>104</v>
      </c>
      <c r="P425" s="2" t="str">
        <f t="shared" si="6"/>
        <v>Tuesday</v>
      </c>
      <c r="Q425" s="2" t="str">
        <f>IF(Table1[[#This Row],[temp]]&gt;=0.24,"cold","colder")</f>
        <v>cold</v>
      </c>
      <c r="R425" s="4">
        <v>10</v>
      </c>
      <c r="S425" s="16" t="str" cm="1">
        <f t="array" ref="S425">_xlfn.IFS(Table1[[#This Row],[weathersit]]=1,"clear sky",Table1[[#This Row],[weathersit]]=2,"mist",Table1[[#This Row],[weathersit]]=3,"partially dark",Table1[[#This Row],[weathersit]]=4,"rain")</f>
        <v>clear sky</v>
      </c>
    </row>
    <row r="426" spans="1:19" ht="15" customHeight="1" x14ac:dyDescent="0.3">
      <c r="A426" s="2">
        <v>425</v>
      </c>
      <c r="B426" s="3">
        <v>40968</v>
      </c>
      <c r="C426" s="2">
        <v>1</v>
      </c>
      <c r="D426" s="2">
        <v>0</v>
      </c>
      <c r="E426" s="2">
        <v>1</v>
      </c>
      <c r="F426" s="2">
        <v>17</v>
      </c>
      <c r="G426" s="2" t="b">
        <v>0</v>
      </c>
      <c r="H426" s="2">
        <v>3</v>
      </c>
      <c r="I426" s="2">
        <v>1</v>
      </c>
      <c r="J426" s="2">
        <v>0.36</v>
      </c>
      <c r="K426" s="4">
        <v>0.33329999999999999</v>
      </c>
      <c r="L426" s="4">
        <v>0.56999999999999995</v>
      </c>
      <c r="M426" s="4">
        <v>0.32840000000000003</v>
      </c>
      <c r="N426" s="4">
        <v>190</v>
      </c>
      <c r="O426" s="2">
        <v>197</v>
      </c>
      <c r="P426" s="2" t="str">
        <f t="shared" si="6"/>
        <v>Wednesday</v>
      </c>
      <c r="Q426" s="2" t="str">
        <f>IF(Table1[[#This Row],[temp]]&gt;=0.24,"cold","colder")</f>
        <v>cold</v>
      </c>
      <c r="R426" s="4">
        <v>7</v>
      </c>
      <c r="S426" s="16" t="str" cm="1">
        <f t="array" ref="S426">_xlfn.IFS(Table1[[#This Row],[weathersit]]=1,"clear sky",Table1[[#This Row],[weathersit]]=2,"mist",Table1[[#This Row],[weathersit]]=3,"partially dark",Table1[[#This Row],[weathersit]]=4,"rain")</f>
        <v>clear sky</v>
      </c>
    </row>
    <row r="427" spans="1:19" ht="15" customHeight="1" x14ac:dyDescent="0.3">
      <c r="A427" s="2">
        <v>426</v>
      </c>
      <c r="B427" s="3">
        <v>40969</v>
      </c>
      <c r="C427" s="2">
        <v>1</v>
      </c>
      <c r="D427" s="2">
        <v>0</v>
      </c>
      <c r="E427" s="2">
        <v>1</v>
      </c>
      <c r="F427" s="2">
        <v>18</v>
      </c>
      <c r="G427" s="2" t="b">
        <v>0</v>
      </c>
      <c r="H427" s="2">
        <v>3</v>
      </c>
      <c r="I427" s="2">
        <v>1</v>
      </c>
      <c r="J427" s="2">
        <v>0.34</v>
      </c>
      <c r="K427" s="4">
        <v>0.31819999999999998</v>
      </c>
      <c r="L427" s="4">
        <v>0.61</v>
      </c>
      <c r="M427" s="4">
        <v>0.28360000000000002</v>
      </c>
      <c r="N427" s="4">
        <v>156</v>
      </c>
      <c r="O427" s="2">
        <v>161</v>
      </c>
      <c r="P427" s="2" t="str">
        <f t="shared" si="6"/>
        <v>Thursday</v>
      </c>
      <c r="Q427" s="2" t="str">
        <f>IF(Table1[[#This Row],[temp]]&gt;=0.24,"cold","colder")</f>
        <v>cold</v>
      </c>
      <c r="R427" s="4">
        <v>5</v>
      </c>
      <c r="S427" s="16" t="str" cm="1">
        <f t="array" ref="S427">_xlfn.IFS(Table1[[#This Row],[weathersit]]=1,"clear sky",Table1[[#This Row],[weathersit]]=2,"mist",Table1[[#This Row],[weathersit]]=3,"partially dark",Table1[[#This Row],[weathersit]]=4,"rain")</f>
        <v>clear sky</v>
      </c>
    </row>
    <row r="428" spans="1:19" ht="15" customHeight="1" x14ac:dyDescent="0.3">
      <c r="A428" s="2">
        <v>427</v>
      </c>
      <c r="B428" s="3">
        <v>40970</v>
      </c>
      <c r="C428" s="2">
        <v>1</v>
      </c>
      <c r="D428" s="2">
        <v>0</v>
      </c>
      <c r="E428" s="2">
        <v>1</v>
      </c>
      <c r="F428" s="2">
        <v>19</v>
      </c>
      <c r="G428" s="2" t="b">
        <v>0</v>
      </c>
      <c r="H428" s="2">
        <v>3</v>
      </c>
      <c r="I428" s="2">
        <v>1</v>
      </c>
      <c r="J428" s="2">
        <v>0.32</v>
      </c>
      <c r="K428" s="4">
        <v>0.28789999999999999</v>
      </c>
      <c r="L428" s="4">
        <v>0.56999999999999995</v>
      </c>
      <c r="M428" s="4">
        <v>0.41789999999999999</v>
      </c>
      <c r="N428" s="4">
        <v>108</v>
      </c>
      <c r="O428" s="2">
        <v>112</v>
      </c>
      <c r="P428" s="2" t="str">
        <f t="shared" si="6"/>
        <v>Friday</v>
      </c>
      <c r="Q428" s="2" t="str">
        <f>IF(Table1[[#This Row],[temp]]&gt;=0.24,"cold","colder")</f>
        <v>cold</v>
      </c>
      <c r="R428" s="4">
        <v>4</v>
      </c>
      <c r="S428" s="16" t="str" cm="1">
        <f t="array" ref="S428">_xlfn.IFS(Table1[[#This Row],[weathersit]]=1,"clear sky",Table1[[#This Row],[weathersit]]=2,"mist",Table1[[#This Row],[weathersit]]=3,"partially dark",Table1[[#This Row],[weathersit]]=4,"rain")</f>
        <v>clear sky</v>
      </c>
    </row>
    <row r="429" spans="1:19" ht="15" customHeight="1" x14ac:dyDescent="0.3">
      <c r="A429" s="2">
        <v>428</v>
      </c>
      <c r="B429" s="3">
        <v>40971</v>
      </c>
      <c r="C429" s="2">
        <v>1</v>
      </c>
      <c r="D429" s="2">
        <v>0</v>
      </c>
      <c r="E429" s="2">
        <v>1</v>
      </c>
      <c r="F429" s="2">
        <v>20</v>
      </c>
      <c r="G429" s="2" t="b">
        <v>0</v>
      </c>
      <c r="H429" s="2">
        <v>3</v>
      </c>
      <c r="I429" s="2">
        <v>1</v>
      </c>
      <c r="J429" s="2">
        <v>0.32</v>
      </c>
      <c r="K429" s="4">
        <v>0.30299999999999999</v>
      </c>
      <c r="L429" s="4">
        <v>0.49</v>
      </c>
      <c r="M429" s="4">
        <v>0.29849999999999999</v>
      </c>
      <c r="N429" s="4">
        <v>74</v>
      </c>
      <c r="O429" s="2">
        <v>76</v>
      </c>
      <c r="P429" s="2" t="str">
        <f t="shared" si="6"/>
        <v>Saturday</v>
      </c>
      <c r="Q429" s="2" t="str">
        <f>IF(Table1[[#This Row],[temp]]&gt;=0.24,"cold","colder")</f>
        <v>cold</v>
      </c>
      <c r="R429" s="4">
        <v>2</v>
      </c>
      <c r="S429" s="16" t="str" cm="1">
        <f t="array" ref="S429">_xlfn.IFS(Table1[[#This Row],[weathersit]]=1,"clear sky",Table1[[#This Row],[weathersit]]=2,"mist",Table1[[#This Row],[weathersit]]=3,"partially dark",Table1[[#This Row],[weathersit]]=4,"rain")</f>
        <v>clear sky</v>
      </c>
    </row>
    <row r="430" spans="1:19" ht="15" customHeight="1" x14ac:dyDescent="0.3">
      <c r="A430" s="2">
        <v>429</v>
      </c>
      <c r="B430" s="3">
        <v>40972</v>
      </c>
      <c r="C430" s="2">
        <v>1</v>
      </c>
      <c r="D430" s="2">
        <v>0</v>
      </c>
      <c r="E430" s="2">
        <v>1</v>
      </c>
      <c r="F430" s="2">
        <v>21</v>
      </c>
      <c r="G430" s="2" t="b">
        <v>0</v>
      </c>
      <c r="H430" s="2">
        <v>3</v>
      </c>
      <c r="I430" s="2">
        <v>1</v>
      </c>
      <c r="J430" s="2">
        <v>0.32</v>
      </c>
      <c r="K430" s="4">
        <v>0.28789999999999999</v>
      </c>
      <c r="L430" s="4">
        <v>0.49</v>
      </c>
      <c r="M430" s="4">
        <v>0.41789999999999999</v>
      </c>
      <c r="N430" s="4">
        <v>55</v>
      </c>
      <c r="O430" s="2">
        <v>59</v>
      </c>
      <c r="P430" s="2" t="str">
        <f t="shared" si="6"/>
        <v>Sunday</v>
      </c>
      <c r="Q430" s="2" t="str">
        <f>IF(Table1[[#This Row],[temp]]&gt;=0.24,"cold","colder")</f>
        <v>cold</v>
      </c>
      <c r="R430" s="4">
        <v>4</v>
      </c>
      <c r="S430" s="16" t="str" cm="1">
        <f t="array" ref="S430">_xlfn.IFS(Table1[[#This Row],[weathersit]]=1,"clear sky",Table1[[#This Row],[weathersit]]=2,"mist",Table1[[#This Row],[weathersit]]=3,"partially dark",Table1[[#This Row],[weathersit]]=4,"rain")</f>
        <v>clear sky</v>
      </c>
    </row>
    <row r="431" spans="1:19" ht="15" customHeight="1" x14ac:dyDescent="0.3">
      <c r="A431" s="2">
        <v>430</v>
      </c>
      <c r="B431" s="3">
        <v>40973</v>
      </c>
      <c r="C431" s="2">
        <v>1</v>
      </c>
      <c r="D431" s="2">
        <v>0</v>
      </c>
      <c r="E431" s="2">
        <v>1</v>
      </c>
      <c r="F431" s="2">
        <v>22</v>
      </c>
      <c r="G431" s="2" t="b">
        <v>0</v>
      </c>
      <c r="H431" s="2">
        <v>3</v>
      </c>
      <c r="I431" s="2">
        <v>1</v>
      </c>
      <c r="J431" s="2">
        <v>0.3</v>
      </c>
      <c r="K431" s="4">
        <v>0.30299999999999999</v>
      </c>
      <c r="L431" s="4">
        <v>0.52</v>
      </c>
      <c r="M431" s="4">
        <v>0.16420000000000001</v>
      </c>
      <c r="N431" s="4">
        <v>53</v>
      </c>
      <c r="O431" s="2">
        <v>59</v>
      </c>
      <c r="P431" s="2" t="str">
        <f t="shared" si="6"/>
        <v>Monday</v>
      </c>
      <c r="Q431" s="2" t="str">
        <f>IF(Table1[[#This Row],[temp]]&gt;=0.24,"cold","colder")</f>
        <v>cold</v>
      </c>
      <c r="R431" s="4">
        <v>6</v>
      </c>
      <c r="S431" s="16" t="str" cm="1">
        <f t="array" ref="S431">_xlfn.IFS(Table1[[#This Row],[weathersit]]=1,"clear sky",Table1[[#This Row],[weathersit]]=2,"mist",Table1[[#This Row],[weathersit]]=3,"partially dark",Table1[[#This Row],[weathersit]]=4,"rain")</f>
        <v>clear sky</v>
      </c>
    </row>
    <row r="432" spans="1:19" ht="15" customHeight="1" x14ac:dyDescent="0.3">
      <c r="A432" s="2">
        <v>431</v>
      </c>
      <c r="B432" s="3">
        <v>40974</v>
      </c>
      <c r="C432" s="2">
        <v>1</v>
      </c>
      <c r="D432" s="2">
        <v>0</v>
      </c>
      <c r="E432" s="2">
        <v>1</v>
      </c>
      <c r="F432" s="2">
        <v>23</v>
      </c>
      <c r="G432" s="2" t="b">
        <v>0</v>
      </c>
      <c r="H432" s="2">
        <v>3</v>
      </c>
      <c r="I432" s="2">
        <v>1</v>
      </c>
      <c r="J432" s="2">
        <v>0.3</v>
      </c>
      <c r="K432" s="4">
        <v>0.2727</v>
      </c>
      <c r="L432" s="4">
        <v>0.52</v>
      </c>
      <c r="M432" s="4">
        <v>0.4627</v>
      </c>
      <c r="N432" s="4">
        <v>27</v>
      </c>
      <c r="O432" s="2">
        <v>28</v>
      </c>
      <c r="P432" s="2" t="str">
        <f t="shared" si="6"/>
        <v>Tuesday</v>
      </c>
      <c r="Q432" s="2" t="str">
        <f>IF(Table1[[#This Row],[temp]]&gt;=0.24,"cold","colder")</f>
        <v>cold</v>
      </c>
      <c r="R432" s="4">
        <v>1</v>
      </c>
      <c r="S432" s="16" t="str" cm="1">
        <f t="array" ref="S432">_xlfn.IFS(Table1[[#This Row],[weathersit]]=1,"clear sky",Table1[[#This Row],[weathersit]]=2,"mist",Table1[[#This Row],[weathersit]]=3,"partially dark",Table1[[#This Row],[weathersit]]=4,"rain")</f>
        <v>clear sky</v>
      </c>
    </row>
    <row r="433" spans="1:19" ht="15" customHeight="1" x14ac:dyDescent="0.3">
      <c r="A433" s="2">
        <v>432</v>
      </c>
      <c r="B433" s="3">
        <v>40975</v>
      </c>
      <c r="C433" s="2">
        <v>1</v>
      </c>
      <c r="D433" s="2">
        <v>0</v>
      </c>
      <c r="E433" s="2">
        <v>1</v>
      </c>
      <c r="F433" s="2">
        <v>0</v>
      </c>
      <c r="G433" s="2" t="b">
        <v>0</v>
      </c>
      <c r="H433" s="2">
        <v>4</v>
      </c>
      <c r="I433" s="2">
        <v>1</v>
      </c>
      <c r="J433" s="2">
        <v>0.26</v>
      </c>
      <c r="K433" s="4">
        <v>0.2273</v>
      </c>
      <c r="L433" s="4">
        <v>0.56000000000000005</v>
      </c>
      <c r="M433" s="4">
        <v>0.3881</v>
      </c>
      <c r="N433" s="4">
        <v>8</v>
      </c>
      <c r="O433" s="2">
        <v>13</v>
      </c>
      <c r="P433" s="2" t="str">
        <f t="shared" si="6"/>
        <v>Wednesday</v>
      </c>
      <c r="Q433" s="2" t="str">
        <f>IF(Table1[[#This Row],[temp]]&gt;=0.24,"cold","colder")</f>
        <v>cold</v>
      </c>
      <c r="R433" s="4">
        <v>5</v>
      </c>
      <c r="S433" s="16" t="str" cm="1">
        <f t="array" ref="S433">_xlfn.IFS(Table1[[#This Row],[weathersit]]=1,"clear sky",Table1[[#This Row],[weathersit]]=2,"mist",Table1[[#This Row],[weathersit]]=3,"partially dark",Table1[[#This Row],[weathersit]]=4,"rain")</f>
        <v>clear sky</v>
      </c>
    </row>
    <row r="434" spans="1:19" ht="15" customHeight="1" x14ac:dyDescent="0.3">
      <c r="A434" s="2">
        <v>433</v>
      </c>
      <c r="B434" s="3">
        <v>40976</v>
      </c>
      <c r="C434" s="2">
        <v>1</v>
      </c>
      <c r="D434" s="2">
        <v>0</v>
      </c>
      <c r="E434" s="2">
        <v>1</v>
      </c>
      <c r="F434" s="2">
        <v>1</v>
      </c>
      <c r="G434" s="2" t="b">
        <v>0</v>
      </c>
      <c r="H434" s="2">
        <v>4</v>
      </c>
      <c r="I434" s="2">
        <v>1</v>
      </c>
      <c r="J434" s="2">
        <v>0.26</v>
      </c>
      <c r="K434" s="4">
        <v>0.2727</v>
      </c>
      <c r="L434" s="4">
        <v>0.56000000000000005</v>
      </c>
      <c r="M434" s="4">
        <v>0</v>
      </c>
      <c r="N434" s="4">
        <v>3</v>
      </c>
      <c r="O434" s="2">
        <v>5</v>
      </c>
      <c r="P434" s="2" t="str">
        <f t="shared" si="6"/>
        <v>Thursday</v>
      </c>
      <c r="Q434" s="2" t="str">
        <f>IF(Table1[[#This Row],[temp]]&gt;=0.24,"cold","colder")</f>
        <v>cold</v>
      </c>
      <c r="R434" s="4">
        <v>2</v>
      </c>
      <c r="S434" s="16" t="str" cm="1">
        <f t="array" ref="S434">_xlfn.IFS(Table1[[#This Row],[weathersit]]=1,"clear sky",Table1[[#This Row],[weathersit]]=2,"mist",Table1[[#This Row],[weathersit]]=3,"partially dark",Table1[[#This Row],[weathersit]]=4,"rain")</f>
        <v>clear sky</v>
      </c>
    </row>
    <row r="435" spans="1:19" ht="15" customHeight="1" x14ac:dyDescent="0.3">
      <c r="A435" s="2">
        <v>434</v>
      </c>
      <c r="B435" s="3">
        <v>40977</v>
      </c>
      <c r="C435" s="2">
        <v>1</v>
      </c>
      <c r="D435" s="2">
        <v>0</v>
      </c>
      <c r="E435" s="2">
        <v>1</v>
      </c>
      <c r="F435" s="2">
        <v>2</v>
      </c>
      <c r="G435" s="2" t="b">
        <v>0</v>
      </c>
      <c r="H435" s="2">
        <v>4</v>
      </c>
      <c r="I435" s="2">
        <v>1</v>
      </c>
      <c r="J435" s="2">
        <v>0.26</v>
      </c>
      <c r="K435" s="4">
        <v>0.2727</v>
      </c>
      <c r="L435" s="4">
        <v>0.56000000000000005</v>
      </c>
      <c r="M435" s="4">
        <v>0</v>
      </c>
      <c r="N435" s="4">
        <v>2</v>
      </c>
      <c r="O435" s="2">
        <v>2</v>
      </c>
      <c r="P435" s="2" t="str">
        <f t="shared" si="6"/>
        <v>Friday</v>
      </c>
      <c r="Q435" s="2" t="str">
        <f>IF(Table1[[#This Row],[temp]]&gt;=0.24,"cold","colder")</f>
        <v>cold</v>
      </c>
      <c r="R435" s="4">
        <v>0</v>
      </c>
      <c r="S435" s="16" t="str" cm="1">
        <f t="array" ref="S435">_xlfn.IFS(Table1[[#This Row],[weathersit]]=1,"clear sky",Table1[[#This Row],[weathersit]]=2,"mist",Table1[[#This Row],[weathersit]]=3,"partially dark",Table1[[#This Row],[weathersit]]=4,"rain")</f>
        <v>clear sky</v>
      </c>
    </row>
    <row r="436" spans="1:19" ht="15" customHeight="1" x14ac:dyDescent="0.3">
      <c r="A436" s="2">
        <v>435</v>
      </c>
      <c r="B436" s="3">
        <v>40978</v>
      </c>
      <c r="C436" s="2">
        <v>1</v>
      </c>
      <c r="D436" s="2">
        <v>0</v>
      </c>
      <c r="E436" s="2">
        <v>1</v>
      </c>
      <c r="F436" s="2">
        <v>3</v>
      </c>
      <c r="G436" s="2" t="b">
        <v>0</v>
      </c>
      <c r="H436" s="2">
        <v>4</v>
      </c>
      <c r="I436" s="2">
        <v>1</v>
      </c>
      <c r="J436" s="2">
        <v>0.26</v>
      </c>
      <c r="K436" s="4">
        <v>0.2576</v>
      </c>
      <c r="L436" s="4">
        <v>0.56000000000000005</v>
      </c>
      <c r="M436" s="4">
        <v>0.16420000000000001</v>
      </c>
      <c r="N436" s="4">
        <v>1</v>
      </c>
      <c r="O436" s="2">
        <v>1</v>
      </c>
      <c r="P436" s="2" t="str">
        <f t="shared" si="6"/>
        <v>Saturday</v>
      </c>
      <c r="Q436" s="2" t="str">
        <f>IF(Table1[[#This Row],[temp]]&gt;=0.24,"cold","colder")</f>
        <v>cold</v>
      </c>
      <c r="R436" s="4">
        <v>0</v>
      </c>
      <c r="S436" s="16" t="str" cm="1">
        <f t="array" ref="S436">_xlfn.IFS(Table1[[#This Row],[weathersit]]=1,"clear sky",Table1[[#This Row],[weathersit]]=2,"mist",Table1[[#This Row],[weathersit]]=3,"partially dark",Table1[[#This Row],[weathersit]]=4,"rain")</f>
        <v>clear sky</v>
      </c>
    </row>
    <row r="437" spans="1:19" ht="15" customHeight="1" x14ac:dyDescent="0.3">
      <c r="A437" s="2">
        <v>436</v>
      </c>
      <c r="B437" s="3">
        <v>40979</v>
      </c>
      <c r="C437" s="2">
        <v>1</v>
      </c>
      <c r="D437" s="2">
        <v>0</v>
      </c>
      <c r="E437" s="2">
        <v>1</v>
      </c>
      <c r="F437" s="2">
        <v>4</v>
      </c>
      <c r="G437" s="2" t="b">
        <v>0</v>
      </c>
      <c r="H437" s="2">
        <v>4</v>
      </c>
      <c r="I437" s="2">
        <v>1</v>
      </c>
      <c r="J437" s="2">
        <v>0.26</v>
      </c>
      <c r="K437" s="4">
        <v>0.2576</v>
      </c>
      <c r="L437" s="4">
        <v>0.56000000000000005</v>
      </c>
      <c r="M437" s="4">
        <v>0.16420000000000001</v>
      </c>
      <c r="N437" s="4">
        <v>1</v>
      </c>
      <c r="O437" s="2">
        <v>1</v>
      </c>
      <c r="P437" s="2" t="str">
        <f t="shared" si="6"/>
        <v>Sunday</v>
      </c>
      <c r="Q437" s="2" t="str">
        <f>IF(Table1[[#This Row],[temp]]&gt;=0.24,"cold","colder")</f>
        <v>cold</v>
      </c>
      <c r="R437" s="4">
        <v>0</v>
      </c>
      <c r="S437" s="16" t="str" cm="1">
        <f t="array" ref="S437">_xlfn.IFS(Table1[[#This Row],[weathersit]]=1,"clear sky",Table1[[#This Row],[weathersit]]=2,"mist",Table1[[#This Row],[weathersit]]=3,"partially dark",Table1[[#This Row],[weathersit]]=4,"rain")</f>
        <v>clear sky</v>
      </c>
    </row>
    <row r="438" spans="1:19" ht="15" customHeight="1" x14ac:dyDescent="0.3">
      <c r="A438" s="2">
        <v>437</v>
      </c>
      <c r="B438" s="3">
        <v>40980</v>
      </c>
      <c r="C438" s="2">
        <v>1</v>
      </c>
      <c r="D438" s="2">
        <v>0</v>
      </c>
      <c r="E438" s="2">
        <v>1</v>
      </c>
      <c r="F438" s="2">
        <v>5</v>
      </c>
      <c r="G438" s="2" t="b">
        <v>0</v>
      </c>
      <c r="H438" s="2">
        <v>4</v>
      </c>
      <c r="I438" s="2">
        <v>1</v>
      </c>
      <c r="J438" s="2">
        <v>0.24</v>
      </c>
      <c r="K438" s="4">
        <v>0.2273</v>
      </c>
      <c r="L438" s="4">
        <v>0.6</v>
      </c>
      <c r="M438" s="4">
        <v>0.22389999999999999</v>
      </c>
      <c r="N438" s="4">
        <v>6</v>
      </c>
      <c r="O438" s="2">
        <v>6</v>
      </c>
      <c r="P438" s="2" t="str">
        <f t="shared" si="6"/>
        <v>Monday</v>
      </c>
      <c r="Q438" s="2" t="str">
        <f>IF(Table1[[#This Row],[temp]]&gt;=0.24,"cold","colder")</f>
        <v>cold</v>
      </c>
      <c r="R438" s="4">
        <v>0</v>
      </c>
      <c r="S438" s="16" t="str" cm="1">
        <f t="array" ref="S438">_xlfn.IFS(Table1[[#This Row],[weathersit]]=1,"clear sky",Table1[[#This Row],[weathersit]]=2,"mist",Table1[[#This Row],[weathersit]]=3,"partially dark",Table1[[#This Row],[weathersit]]=4,"rain")</f>
        <v>clear sky</v>
      </c>
    </row>
    <row r="439" spans="1:19" ht="15" customHeight="1" x14ac:dyDescent="0.3">
      <c r="A439" s="2">
        <v>438</v>
      </c>
      <c r="B439" s="3">
        <v>40981</v>
      </c>
      <c r="C439" s="2">
        <v>1</v>
      </c>
      <c r="D439" s="2">
        <v>0</v>
      </c>
      <c r="E439" s="2">
        <v>1</v>
      </c>
      <c r="F439" s="2">
        <v>6</v>
      </c>
      <c r="G439" s="2" t="b">
        <v>0</v>
      </c>
      <c r="H439" s="2">
        <v>4</v>
      </c>
      <c r="I439" s="2">
        <v>1</v>
      </c>
      <c r="J439" s="2">
        <v>0.22</v>
      </c>
      <c r="K439" s="4">
        <v>0.21210000000000001</v>
      </c>
      <c r="L439" s="4">
        <v>0.6</v>
      </c>
      <c r="M439" s="4">
        <v>0.22389999999999999</v>
      </c>
      <c r="N439" s="4">
        <v>35</v>
      </c>
      <c r="O439" s="2">
        <v>35</v>
      </c>
      <c r="P439" s="2" t="str">
        <f t="shared" si="6"/>
        <v>Tuesday</v>
      </c>
      <c r="Q439" s="2" t="str">
        <f>IF(Table1[[#This Row],[temp]]&gt;=0.24,"cold","colder")</f>
        <v>colder</v>
      </c>
      <c r="R439" s="4">
        <v>0</v>
      </c>
      <c r="S439" s="16" t="str" cm="1">
        <f t="array" ref="S439">_xlfn.IFS(Table1[[#This Row],[weathersit]]=1,"clear sky",Table1[[#This Row],[weathersit]]=2,"mist",Table1[[#This Row],[weathersit]]=3,"partially dark",Table1[[#This Row],[weathersit]]=4,"rain")</f>
        <v>clear sky</v>
      </c>
    </row>
    <row r="440" spans="1:19" ht="15" customHeight="1" x14ac:dyDescent="0.3">
      <c r="A440" s="2">
        <v>439</v>
      </c>
      <c r="B440" s="3">
        <v>40982</v>
      </c>
      <c r="C440" s="2">
        <v>1</v>
      </c>
      <c r="D440" s="2">
        <v>0</v>
      </c>
      <c r="E440" s="2">
        <v>1</v>
      </c>
      <c r="F440" s="2">
        <v>7</v>
      </c>
      <c r="G440" s="2" t="b">
        <v>0</v>
      </c>
      <c r="H440" s="2">
        <v>4</v>
      </c>
      <c r="I440" s="2">
        <v>1</v>
      </c>
      <c r="J440" s="2">
        <v>0.22</v>
      </c>
      <c r="K440" s="4">
        <v>0.21210000000000001</v>
      </c>
      <c r="L440" s="4">
        <v>0.55000000000000004</v>
      </c>
      <c r="M440" s="4">
        <v>0.22389999999999999</v>
      </c>
      <c r="N440" s="4">
        <v>100</v>
      </c>
      <c r="O440" s="2">
        <v>101</v>
      </c>
      <c r="P440" s="2" t="str">
        <f t="shared" si="6"/>
        <v>Wednesday</v>
      </c>
      <c r="Q440" s="2" t="str">
        <f>IF(Table1[[#This Row],[temp]]&gt;=0.24,"cold","colder")</f>
        <v>colder</v>
      </c>
      <c r="R440" s="4">
        <v>1</v>
      </c>
      <c r="S440" s="16" t="str" cm="1">
        <f t="array" ref="S440">_xlfn.IFS(Table1[[#This Row],[weathersit]]=1,"clear sky",Table1[[#This Row],[weathersit]]=2,"mist",Table1[[#This Row],[weathersit]]=3,"partially dark",Table1[[#This Row],[weathersit]]=4,"rain")</f>
        <v>clear sky</v>
      </c>
    </row>
    <row r="441" spans="1:19" ht="15" customHeight="1" x14ac:dyDescent="0.3">
      <c r="A441" s="2">
        <v>440</v>
      </c>
      <c r="B441" s="3">
        <v>40983</v>
      </c>
      <c r="C441" s="2">
        <v>1</v>
      </c>
      <c r="D441" s="2">
        <v>0</v>
      </c>
      <c r="E441" s="2">
        <v>1</v>
      </c>
      <c r="F441" s="2">
        <v>8</v>
      </c>
      <c r="G441" s="2" t="b">
        <v>0</v>
      </c>
      <c r="H441" s="2">
        <v>4</v>
      </c>
      <c r="I441" s="2">
        <v>1</v>
      </c>
      <c r="J441" s="2">
        <v>0.22</v>
      </c>
      <c r="K441" s="4">
        <v>0.21210000000000001</v>
      </c>
      <c r="L441" s="4">
        <v>0.55000000000000004</v>
      </c>
      <c r="M441" s="4">
        <v>0.28360000000000002</v>
      </c>
      <c r="N441" s="4">
        <v>247</v>
      </c>
      <c r="O441" s="2">
        <v>249</v>
      </c>
      <c r="P441" s="2" t="str">
        <f t="shared" si="6"/>
        <v>Thursday</v>
      </c>
      <c r="Q441" s="2" t="str">
        <f>IF(Table1[[#This Row],[temp]]&gt;=0.24,"cold","colder")</f>
        <v>colder</v>
      </c>
      <c r="R441" s="4">
        <v>2</v>
      </c>
      <c r="S441" s="16" t="str" cm="1">
        <f t="array" ref="S441">_xlfn.IFS(Table1[[#This Row],[weathersit]]=1,"clear sky",Table1[[#This Row],[weathersit]]=2,"mist",Table1[[#This Row],[weathersit]]=3,"partially dark",Table1[[#This Row],[weathersit]]=4,"rain")</f>
        <v>clear sky</v>
      </c>
    </row>
    <row r="442" spans="1:19" ht="15" customHeight="1" x14ac:dyDescent="0.3">
      <c r="A442" s="2">
        <v>441</v>
      </c>
      <c r="B442" s="3">
        <v>40984</v>
      </c>
      <c r="C442" s="2">
        <v>1</v>
      </c>
      <c r="D442" s="2">
        <v>0</v>
      </c>
      <c r="E442" s="2">
        <v>1</v>
      </c>
      <c r="F442" s="2">
        <v>9</v>
      </c>
      <c r="G442" s="2" t="b">
        <v>0</v>
      </c>
      <c r="H442" s="2">
        <v>4</v>
      </c>
      <c r="I442" s="2">
        <v>2</v>
      </c>
      <c r="J442" s="2">
        <v>0.24</v>
      </c>
      <c r="K442" s="4">
        <v>0.2273</v>
      </c>
      <c r="L442" s="4">
        <v>0.52</v>
      </c>
      <c r="M442" s="4">
        <v>0.22389999999999999</v>
      </c>
      <c r="N442" s="4">
        <v>140</v>
      </c>
      <c r="O442" s="2">
        <v>143</v>
      </c>
      <c r="P442" s="2" t="str">
        <f t="shared" si="6"/>
        <v>Friday</v>
      </c>
      <c r="Q442" s="2" t="str">
        <f>IF(Table1[[#This Row],[temp]]&gt;=0.24,"cold","colder")</f>
        <v>cold</v>
      </c>
      <c r="R442" s="4">
        <v>3</v>
      </c>
      <c r="S442" s="16" t="str" cm="1">
        <f t="array" ref="S442">_xlfn.IFS(Table1[[#This Row],[weathersit]]=1,"clear sky",Table1[[#This Row],[weathersit]]=2,"mist",Table1[[#This Row],[weathersit]]=3,"partially dark",Table1[[#This Row],[weathersit]]=4,"rain")</f>
        <v>mist</v>
      </c>
    </row>
    <row r="443" spans="1:19" ht="15" customHeight="1" x14ac:dyDescent="0.3">
      <c r="A443" s="2">
        <v>442</v>
      </c>
      <c r="B443" s="3">
        <v>40985</v>
      </c>
      <c r="C443" s="2">
        <v>1</v>
      </c>
      <c r="D443" s="2">
        <v>0</v>
      </c>
      <c r="E443" s="2">
        <v>1</v>
      </c>
      <c r="F443" s="2">
        <v>10</v>
      </c>
      <c r="G443" s="2" t="b">
        <v>0</v>
      </c>
      <c r="H443" s="2">
        <v>4</v>
      </c>
      <c r="I443" s="2">
        <v>1</v>
      </c>
      <c r="J443" s="2">
        <v>0.26</v>
      </c>
      <c r="K443" s="4">
        <v>0.2273</v>
      </c>
      <c r="L443" s="4">
        <v>0.48</v>
      </c>
      <c r="M443" s="4">
        <v>0.29849999999999999</v>
      </c>
      <c r="N443" s="4">
        <v>56</v>
      </c>
      <c r="O443" s="2">
        <v>57</v>
      </c>
      <c r="P443" s="2" t="str">
        <f t="shared" si="6"/>
        <v>Saturday</v>
      </c>
      <c r="Q443" s="2" t="str">
        <f>IF(Table1[[#This Row],[temp]]&gt;=0.24,"cold","colder")</f>
        <v>cold</v>
      </c>
      <c r="R443" s="4">
        <v>1</v>
      </c>
      <c r="S443" s="16" t="str" cm="1">
        <f t="array" ref="S443">_xlfn.IFS(Table1[[#This Row],[weathersit]]=1,"clear sky",Table1[[#This Row],[weathersit]]=2,"mist",Table1[[#This Row],[weathersit]]=3,"partially dark",Table1[[#This Row],[weathersit]]=4,"rain")</f>
        <v>clear sky</v>
      </c>
    </row>
    <row r="444" spans="1:19" ht="15" customHeight="1" x14ac:dyDescent="0.3">
      <c r="A444" s="2">
        <v>443</v>
      </c>
      <c r="B444" s="3">
        <v>40986</v>
      </c>
      <c r="C444" s="2">
        <v>1</v>
      </c>
      <c r="D444" s="2">
        <v>0</v>
      </c>
      <c r="E444" s="2">
        <v>1</v>
      </c>
      <c r="F444" s="2">
        <v>11</v>
      </c>
      <c r="G444" s="2" t="b">
        <v>0</v>
      </c>
      <c r="H444" s="2">
        <v>4</v>
      </c>
      <c r="I444" s="2">
        <v>2</v>
      </c>
      <c r="J444" s="2">
        <v>0.28000000000000003</v>
      </c>
      <c r="K444" s="4">
        <v>0.2727</v>
      </c>
      <c r="L444" s="4">
        <v>0.45</v>
      </c>
      <c r="M444" s="4">
        <v>0.16420000000000001</v>
      </c>
      <c r="N444" s="4">
        <v>63</v>
      </c>
      <c r="O444" s="2">
        <v>68</v>
      </c>
      <c r="P444" s="2" t="str">
        <f t="shared" si="6"/>
        <v>Sunday</v>
      </c>
      <c r="Q444" s="2" t="str">
        <f>IF(Table1[[#This Row],[temp]]&gt;=0.24,"cold","colder")</f>
        <v>cold</v>
      </c>
      <c r="R444" s="4">
        <v>5</v>
      </c>
      <c r="S444" s="16" t="str" cm="1">
        <f t="array" ref="S444">_xlfn.IFS(Table1[[#This Row],[weathersit]]=1,"clear sky",Table1[[#This Row],[weathersit]]=2,"mist",Table1[[#This Row],[weathersit]]=3,"partially dark",Table1[[#This Row],[weathersit]]=4,"rain")</f>
        <v>mist</v>
      </c>
    </row>
    <row r="445" spans="1:19" ht="15" customHeight="1" x14ac:dyDescent="0.3">
      <c r="A445" s="2">
        <v>444</v>
      </c>
      <c r="B445" s="3">
        <v>40987</v>
      </c>
      <c r="C445" s="2">
        <v>1</v>
      </c>
      <c r="D445" s="2">
        <v>0</v>
      </c>
      <c r="E445" s="2">
        <v>1</v>
      </c>
      <c r="F445" s="2">
        <v>12</v>
      </c>
      <c r="G445" s="2" t="b">
        <v>0</v>
      </c>
      <c r="H445" s="2">
        <v>4</v>
      </c>
      <c r="I445" s="2">
        <v>2</v>
      </c>
      <c r="J445" s="2">
        <v>0.3</v>
      </c>
      <c r="K445" s="4">
        <v>0.33329999999999999</v>
      </c>
      <c r="L445" s="4">
        <v>0.42</v>
      </c>
      <c r="M445" s="4">
        <v>0</v>
      </c>
      <c r="N445" s="4">
        <v>77</v>
      </c>
      <c r="O445" s="2">
        <v>84</v>
      </c>
      <c r="P445" s="2" t="str">
        <f t="shared" si="6"/>
        <v>Monday</v>
      </c>
      <c r="Q445" s="2" t="str">
        <f>IF(Table1[[#This Row],[temp]]&gt;=0.24,"cold","colder")</f>
        <v>cold</v>
      </c>
      <c r="R445" s="4">
        <v>7</v>
      </c>
      <c r="S445" s="16" t="str" cm="1">
        <f t="array" ref="S445">_xlfn.IFS(Table1[[#This Row],[weathersit]]=1,"clear sky",Table1[[#This Row],[weathersit]]=2,"mist",Table1[[#This Row],[weathersit]]=3,"partially dark",Table1[[#This Row],[weathersit]]=4,"rain")</f>
        <v>mist</v>
      </c>
    </row>
    <row r="446" spans="1:19" ht="15" customHeight="1" x14ac:dyDescent="0.3">
      <c r="A446" s="2">
        <v>445</v>
      </c>
      <c r="B446" s="3">
        <v>40988</v>
      </c>
      <c r="C446" s="2">
        <v>1</v>
      </c>
      <c r="D446" s="2">
        <v>0</v>
      </c>
      <c r="E446" s="2">
        <v>1</v>
      </c>
      <c r="F446" s="2">
        <v>13</v>
      </c>
      <c r="G446" s="2" t="b">
        <v>0</v>
      </c>
      <c r="H446" s="2">
        <v>4</v>
      </c>
      <c r="I446" s="2">
        <v>2</v>
      </c>
      <c r="J446" s="2">
        <v>0.28000000000000003</v>
      </c>
      <c r="K446" s="4">
        <v>0.28789999999999999</v>
      </c>
      <c r="L446" s="4">
        <v>0.45</v>
      </c>
      <c r="M446" s="4">
        <v>0.1045</v>
      </c>
      <c r="N446" s="4">
        <v>86</v>
      </c>
      <c r="O446" s="2">
        <v>98</v>
      </c>
      <c r="P446" s="2" t="str">
        <f t="shared" si="6"/>
        <v>Tuesday</v>
      </c>
      <c r="Q446" s="2" t="str">
        <f>IF(Table1[[#This Row],[temp]]&gt;=0.24,"cold","colder")</f>
        <v>cold</v>
      </c>
      <c r="R446" s="4">
        <v>12</v>
      </c>
      <c r="S446" s="16" t="str" cm="1">
        <f t="array" ref="S446">_xlfn.IFS(Table1[[#This Row],[weathersit]]=1,"clear sky",Table1[[#This Row],[weathersit]]=2,"mist",Table1[[#This Row],[weathersit]]=3,"partially dark",Table1[[#This Row],[weathersit]]=4,"rain")</f>
        <v>mist</v>
      </c>
    </row>
    <row r="447" spans="1:19" ht="15" customHeight="1" x14ac:dyDescent="0.3">
      <c r="A447" s="2">
        <v>446</v>
      </c>
      <c r="B447" s="3">
        <v>40989</v>
      </c>
      <c r="C447" s="2">
        <v>1</v>
      </c>
      <c r="D447" s="2">
        <v>0</v>
      </c>
      <c r="E447" s="2">
        <v>1</v>
      </c>
      <c r="F447" s="2">
        <v>14</v>
      </c>
      <c r="G447" s="2" t="b">
        <v>0</v>
      </c>
      <c r="H447" s="2">
        <v>4</v>
      </c>
      <c r="I447" s="2">
        <v>2</v>
      </c>
      <c r="J447" s="2">
        <v>0.3</v>
      </c>
      <c r="K447" s="4">
        <v>0.30299999999999999</v>
      </c>
      <c r="L447" s="4">
        <v>0.45</v>
      </c>
      <c r="M447" s="4">
        <v>0.1343</v>
      </c>
      <c r="N447" s="4">
        <v>75</v>
      </c>
      <c r="O447" s="2">
        <v>81</v>
      </c>
      <c r="P447" s="2" t="str">
        <f t="shared" si="6"/>
        <v>Wednesday</v>
      </c>
      <c r="Q447" s="2" t="str">
        <f>IF(Table1[[#This Row],[temp]]&gt;=0.24,"cold","colder")</f>
        <v>cold</v>
      </c>
      <c r="R447" s="4">
        <v>6</v>
      </c>
      <c r="S447" s="16" t="str" cm="1">
        <f t="array" ref="S447">_xlfn.IFS(Table1[[#This Row],[weathersit]]=1,"clear sky",Table1[[#This Row],[weathersit]]=2,"mist",Table1[[#This Row],[weathersit]]=3,"partially dark",Table1[[#This Row],[weathersit]]=4,"rain")</f>
        <v>mist</v>
      </c>
    </row>
    <row r="448" spans="1:19" ht="15" customHeight="1" x14ac:dyDescent="0.3">
      <c r="A448" s="2">
        <v>447</v>
      </c>
      <c r="B448" s="3">
        <v>40990</v>
      </c>
      <c r="C448" s="2">
        <v>1</v>
      </c>
      <c r="D448" s="2">
        <v>0</v>
      </c>
      <c r="E448" s="2">
        <v>1</v>
      </c>
      <c r="F448" s="2">
        <v>15</v>
      </c>
      <c r="G448" s="2" t="b">
        <v>0</v>
      </c>
      <c r="H448" s="2">
        <v>4</v>
      </c>
      <c r="I448" s="2">
        <v>2</v>
      </c>
      <c r="J448" s="2">
        <v>0.32</v>
      </c>
      <c r="K448" s="4">
        <v>0.31819999999999998</v>
      </c>
      <c r="L448" s="4">
        <v>0.45</v>
      </c>
      <c r="M448" s="4">
        <v>0.19400000000000001</v>
      </c>
      <c r="N448" s="4">
        <v>62</v>
      </c>
      <c r="O448" s="2">
        <v>70</v>
      </c>
      <c r="P448" s="2" t="str">
        <f t="shared" si="6"/>
        <v>Thursday</v>
      </c>
      <c r="Q448" s="2" t="str">
        <f>IF(Table1[[#This Row],[temp]]&gt;=0.24,"cold","colder")</f>
        <v>cold</v>
      </c>
      <c r="R448" s="4">
        <v>8</v>
      </c>
      <c r="S448" s="16" t="str" cm="1">
        <f t="array" ref="S448">_xlfn.IFS(Table1[[#This Row],[weathersit]]=1,"clear sky",Table1[[#This Row],[weathersit]]=2,"mist",Table1[[#This Row],[weathersit]]=3,"partially dark",Table1[[#This Row],[weathersit]]=4,"rain")</f>
        <v>mist</v>
      </c>
    </row>
    <row r="449" spans="1:19" ht="15" customHeight="1" x14ac:dyDescent="0.3">
      <c r="A449" s="2">
        <v>448</v>
      </c>
      <c r="B449" s="3">
        <v>40991</v>
      </c>
      <c r="C449" s="2">
        <v>1</v>
      </c>
      <c r="D449" s="2">
        <v>0</v>
      </c>
      <c r="E449" s="2">
        <v>1</v>
      </c>
      <c r="F449" s="2">
        <v>16</v>
      </c>
      <c r="G449" s="2" t="b">
        <v>0</v>
      </c>
      <c r="H449" s="2">
        <v>4</v>
      </c>
      <c r="I449" s="2">
        <v>2</v>
      </c>
      <c r="J449" s="2">
        <v>0.3</v>
      </c>
      <c r="K449" s="4">
        <v>0.30299999999999999</v>
      </c>
      <c r="L449" s="4">
        <v>0.49</v>
      </c>
      <c r="M449" s="4">
        <v>0.1343</v>
      </c>
      <c r="N449" s="4">
        <v>83</v>
      </c>
      <c r="O449" s="2">
        <v>91</v>
      </c>
      <c r="P449" s="2" t="str">
        <f t="shared" si="6"/>
        <v>Friday</v>
      </c>
      <c r="Q449" s="2" t="str">
        <f>IF(Table1[[#This Row],[temp]]&gt;=0.24,"cold","colder")</f>
        <v>cold</v>
      </c>
      <c r="R449" s="4">
        <v>8</v>
      </c>
      <c r="S449" s="16" t="str" cm="1">
        <f t="array" ref="S449">_xlfn.IFS(Table1[[#This Row],[weathersit]]=1,"clear sky",Table1[[#This Row],[weathersit]]=2,"mist",Table1[[#This Row],[weathersit]]=3,"partially dark",Table1[[#This Row],[weathersit]]=4,"rain")</f>
        <v>mist</v>
      </c>
    </row>
    <row r="450" spans="1:19" ht="15" customHeight="1" x14ac:dyDescent="0.3">
      <c r="A450" s="2">
        <v>449</v>
      </c>
      <c r="B450" s="3">
        <v>40992</v>
      </c>
      <c r="C450" s="2">
        <v>1</v>
      </c>
      <c r="D450" s="2">
        <v>0</v>
      </c>
      <c r="E450" s="2">
        <v>1</v>
      </c>
      <c r="F450" s="2">
        <v>17</v>
      </c>
      <c r="G450" s="2" t="b">
        <v>0</v>
      </c>
      <c r="H450" s="2">
        <v>4</v>
      </c>
      <c r="I450" s="2">
        <v>2</v>
      </c>
      <c r="J450" s="2">
        <v>0.3</v>
      </c>
      <c r="K450" s="4">
        <v>0.31819999999999998</v>
      </c>
      <c r="L450" s="4">
        <v>0.49</v>
      </c>
      <c r="M450" s="4">
        <v>0.1045</v>
      </c>
      <c r="N450" s="4">
        <v>207</v>
      </c>
      <c r="O450" s="2">
        <v>215</v>
      </c>
      <c r="P450" s="2" t="str">
        <f t="shared" ref="P450:P513" si="7">TEXT(B450,"dddd")</f>
        <v>Saturday</v>
      </c>
      <c r="Q450" s="2" t="str">
        <f>IF(Table1[[#This Row],[temp]]&gt;=0.24,"cold","colder")</f>
        <v>cold</v>
      </c>
      <c r="R450" s="4">
        <v>8</v>
      </c>
      <c r="S450" s="16" t="str" cm="1">
        <f t="array" ref="S450">_xlfn.IFS(Table1[[#This Row],[weathersit]]=1,"clear sky",Table1[[#This Row],[weathersit]]=2,"mist",Table1[[#This Row],[weathersit]]=3,"partially dark",Table1[[#This Row],[weathersit]]=4,"rain")</f>
        <v>mist</v>
      </c>
    </row>
    <row r="451" spans="1:19" ht="15" customHeight="1" x14ac:dyDescent="0.3">
      <c r="A451" s="2">
        <v>450</v>
      </c>
      <c r="B451" s="3">
        <v>40993</v>
      </c>
      <c r="C451" s="2">
        <v>1</v>
      </c>
      <c r="D451" s="2">
        <v>0</v>
      </c>
      <c r="E451" s="2">
        <v>1</v>
      </c>
      <c r="F451" s="2">
        <v>18</v>
      </c>
      <c r="G451" s="2" t="b">
        <v>0</v>
      </c>
      <c r="H451" s="2">
        <v>4</v>
      </c>
      <c r="I451" s="2">
        <v>2</v>
      </c>
      <c r="J451" s="2">
        <v>0.26</v>
      </c>
      <c r="K451" s="4">
        <v>0.2576</v>
      </c>
      <c r="L451" s="4">
        <v>0.56000000000000005</v>
      </c>
      <c r="M451" s="4">
        <v>0.19400000000000001</v>
      </c>
      <c r="N451" s="4">
        <v>184</v>
      </c>
      <c r="O451" s="2">
        <v>185</v>
      </c>
      <c r="P451" s="2" t="str">
        <f t="shared" si="7"/>
        <v>Sunday</v>
      </c>
      <c r="Q451" s="2" t="str">
        <f>IF(Table1[[#This Row],[temp]]&gt;=0.24,"cold","colder")</f>
        <v>cold</v>
      </c>
      <c r="R451" s="4">
        <v>1</v>
      </c>
      <c r="S451" s="16" t="str" cm="1">
        <f t="array" ref="S451">_xlfn.IFS(Table1[[#This Row],[weathersit]]=1,"clear sky",Table1[[#This Row],[weathersit]]=2,"mist",Table1[[#This Row],[weathersit]]=3,"partially dark",Table1[[#This Row],[weathersit]]=4,"rain")</f>
        <v>mist</v>
      </c>
    </row>
    <row r="452" spans="1:19" ht="15" customHeight="1" x14ac:dyDescent="0.3">
      <c r="A452" s="2">
        <v>451</v>
      </c>
      <c r="B452" s="3">
        <v>40994</v>
      </c>
      <c r="C452" s="2">
        <v>1</v>
      </c>
      <c r="D452" s="2">
        <v>0</v>
      </c>
      <c r="E452" s="2">
        <v>1</v>
      </c>
      <c r="F452" s="2">
        <v>19</v>
      </c>
      <c r="G452" s="2" t="b">
        <v>0</v>
      </c>
      <c r="H452" s="2">
        <v>4</v>
      </c>
      <c r="I452" s="2">
        <v>1</v>
      </c>
      <c r="J452" s="2">
        <v>0.26</v>
      </c>
      <c r="K452" s="4">
        <v>0.2273</v>
      </c>
      <c r="L452" s="4">
        <v>0.56000000000000005</v>
      </c>
      <c r="M452" s="4">
        <v>0.32840000000000003</v>
      </c>
      <c r="N452" s="4">
        <v>146</v>
      </c>
      <c r="O452" s="2">
        <v>152</v>
      </c>
      <c r="P452" s="2" t="str">
        <f t="shared" si="7"/>
        <v>Monday</v>
      </c>
      <c r="Q452" s="2" t="str">
        <f>IF(Table1[[#This Row],[temp]]&gt;=0.24,"cold","colder")</f>
        <v>cold</v>
      </c>
      <c r="R452" s="4">
        <v>6</v>
      </c>
      <c r="S452" s="16" t="str" cm="1">
        <f t="array" ref="S452">_xlfn.IFS(Table1[[#This Row],[weathersit]]=1,"clear sky",Table1[[#This Row],[weathersit]]=2,"mist",Table1[[#This Row],[weathersit]]=3,"partially dark",Table1[[#This Row],[weathersit]]=4,"rain")</f>
        <v>clear sky</v>
      </c>
    </row>
    <row r="453" spans="1:19" ht="15" customHeight="1" x14ac:dyDescent="0.3">
      <c r="A453" s="2">
        <v>452</v>
      </c>
      <c r="B453" s="3">
        <v>40995</v>
      </c>
      <c r="C453" s="2">
        <v>1</v>
      </c>
      <c r="D453" s="2">
        <v>0</v>
      </c>
      <c r="E453" s="2">
        <v>1</v>
      </c>
      <c r="F453" s="2">
        <v>20</v>
      </c>
      <c r="G453" s="2" t="b">
        <v>0</v>
      </c>
      <c r="H453" s="2">
        <v>4</v>
      </c>
      <c r="I453" s="2">
        <v>2</v>
      </c>
      <c r="J453" s="2">
        <v>0.26</v>
      </c>
      <c r="K453" s="4">
        <v>0.2424</v>
      </c>
      <c r="L453" s="4">
        <v>0.6</v>
      </c>
      <c r="M453" s="4">
        <v>0.28360000000000002</v>
      </c>
      <c r="N453" s="4">
        <v>124</v>
      </c>
      <c r="O453" s="2">
        <v>126</v>
      </c>
      <c r="P453" s="2" t="str">
        <f t="shared" si="7"/>
        <v>Tuesday</v>
      </c>
      <c r="Q453" s="2" t="str">
        <f>IF(Table1[[#This Row],[temp]]&gt;=0.24,"cold","colder")</f>
        <v>cold</v>
      </c>
      <c r="R453" s="4">
        <v>2</v>
      </c>
      <c r="S453" s="16" t="str" cm="1">
        <f t="array" ref="S453">_xlfn.IFS(Table1[[#This Row],[weathersit]]=1,"clear sky",Table1[[#This Row],[weathersit]]=2,"mist",Table1[[#This Row],[weathersit]]=3,"partially dark",Table1[[#This Row],[weathersit]]=4,"rain")</f>
        <v>mist</v>
      </c>
    </row>
    <row r="454" spans="1:19" ht="15" customHeight="1" x14ac:dyDescent="0.3">
      <c r="A454" s="2">
        <v>453</v>
      </c>
      <c r="B454" s="3">
        <v>40996</v>
      </c>
      <c r="C454" s="2">
        <v>1</v>
      </c>
      <c r="D454" s="2">
        <v>0</v>
      </c>
      <c r="E454" s="2">
        <v>1</v>
      </c>
      <c r="F454" s="2">
        <v>21</v>
      </c>
      <c r="G454" s="2" t="b">
        <v>0</v>
      </c>
      <c r="H454" s="2">
        <v>4</v>
      </c>
      <c r="I454" s="2">
        <v>2</v>
      </c>
      <c r="J454" s="2">
        <v>0.24</v>
      </c>
      <c r="K454" s="4">
        <v>0.2273</v>
      </c>
      <c r="L454" s="4">
        <v>0.6</v>
      </c>
      <c r="M454" s="4">
        <v>0.25369999999999998</v>
      </c>
      <c r="N454" s="4">
        <v>54</v>
      </c>
      <c r="O454" s="2">
        <v>57</v>
      </c>
      <c r="P454" s="2" t="str">
        <f t="shared" si="7"/>
        <v>Wednesday</v>
      </c>
      <c r="Q454" s="2" t="str">
        <f>IF(Table1[[#This Row],[temp]]&gt;=0.24,"cold","colder")</f>
        <v>cold</v>
      </c>
      <c r="R454" s="4">
        <v>3</v>
      </c>
      <c r="S454" s="16" t="str" cm="1">
        <f t="array" ref="S454">_xlfn.IFS(Table1[[#This Row],[weathersit]]=1,"clear sky",Table1[[#This Row],[weathersit]]=2,"mist",Table1[[#This Row],[weathersit]]=3,"partially dark",Table1[[#This Row],[weathersit]]=4,"rain")</f>
        <v>mist</v>
      </c>
    </row>
    <row r="455" spans="1:19" ht="15" customHeight="1" x14ac:dyDescent="0.3">
      <c r="A455" s="2">
        <v>454</v>
      </c>
      <c r="B455" s="3">
        <v>40997</v>
      </c>
      <c r="C455" s="2">
        <v>1</v>
      </c>
      <c r="D455" s="2">
        <v>0</v>
      </c>
      <c r="E455" s="2">
        <v>1</v>
      </c>
      <c r="F455" s="2">
        <v>22</v>
      </c>
      <c r="G455" s="2" t="b">
        <v>0</v>
      </c>
      <c r="H455" s="2">
        <v>4</v>
      </c>
      <c r="I455" s="2">
        <v>2</v>
      </c>
      <c r="J455" s="2">
        <v>0.24</v>
      </c>
      <c r="K455" s="4">
        <v>0.21210000000000001</v>
      </c>
      <c r="L455" s="4">
        <v>0.65</v>
      </c>
      <c r="M455" s="4">
        <v>0.28360000000000002</v>
      </c>
      <c r="N455" s="4">
        <v>56</v>
      </c>
      <c r="O455" s="2">
        <v>56</v>
      </c>
      <c r="P455" s="2" t="str">
        <f t="shared" si="7"/>
        <v>Thursday</v>
      </c>
      <c r="Q455" s="2" t="str">
        <f>IF(Table1[[#This Row],[temp]]&gt;=0.24,"cold","colder")</f>
        <v>cold</v>
      </c>
      <c r="R455" s="4">
        <v>0</v>
      </c>
      <c r="S455" s="16" t="str" cm="1">
        <f t="array" ref="S455">_xlfn.IFS(Table1[[#This Row],[weathersit]]=1,"clear sky",Table1[[#This Row],[weathersit]]=2,"mist",Table1[[#This Row],[weathersit]]=3,"partially dark",Table1[[#This Row],[weathersit]]=4,"rain")</f>
        <v>mist</v>
      </c>
    </row>
    <row r="456" spans="1:19" ht="15" customHeight="1" x14ac:dyDescent="0.3">
      <c r="A456" s="2">
        <v>455</v>
      </c>
      <c r="B456" s="3">
        <v>40998</v>
      </c>
      <c r="C456" s="2">
        <v>1</v>
      </c>
      <c r="D456" s="2">
        <v>0</v>
      </c>
      <c r="E456" s="2">
        <v>1</v>
      </c>
      <c r="F456" s="2">
        <v>23</v>
      </c>
      <c r="G456" s="2" t="b">
        <v>0</v>
      </c>
      <c r="H456" s="2">
        <v>4</v>
      </c>
      <c r="I456" s="2">
        <v>2</v>
      </c>
      <c r="J456" s="2">
        <v>0.24</v>
      </c>
      <c r="K456" s="4">
        <v>0.21210000000000001</v>
      </c>
      <c r="L456" s="4">
        <v>0.65</v>
      </c>
      <c r="M456" s="4">
        <v>0.32840000000000003</v>
      </c>
      <c r="N456" s="4">
        <v>28</v>
      </c>
      <c r="O456" s="2">
        <v>31</v>
      </c>
      <c r="P456" s="2" t="str">
        <f t="shared" si="7"/>
        <v>Friday</v>
      </c>
      <c r="Q456" s="2" t="str">
        <f>IF(Table1[[#This Row],[temp]]&gt;=0.24,"cold","colder")</f>
        <v>cold</v>
      </c>
      <c r="R456" s="4">
        <v>3</v>
      </c>
      <c r="S456" s="16" t="str" cm="1">
        <f t="array" ref="S456">_xlfn.IFS(Table1[[#This Row],[weathersit]]=1,"clear sky",Table1[[#This Row],[weathersit]]=2,"mist",Table1[[#This Row],[weathersit]]=3,"partially dark",Table1[[#This Row],[weathersit]]=4,"rain")</f>
        <v>mist</v>
      </c>
    </row>
    <row r="457" spans="1:19" ht="15" customHeight="1" x14ac:dyDescent="0.3">
      <c r="A457" s="2">
        <v>456</v>
      </c>
      <c r="B457" s="3">
        <v>40999</v>
      </c>
      <c r="C457" s="2">
        <v>1</v>
      </c>
      <c r="D457" s="2">
        <v>0</v>
      </c>
      <c r="E457" s="2">
        <v>1</v>
      </c>
      <c r="F457" s="2">
        <v>0</v>
      </c>
      <c r="G457" s="2" t="b">
        <v>0</v>
      </c>
      <c r="H457" s="2">
        <v>5</v>
      </c>
      <c r="I457" s="2">
        <v>2</v>
      </c>
      <c r="J457" s="2">
        <v>0.24</v>
      </c>
      <c r="K457" s="4">
        <v>0.2273</v>
      </c>
      <c r="L457" s="4">
        <v>0.7</v>
      </c>
      <c r="M457" s="4">
        <v>0.25369999999999998</v>
      </c>
      <c r="N457" s="4">
        <v>20</v>
      </c>
      <c r="O457" s="2">
        <v>21</v>
      </c>
      <c r="P457" s="2" t="str">
        <f t="shared" si="7"/>
        <v>Saturday</v>
      </c>
      <c r="Q457" s="2" t="str">
        <f>IF(Table1[[#This Row],[temp]]&gt;=0.24,"cold","colder")</f>
        <v>cold</v>
      </c>
      <c r="R457" s="4">
        <v>1</v>
      </c>
      <c r="S457" s="16" t="str" cm="1">
        <f t="array" ref="S457">_xlfn.IFS(Table1[[#This Row],[weathersit]]=1,"clear sky",Table1[[#This Row],[weathersit]]=2,"mist",Table1[[#This Row],[weathersit]]=3,"partially dark",Table1[[#This Row],[weathersit]]=4,"rain")</f>
        <v>mist</v>
      </c>
    </row>
    <row r="458" spans="1:19" ht="15" customHeight="1" x14ac:dyDescent="0.3">
      <c r="A458" s="2">
        <v>457</v>
      </c>
      <c r="B458" s="3">
        <v>41000</v>
      </c>
      <c r="C458" s="2">
        <v>1</v>
      </c>
      <c r="D458" s="2">
        <v>0</v>
      </c>
      <c r="E458" s="2">
        <v>1</v>
      </c>
      <c r="F458" s="2">
        <v>1</v>
      </c>
      <c r="G458" s="2" t="b">
        <v>0</v>
      </c>
      <c r="H458" s="2">
        <v>5</v>
      </c>
      <c r="I458" s="2">
        <v>2</v>
      </c>
      <c r="J458" s="2">
        <v>0.24</v>
      </c>
      <c r="K458" s="4">
        <v>0.2273</v>
      </c>
      <c r="L458" s="4">
        <v>0.7</v>
      </c>
      <c r="M458" s="4">
        <v>0.25369999999999998</v>
      </c>
      <c r="N458" s="4">
        <v>6</v>
      </c>
      <c r="O458" s="2">
        <v>6</v>
      </c>
      <c r="P458" s="2" t="str">
        <f t="shared" si="7"/>
        <v>Sunday</v>
      </c>
      <c r="Q458" s="2" t="str">
        <f>IF(Table1[[#This Row],[temp]]&gt;=0.24,"cold","colder")</f>
        <v>cold</v>
      </c>
      <c r="R458" s="4">
        <v>0</v>
      </c>
      <c r="S458" s="16" t="str" cm="1">
        <f t="array" ref="S458">_xlfn.IFS(Table1[[#This Row],[weathersit]]=1,"clear sky",Table1[[#This Row],[weathersit]]=2,"mist",Table1[[#This Row],[weathersit]]=3,"partially dark",Table1[[#This Row],[weathersit]]=4,"rain")</f>
        <v>mist</v>
      </c>
    </row>
    <row r="459" spans="1:19" ht="15" customHeight="1" x14ac:dyDescent="0.3">
      <c r="A459" s="2">
        <v>458</v>
      </c>
      <c r="B459" s="3">
        <v>41001</v>
      </c>
      <c r="C459" s="2">
        <v>1</v>
      </c>
      <c r="D459" s="2">
        <v>0</v>
      </c>
      <c r="E459" s="2">
        <v>1</v>
      </c>
      <c r="F459" s="2">
        <v>2</v>
      </c>
      <c r="G459" s="2" t="b">
        <v>0</v>
      </c>
      <c r="H459" s="2">
        <v>5</v>
      </c>
      <c r="I459" s="2">
        <v>3</v>
      </c>
      <c r="J459" s="2">
        <v>0.24</v>
      </c>
      <c r="K459" s="4">
        <v>0.2424</v>
      </c>
      <c r="L459" s="4">
        <v>0.75</v>
      </c>
      <c r="M459" s="4">
        <v>0.16420000000000001</v>
      </c>
      <c r="N459" s="4">
        <v>2</v>
      </c>
      <c r="O459" s="2">
        <v>2</v>
      </c>
      <c r="P459" s="2" t="str">
        <f t="shared" si="7"/>
        <v>Monday</v>
      </c>
      <c r="Q459" s="2" t="str">
        <f>IF(Table1[[#This Row],[temp]]&gt;=0.24,"cold","colder")</f>
        <v>cold</v>
      </c>
      <c r="R459" s="4">
        <v>0</v>
      </c>
      <c r="S459" s="16" t="str" cm="1">
        <f t="array" ref="S459">_xlfn.IFS(Table1[[#This Row],[weathersit]]=1,"clear sky",Table1[[#This Row],[weathersit]]=2,"mist",Table1[[#This Row],[weathersit]]=3,"partially dark",Table1[[#This Row],[weathersit]]=4,"rain")</f>
        <v>partially dark</v>
      </c>
    </row>
    <row r="460" spans="1:19" ht="15" customHeight="1" x14ac:dyDescent="0.3">
      <c r="A460" s="2">
        <v>459</v>
      </c>
      <c r="B460" s="3">
        <v>41002</v>
      </c>
      <c r="C460" s="2">
        <v>1</v>
      </c>
      <c r="D460" s="2">
        <v>0</v>
      </c>
      <c r="E460" s="2">
        <v>1</v>
      </c>
      <c r="F460" s="2">
        <v>3</v>
      </c>
      <c r="G460" s="2" t="b">
        <v>0</v>
      </c>
      <c r="H460" s="2">
        <v>5</v>
      </c>
      <c r="I460" s="2">
        <v>3</v>
      </c>
      <c r="J460" s="2">
        <v>0.22</v>
      </c>
      <c r="K460" s="4">
        <v>0.21210000000000001</v>
      </c>
      <c r="L460" s="4">
        <v>0.8</v>
      </c>
      <c r="M460" s="4">
        <v>0.29849999999999999</v>
      </c>
      <c r="N460" s="4">
        <v>1</v>
      </c>
      <c r="O460" s="2">
        <v>1</v>
      </c>
      <c r="P460" s="2" t="str">
        <f t="shared" si="7"/>
        <v>Tuesday</v>
      </c>
      <c r="Q460" s="2" t="str">
        <f>IF(Table1[[#This Row],[temp]]&gt;=0.24,"cold","colder")</f>
        <v>colder</v>
      </c>
      <c r="R460" s="4">
        <v>0</v>
      </c>
      <c r="S460" s="16" t="str" cm="1">
        <f t="array" ref="S460">_xlfn.IFS(Table1[[#This Row],[weathersit]]=1,"clear sky",Table1[[#This Row],[weathersit]]=2,"mist",Table1[[#This Row],[weathersit]]=3,"partially dark",Table1[[#This Row],[weathersit]]=4,"rain")</f>
        <v>partially dark</v>
      </c>
    </row>
    <row r="461" spans="1:19" ht="15" customHeight="1" x14ac:dyDescent="0.3">
      <c r="A461" s="2">
        <v>460</v>
      </c>
      <c r="B461" s="3">
        <v>41003</v>
      </c>
      <c r="C461" s="2">
        <v>1</v>
      </c>
      <c r="D461" s="2">
        <v>0</v>
      </c>
      <c r="E461" s="2">
        <v>1</v>
      </c>
      <c r="F461" s="2">
        <v>4</v>
      </c>
      <c r="G461" s="2" t="b">
        <v>0</v>
      </c>
      <c r="H461" s="2">
        <v>5</v>
      </c>
      <c r="I461" s="2">
        <v>2</v>
      </c>
      <c r="J461" s="2">
        <v>0.22</v>
      </c>
      <c r="K461" s="4">
        <v>0.2576</v>
      </c>
      <c r="L461" s="4">
        <v>0.87</v>
      </c>
      <c r="M461" s="4">
        <v>8.9599999999999999E-2</v>
      </c>
      <c r="N461" s="4">
        <v>1</v>
      </c>
      <c r="O461" s="2">
        <v>1</v>
      </c>
      <c r="P461" s="2" t="str">
        <f t="shared" si="7"/>
        <v>Wednesday</v>
      </c>
      <c r="Q461" s="2" t="str">
        <f>IF(Table1[[#This Row],[temp]]&gt;=0.24,"cold","colder")</f>
        <v>colder</v>
      </c>
      <c r="R461" s="4">
        <v>0</v>
      </c>
      <c r="S461" s="16" t="str" cm="1">
        <f t="array" ref="S461">_xlfn.IFS(Table1[[#This Row],[weathersit]]=1,"clear sky",Table1[[#This Row],[weathersit]]=2,"mist",Table1[[#This Row],[weathersit]]=3,"partially dark",Table1[[#This Row],[weathersit]]=4,"rain")</f>
        <v>mist</v>
      </c>
    </row>
    <row r="462" spans="1:19" ht="15" customHeight="1" x14ac:dyDescent="0.3">
      <c r="A462" s="2">
        <v>461</v>
      </c>
      <c r="B462" s="3">
        <v>41004</v>
      </c>
      <c r="C462" s="2">
        <v>1</v>
      </c>
      <c r="D462" s="2">
        <v>0</v>
      </c>
      <c r="E462" s="2">
        <v>1</v>
      </c>
      <c r="F462" s="2">
        <v>5</v>
      </c>
      <c r="G462" s="2" t="b">
        <v>0</v>
      </c>
      <c r="H462" s="2">
        <v>5</v>
      </c>
      <c r="I462" s="2">
        <v>1</v>
      </c>
      <c r="J462" s="2">
        <v>0.24</v>
      </c>
      <c r="K462" s="4">
        <v>0.19700000000000001</v>
      </c>
      <c r="L462" s="4">
        <v>0.6</v>
      </c>
      <c r="M462" s="4">
        <v>0.41789999999999999</v>
      </c>
      <c r="N462" s="4">
        <v>4</v>
      </c>
      <c r="O462" s="2">
        <v>5</v>
      </c>
      <c r="P462" s="2" t="str">
        <f t="shared" si="7"/>
        <v>Thursday</v>
      </c>
      <c r="Q462" s="2" t="str">
        <f>IF(Table1[[#This Row],[temp]]&gt;=0.24,"cold","colder")</f>
        <v>cold</v>
      </c>
      <c r="R462" s="4">
        <v>1</v>
      </c>
      <c r="S462" s="16" t="str" cm="1">
        <f t="array" ref="S462">_xlfn.IFS(Table1[[#This Row],[weathersit]]=1,"clear sky",Table1[[#This Row],[weathersit]]=2,"mist",Table1[[#This Row],[weathersit]]=3,"partially dark",Table1[[#This Row],[weathersit]]=4,"rain")</f>
        <v>clear sky</v>
      </c>
    </row>
    <row r="463" spans="1:19" ht="15" customHeight="1" x14ac:dyDescent="0.3">
      <c r="A463" s="2">
        <v>462</v>
      </c>
      <c r="B463" s="3">
        <v>41005</v>
      </c>
      <c r="C463" s="2">
        <v>1</v>
      </c>
      <c r="D463" s="2">
        <v>0</v>
      </c>
      <c r="E463" s="2">
        <v>1</v>
      </c>
      <c r="F463" s="2">
        <v>6</v>
      </c>
      <c r="G463" s="2" t="b">
        <v>0</v>
      </c>
      <c r="H463" s="2">
        <v>5</v>
      </c>
      <c r="I463" s="2">
        <v>1</v>
      </c>
      <c r="J463" s="2">
        <v>0.22</v>
      </c>
      <c r="K463" s="4">
        <v>0.21210000000000001</v>
      </c>
      <c r="L463" s="4">
        <v>0.55000000000000004</v>
      </c>
      <c r="M463" s="4">
        <v>0.25369999999999998</v>
      </c>
      <c r="N463" s="4">
        <v>27</v>
      </c>
      <c r="O463" s="2">
        <v>27</v>
      </c>
      <c r="P463" s="2" t="str">
        <f t="shared" si="7"/>
        <v>Friday</v>
      </c>
      <c r="Q463" s="2" t="str">
        <f>IF(Table1[[#This Row],[temp]]&gt;=0.24,"cold","colder")</f>
        <v>colder</v>
      </c>
      <c r="R463" s="4">
        <v>0</v>
      </c>
      <c r="S463" s="16" t="str" cm="1">
        <f t="array" ref="S463">_xlfn.IFS(Table1[[#This Row],[weathersit]]=1,"clear sky",Table1[[#This Row],[weathersit]]=2,"mist",Table1[[#This Row],[weathersit]]=3,"partially dark",Table1[[#This Row],[weathersit]]=4,"rain")</f>
        <v>clear sky</v>
      </c>
    </row>
    <row r="464" spans="1:19" ht="15" customHeight="1" x14ac:dyDescent="0.3">
      <c r="A464" s="2">
        <v>463</v>
      </c>
      <c r="B464" s="3">
        <v>41006</v>
      </c>
      <c r="C464" s="2">
        <v>1</v>
      </c>
      <c r="D464" s="2">
        <v>0</v>
      </c>
      <c r="E464" s="2">
        <v>1</v>
      </c>
      <c r="F464" s="2">
        <v>7</v>
      </c>
      <c r="G464" s="2" t="b">
        <v>0</v>
      </c>
      <c r="H464" s="2">
        <v>5</v>
      </c>
      <c r="I464" s="2">
        <v>1</v>
      </c>
      <c r="J464" s="2">
        <v>0.2</v>
      </c>
      <c r="K464" s="4">
        <v>0.18179999999999999</v>
      </c>
      <c r="L464" s="4">
        <v>0.51</v>
      </c>
      <c r="M464" s="4">
        <v>0.28360000000000002</v>
      </c>
      <c r="N464" s="4">
        <v>66</v>
      </c>
      <c r="O464" s="2">
        <v>68</v>
      </c>
      <c r="P464" s="2" t="str">
        <f t="shared" si="7"/>
        <v>Saturday</v>
      </c>
      <c r="Q464" s="2" t="str">
        <f>IF(Table1[[#This Row],[temp]]&gt;=0.24,"cold","colder")</f>
        <v>colder</v>
      </c>
      <c r="R464" s="4">
        <v>2</v>
      </c>
      <c r="S464" s="16" t="str" cm="1">
        <f t="array" ref="S464">_xlfn.IFS(Table1[[#This Row],[weathersit]]=1,"clear sky",Table1[[#This Row],[weathersit]]=2,"mist",Table1[[#This Row],[weathersit]]=3,"partially dark",Table1[[#This Row],[weathersit]]=4,"rain")</f>
        <v>clear sky</v>
      </c>
    </row>
    <row r="465" spans="1:19" ht="15" customHeight="1" x14ac:dyDescent="0.3">
      <c r="A465" s="2">
        <v>464</v>
      </c>
      <c r="B465" s="3">
        <v>41007</v>
      </c>
      <c r="C465" s="2">
        <v>1</v>
      </c>
      <c r="D465" s="2">
        <v>0</v>
      </c>
      <c r="E465" s="2">
        <v>1</v>
      </c>
      <c r="F465" s="2">
        <v>8</v>
      </c>
      <c r="G465" s="2" t="b">
        <v>0</v>
      </c>
      <c r="H465" s="2">
        <v>5</v>
      </c>
      <c r="I465" s="2">
        <v>1</v>
      </c>
      <c r="J465" s="2">
        <v>0.2</v>
      </c>
      <c r="K465" s="4">
        <v>0.18179999999999999</v>
      </c>
      <c r="L465" s="4">
        <v>0.47</v>
      </c>
      <c r="M465" s="4">
        <v>0.32840000000000003</v>
      </c>
      <c r="N465" s="4">
        <v>210</v>
      </c>
      <c r="O465" s="2">
        <v>217</v>
      </c>
      <c r="P465" s="2" t="str">
        <f t="shared" si="7"/>
        <v>Sunday</v>
      </c>
      <c r="Q465" s="2" t="str">
        <f>IF(Table1[[#This Row],[temp]]&gt;=0.24,"cold","colder")</f>
        <v>colder</v>
      </c>
      <c r="R465" s="4">
        <v>7</v>
      </c>
      <c r="S465" s="16" t="str" cm="1">
        <f t="array" ref="S465">_xlfn.IFS(Table1[[#This Row],[weathersit]]=1,"clear sky",Table1[[#This Row],[weathersit]]=2,"mist",Table1[[#This Row],[weathersit]]=3,"partially dark",Table1[[#This Row],[weathersit]]=4,"rain")</f>
        <v>clear sky</v>
      </c>
    </row>
    <row r="466" spans="1:19" ht="15" customHeight="1" x14ac:dyDescent="0.3">
      <c r="A466" s="2">
        <v>465</v>
      </c>
      <c r="B466" s="3">
        <v>41008</v>
      </c>
      <c r="C466" s="2">
        <v>1</v>
      </c>
      <c r="D466" s="2">
        <v>0</v>
      </c>
      <c r="E466" s="2">
        <v>1</v>
      </c>
      <c r="F466" s="2">
        <v>9</v>
      </c>
      <c r="G466" s="2" t="b">
        <v>0</v>
      </c>
      <c r="H466" s="2">
        <v>5</v>
      </c>
      <c r="I466" s="2">
        <v>1</v>
      </c>
      <c r="J466" s="2">
        <v>0.2</v>
      </c>
      <c r="K466" s="4">
        <v>0.18179999999999999</v>
      </c>
      <c r="L466" s="4">
        <v>0.51</v>
      </c>
      <c r="M466" s="4">
        <v>0.35820000000000002</v>
      </c>
      <c r="N466" s="4">
        <v>159</v>
      </c>
      <c r="O466" s="2">
        <v>166</v>
      </c>
      <c r="P466" s="2" t="str">
        <f t="shared" si="7"/>
        <v>Monday</v>
      </c>
      <c r="Q466" s="2" t="str">
        <f>IF(Table1[[#This Row],[temp]]&gt;=0.24,"cold","colder")</f>
        <v>colder</v>
      </c>
      <c r="R466" s="4">
        <v>7</v>
      </c>
      <c r="S466" s="16" t="str" cm="1">
        <f t="array" ref="S466">_xlfn.IFS(Table1[[#This Row],[weathersit]]=1,"clear sky",Table1[[#This Row],[weathersit]]=2,"mist",Table1[[#This Row],[weathersit]]=3,"partially dark",Table1[[#This Row],[weathersit]]=4,"rain")</f>
        <v>clear sky</v>
      </c>
    </row>
    <row r="467" spans="1:19" ht="15" customHeight="1" x14ac:dyDescent="0.3">
      <c r="A467" s="2">
        <v>466</v>
      </c>
      <c r="B467" s="3">
        <v>41009</v>
      </c>
      <c r="C467" s="2">
        <v>1</v>
      </c>
      <c r="D467" s="2">
        <v>0</v>
      </c>
      <c r="E467" s="2">
        <v>1</v>
      </c>
      <c r="F467" s="2">
        <v>10</v>
      </c>
      <c r="G467" s="2" t="b">
        <v>0</v>
      </c>
      <c r="H467" s="2">
        <v>5</v>
      </c>
      <c r="I467" s="2">
        <v>1</v>
      </c>
      <c r="J467" s="2">
        <v>0.2</v>
      </c>
      <c r="K467" s="4">
        <v>0.16669999999999999</v>
      </c>
      <c r="L467" s="4">
        <v>0.47</v>
      </c>
      <c r="M467" s="4">
        <v>0.4627</v>
      </c>
      <c r="N467" s="4">
        <v>57</v>
      </c>
      <c r="O467" s="2">
        <v>63</v>
      </c>
      <c r="P467" s="2" t="str">
        <f t="shared" si="7"/>
        <v>Tuesday</v>
      </c>
      <c r="Q467" s="2" t="str">
        <f>IF(Table1[[#This Row],[temp]]&gt;=0.24,"cold","colder")</f>
        <v>colder</v>
      </c>
      <c r="R467" s="4">
        <v>6</v>
      </c>
      <c r="S467" s="16" t="str" cm="1">
        <f t="array" ref="S467">_xlfn.IFS(Table1[[#This Row],[weathersit]]=1,"clear sky",Table1[[#This Row],[weathersit]]=2,"mist",Table1[[#This Row],[weathersit]]=3,"partially dark",Table1[[#This Row],[weathersit]]=4,"rain")</f>
        <v>clear sky</v>
      </c>
    </row>
    <row r="468" spans="1:19" ht="15" customHeight="1" x14ac:dyDescent="0.3">
      <c r="A468" s="2">
        <v>467</v>
      </c>
      <c r="B468" s="3">
        <v>41010</v>
      </c>
      <c r="C468" s="2">
        <v>1</v>
      </c>
      <c r="D468" s="2">
        <v>0</v>
      </c>
      <c r="E468" s="2">
        <v>1</v>
      </c>
      <c r="F468" s="2">
        <v>11</v>
      </c>
      <c r="G468" s="2" t="b">
        <v>0</v>
      </c>
      <c r="H468" s="2">
        <v>5</v>
      </c>
      <c r="I468" s="2">
        <v>1</v>
      </c>
      <c r="J468" s="2">
        <v>0.22</v>
      </c>
      <c r="K468" s="4">
        <v>0.18179999999999999</v>
      </c>
      <c r="L468" s="4">
        <v>0.41</v>
      </c>
      <c r="M468" s="4">
        <v>0.4627</v>
      </c>
      <c r="N468" s="4">
        <v>53</v>
      </c>
      <c r="O468" s="2">
        <v>59</v>
      </c>
      <c r="P468" s="2" t="str">
        <f t="shared" si="7"/>
        <v>Wednesday</v>
      </c>
      <c r="Q468" s="2" t="str">
        <f>IF(Table1[[#This Row],[temp]]&gt;=0.24,"cold","colder")</f>
        <v>colder</v>
      </c>
      <c r="R468" s="4">
        <v>6</v>
      </c>
      <c r="S468" s="16" t="str" cm="1">
        <f t="array" ref="S468">_xlfn.IFS(Table1[[#This Row],[weathersit]]=1,"clear sky",Table1[[#This Row],[weathersit]]=2,"mist",Table1[[#This Row],[weathersit]]=3,"partially dark",Table1[[#This Row],[weathersit]]=4,"rain")</f>
        <v>clear sky</v>
      </c>
    </row>
    <row r="469" spans="1:19" ht="15" customHeight="1" x14ac:dyDescent="0.3">
      <c r="A469" s="2">
        <v>468</v>
      </c>
      <c r="B469" s="3">
        <v>41011</v>
      </c>
      <c r="C469" s="2">
        <v>1</v>
      </c>
      <c r="D469" s="2">
        <v>0</v>
      </c>
      <c r="E469" s="2">
        <v>1</v>
      </c>
      <c r="F469" s="2">
        <v>12</v>
      </c>
      <c r="G469" s="2" t="b">
        <v>0</v>
      </c>
      <c r="H469" s="2">
        <v>5</v>
      </c>
      <c r="I469" s="2">
        <v>1</v>
      </c>
      <c r="J469" s="2">
        <v>0.22</v>
      </c>
      <c r="K469" s="4">
        <v>0.18179999999999999</v>
      </c>
      <c r="L469" s="4">
        <v>0.27</v>
      </c>
      <c r="M469" s="4">
        <v>0.58209999999999995</v>
      </c>
      <c r="N469" s="4">
        <v>67</v>
      </c>
      <c r="O469" s="2">
        <v>78</v>
      </c>
      <c r="P469" s="2" t="str">
        <f t="shared" si="7"/>
        <v>Thursday</v>
      </c>
      <c r="Q469" s="2" t="str">
        <f>IF(Table1[[#This Row],[temp]]&gt;=0.24,"cold","colder")</f>
        <v>colder</v>
      </c>
      <c r="R469" s="4">
        <v>11</v>
      </c>
      <c r="S469" s="16" t="str" cm="1">
        <f t="array" ref="S469">_xlfn.IFS(Table1[[#This Row],[weathersit]]=1,"clear sky",Table1[[#This Row],[weathersit]]=2,"mist",Table1[[#This Row],[weathersit]]=3,"partially dark",Table1[[#This Row],[weathersit]]=4,"rain")</f>
        <v>clear sky</v>
      </c>
    </row>
    <row r="470" spans="1:19" ht="15" customHeight="1" x14ac:dyDescent="0.3">
      <c r="A470" s="2">
        <v>469</v>
      </c>
      <c r="B470" s="3">
        <v>41012</v>
      </c>
      <c r="C470" s="2">
        <v>1</v>
      </c>
      <c r="D470" s="2">
        <v>0</v>
      </c>
      <c r="E470" s="2">
        <v>1</v>
      </c>
      <c r="F470" s="2">
        <v>13</v>
      </c>
      <c r="G470" s="2" t="b">
        <v>0</v>
      </c>
      <c r="H470" s="2">
        <v>5</v>
      </c>
      <c r="I470" s="2">
        <v>1</v>
      </c>
      <c r="J470" s="2">
        <v>0.2</v>
      </c>
      <c r="K470" s="4">
        <v>0.1515</v>
      </c>
      <c r="L470" s="4">
        <v>0.21</v>
      </c>
      <c r="M470" s="4">
        <v>0.58209999999999995</v>
      </c>
      <c r="N470" s="4">
        <v>65</v>
      </c>
      <c r="O470" s="2">
        <v>73</v>
      </c>
      <c r="P470" s="2" t="str">
        <f t="shared" si="7"/>
        <v>Friday</v>
      </c>
      <c r="Q470" s="2" t="str">
        <f>IF(Table1[[#This Row],[temp]]&gt;=0.24,"cold","colder")</f>
        <v>colder</v>
      </c>
      <c r="R470" s="4">
        <v>8</v>
      </c>
      <c r="S470" s="16" t="str" cm="1">
        <f t="array" ref="S470">_xlfn.IFS(Table1[[#This Row],[weathersit]]=1,"clear sky",Table1[[#This Row],[weathersit]]=2,"mist",Table1[[#This Row],[weathersit]]=3,"partially dark",Table1[[#This Row],[weathersit]]=4,"rain")</f>
        <v>clear sky</v>
      </c>
    </row>
    <row r="471" spans="1:19" ht="15" customHeight="1" x14ac:dyDescent="0.3">
      <c r="A471" s="2">
        <v>470</v>
      </c>
      <c r="B471" s="3">
        <v>41013</v>
      </c>
      <c r="C471" s="2">
        <v>1</v>
      </c>
      <c r="D471" s="2">
        <v>0</v>
      </c>
      <c r="E471" s="2">
        <v>1</v>
      </c>
      <c r="F471" s="2">
        <v>14</v>
      </c>
      <c r="G471" s="2" t="b">
        <v>0</v>
      </c>
      <c r="H471" s="2">
        <v>5</v>
      </c>
      <c r="I471" s="2">
        <v>1</v>
      </c>
      <c r="J471" s="2">
        <v>0.2</v>
      </c>
      <c r="K471" s="4">
        <v>0.1515</v>
      </c>
      <c r="L471" s="4">
        <v>0.25</v>
      </c>
      <c r="M471" s="4">
        <v>0.52239999999999998</v>
      </c>
      <c r="N471" s="4">
        <v>56</v>
      </c>
      <c r="O471" s="2">
        <v>62</v>
      </c>
      <c r="P471" s="2" t="str">
        <f t="shared" si="7"/>
        <v>Saturday</v>
      </c>
      <c r="Q471" s="2" t="str">
        <f>IF(Table1[[#This Row],[temp]]&gt;=0.24,"cold","colder")</f>
        <v>colder</v>
      </c>
      <c r="R471" s="4">
        <v>6</v>
      </c>
      <c r="S471" s="16" t="str" cm="1">
        <f t="array" ref="S471">_xlfn.IFS(Table1[[#This Row],[weathersit]]=1,"clear sky",Table1[[#This Row],[weathersit]]=2,"mist",Table1[[#This Row],[weathersit]]=3,"partially dark",Table1[[#This Row],[weathersit]]=4,"rain")</f>
        <v>clear sky</v>
      </c>
    </row>
    <row r="472" spans="1:19" ht="15" customHeight="1" x14ac:dyDescent="0.3">
      <c r="A472" s="2">
        <v>471</v>
      </c>
      <c r="B472" s="3">
        <v>41014</v>
      </c>
      <c r="C472" s="2">
        <v>1</v>
      </c>
      <c r="D472" s="2">
        <v>0</v>
      </c>
      <c r="E472" s="2">
        <v>1</v>
      </c>
      <c r="F472" s="2">
        <v>15</v>
      </c>
      <c r="G472" s="2" t="b">
        <v>0</v>
      </c>
      <c r="H472" s="2">
        <v>5</v>
      </c>
      <c r="I472" s="2">
        <v>1</v>
      </c>
      <c r="J472" s="2">
        <v>0.16</v>
      </c>
      <c r="K472" s="4">
        <v>0.1212</v>
      </c>
      <c r="L472" s="4">
        <v>0.26</v>
      </c>
      <c r="M472" s="4">
        <v>0.44779999999999998</v>
      </c>
      <c r="N472" s="4">
        <v>61</v>
      </c>
      <c r="O472" s="2">
        <v>65</v>
      </c>
      <c r="P472" s="2" t="str">
        <f t="shared" si="7"/>
        <v>Sunday</v>
      </c>
      <c r="Q472" s="2" t="str">
        <f>IF(Table1[[#This Row],[temp]]&gt;=0.24,"cold","colder")</f>
        <v>colder</v>
      </c>
      <c r="R472" s="4">
        <v>4</v>
      </c>
      <c r="S472" s="16" t="str" cm="1">
        <f t="array" ref="S472">_xlfn.IFS(Table1[[#This Row],[weathersit]]=1,"clear sky",Table1[[#This Row],[weathersit]]=2,"mist",Table1[[#This Row],[weathersit]]=3,"partially dark",Table1[[#This Row],[weathersit]]=4,"rain")</f>
        <v>clear sky</v>
      </c>
    </row>
    <row r="473" spans="1:19" ht="15" customHeight="1" x14ac:dyDescent="0.3">
      <c r="A473" s="2">
        <v>472</v>
      </c>
      <c r="B473" s="3">
        <v>41015</v>
      </c>
      <c r="C473" s="2">
        <v>1</v>
      </c>
      <c r="D473" s="2">
        <v>0</v>
      </c>
      <c r="E473" s="2">
        <v>1</v>
      </c>
      <c r="F473" s="2">
        <v>16</v>
      </c>
      <c r="G473" s="2" t="b">
        <v>0</v>
      </c>
      <c r="H473" s="2">
        <v>5</v>
      </c>
      <c r="I473" s="2">
        <v>1</v>
      </c>
      <c r="J473" s="2">
        <v>0.16</v>
      </c>
      <c r="K473" s="4">
        <v>0.13639999999999999</v>
      </c>
      <c r="L473" s="4">
        <v>0.26</v>
      </c>
      <c r="M473" s="4">
        <v>0.35820000000000002</v>
      </c>
      <c r="N473" s="4">
        <v>97</v>
      </c>
      <c r="O473" s="2">
        <v>97</v>
      </c>
      <c r="P473" s="2" t="str">
        <f t="shared" si="7"/>
        <v>Monday</v>
      </c>
      <c r="Q473" s="2" t="str">
        <f>IF(Table1[[#This Row],[temp]]&gt;=0.24,"cold","colder")</f>
        <v>colder</v>
      </c>
      <c r="R473" s="4">
        <v>0</v>
      </c>
      <c r="S473" s="16" t="str" cm="1">
        <f t="array" ref="S473">_xlfn.IFS(Table1[[#This Row],[weathersit]]=1,"clear sky",Table1[[#This Row],[weathersit]]=2,"mist",Table1[[#This Row],[weathersit]]=3,"partially dark",Table1[[#This Row],[weathersit]]=4,"rain")</f>
        <v>clear sky</v>
      </c>
    </row>
    <row r="474" spans="1:19" ht="15" customHeight="1" x14ac:dyDescent="0.3">
      <c r="A474" s="2">
        <v>473</v>
      </c>
      <c r="B474" s="3">
        <v>41016</v>
      </c>
      <c r="C474" s="2">
        <v>1</v>
      </c>
      <c r="D474" s="2">
        <v>0</v>
      </c>
      <c r="E474" s="2">
        <v>1</v>
      </c>
      <c r="F474" s="2">
        <v>17</v>
      </c>
      <c r="G474" s="2" t="b">
        <v>0</v>
      </c>
      <c r="H474" s="2">
        <v>5</v>
      </c>
      <c r="I474" s="2">
        <v>1</v>
      </c>
      <c r="J474" s="2">
        <v>0.14000000000000001</v>
      </c>
      <c r="K474" s="4">
        <v>0.1212</v>
      </c>
      <c r="L474" s="4">
        <v>0.28000000000000003</v>
      </c>
      <c r="M474" s="4">
        <v>0.35820000000000002</v>
      </c>
      <c r="N474" s="4">
        <v>151</v>
      </c>
      <c r="O474" s="2">
        <v>161</v>
      </c>
      <c r="P474" s="2" t="str">
        <f t="shared" si="7"/>
        <v>Tuesday</v>
      </c>
      <c r="Q474" s="2" t="str">
        <f>IF(Table1[[#This Row],[temp]]&gt;=0.24,"cold","colder")</f>
        <v>colder</v>
      </c>
      <c r="R474" s="4">
        <v>10</v>
      </c>
      <c r="S474" s="16" t="str" cm="1">
        <f t="array" ref="S474">_xlfn.IFS(Table1[[#This Row],[weathersit]]=1,"clear sky",Table1[[#This Row],[weathersit]]=2,"mist",Table1[[#This Row],[weathersit]]=3,"partially dark",Table1[[#This Row],[weathersit]]=4,"rain")</f>
        <v>clear sky</v>
      </c>
    </row>
    <row r="475" spans="1:19" ht="15" customHeight="1" x14ac:dyDescent="0.3">
      <c r="A475" s="2">
        <v>474</v>
      </c>
      <c r="B475" s="3">
        <v>41017</v>
      </c>
      <c r="C475" s="2">
        <v>1</v>
      </c>
      <c r="D475" s="2">
        <v>0</v>
      </c>
      <c r="E475" s="2">
        <v>1</v>
      </c>
      <c r="F475" s="2">
        <v>18</v>
      </c>
      <c r="G475" s="2" t="b">
        <v>0</v>
      </c>
      <c r="H475" s="2">
        <v>5</v>
      </c>
      <c r="I475" s="2">
        <v>1</v>
      </c>
      <c r="J475" s="2">
        <v>0.12</v>
      </c>
      <c r="K475" s="4">
        <v>0.1212</v>
      </c>
      <c r="L475" s="4">
        <v>0.3</v>
      </c>
      <c r="M475" s="4">
        <v>0.25369999999999998</v>
      </c>
      <c r="N475" s="4">
        <v>119</v>
      </c>
      <c r="O475" s="2">
        <v>120</v>
      </c>
      <c r="P475" s="2" t="str">
        <f t="shared" si="7"/>
        <v>Wednesday</v>
      </c>
      <c r="Q475" s="2" t="str">
        <f>IF(Table1[[#This Row],[temp]]&gt;=0.24,"cold","colder")</f>
        <v>colder</v>
      </c>
      <c r="R475" s="4">
        <v>1</v>
      </c>
      <c r="S475" s="16" t="str" cm="1">
        <f t="array" ref="S475">_xlfn.IFS(Table1[[#This Row],[weathersit]]=1,"clear sky",Table1[[#This Row],[weathersit]]=2,"mist",Table1[[#This Row],[weathersit]]=3,"partially dark",Table1[[#This Row],[weathersit]]=4,"rain")</f>
        <v>clear sky</v>
      </c>
    </row>
    <row r="476" spans="1:19" ht="15" customHeight="1" x14ac:dyDescent="0.3">
      <c r="A476" s="2">
        <v>475</v>
      </c>
      <c r="B476" s="3">
        <v>41018</v>
      </c>
      <c r="C476" s="2">
        <v>1</v>
      </c>
      <c r="D476" s="2">
        <v>0</v>
      </c>
      <c r="E476" s="2">
        <v>1</v>
      </c>
      <c r="F476" s="2">
        <v>19</v>
      </c>
      <c r="G476" s="2" t="b">
        <v>0</v>
      </c>
      <c r="H476" s="2">
        <v>5</v>
      </c>
      <c r="I476" s="2">
        <v>1</v>
      </c>
      <c r="J476" s="2">
        <v>0.12</v>
      </c>
      <c r="K476" s="4">
        <v>0.1061</v>
      </c>
      <c r="L476" s="4">
        <v>0.3</v>
      </c>
      <c r="M476" s="4">
        <v>0.32840000000000003</v>
      </c>
      <c r="N476" s="4">
        <v>93</v>
      </c>
      <c r="O476" s="2">
        <v>96</v>
      </c>
      <c r="P476" s="2" t="str">
        <f t="shared" si="7"/>
        <v>Thursday</v>
      </c>
      <c r="Q476" s="2" t="str">
        <f>IF(Table1[[#This Row],[temp]]&gt;=0.24,"cold","colder")</f>
        <v>colder</v>
      </c>
      <c r="R476" s="4">
        <v>3</v>
      </c>
      <c r="S476" s="16" t="str" cm="1">
        <f t="array" ref="S476">_xlfn.IFS(Table1[[#This Row],[weathersit]]=1,"clear sky",Table1[[#This Row],[weathersit]]=2,"mist",Table1[[#This Row],[weathersit]]=3,"partially dark",Table1[[#This Row],[weathersit]]=4,"rain")</f>
        <v>clear sky</v>
      </c>
    </row>
    <row r="477" spans="1:19" ht="15" customHeight="1" x14ac:dyDescent="0.3">
      <c r="A477" s="2">
        <v>476</v>
      </c>
      <c r="B477" s="3">
        <v>41019</v>
      </c>
      <c r="C477" s="2">
        <v>1</v>
      </c>
      <c r="D477" s="2">
        <v>0</v>
      </c>
      <c r="E477" s="2">
        <v>1</v>
      </c>
      <c r="F477" s="2">
        <v>20</v>
      </c>
      <c r="G477" s="2" t="b">
        <v>0</v>
      </c>
      <c r="H477" s="2">
        <v>5</v>
      </c>
      <c r="I477" s="2">
        <v>1</v>
      </c>
      <c r="J477" s="2">
        <v>0.1</v>
      </c>
      <c r="K477" s="4">
        <v>7.5800000000000006E-2</v>
      </c>
      <c r="L477" s="4">
        <v>0.33</v>
      </c>
      <c r="M477" s="4">
        <v>0.41789999999999999</v>
      </c>
      <c r="N477" s="4">
        <v>52</v>
      </c>
      <c r="O477" s="2">
        <v>53</v>
      </c>
      <c r="P477" s="2" t="str">
        <f t="shared" si="7"/>
        <v>Friday</v>
      </c>
      <c r="Q477" s="2" t="str">
        <f>IF(Table1[[#This Row],[temp]]&gt;=0.24,"cold","colder")</f>
        <v>colder</v>
      </c>
      <c r="R477" s="4">
        <v>1</v>
      </c>
      <c r="S477" s="16" t="str" cm="1">
        <f t="array" ref="S477">_xlfn.IFS(Table1[[#This Row],[weathersit]]=1,"clear sky",Table1[[#This Row],[weathersit]]=2,"mist",Table1[[#This Row],[weathersit]]=3,"partially dark",Table1[[#This Row],[weathersit]]=4,"rain")</f>
        <v>clear sky</v>
      </c>
    </row>
    <row r="478" spans="1:19" ht="15" customHeight="1" x14ac:dyDescent="0.3">
      <c r="A478" s="2">
        <v>477</v>
      </c>
      <c r="B478" s="3">
        <v>41020</v>
      </c>
      <c r="C478" s="2">
        <v>1</v>
      </c>
      <c r="D478" s="2">
        <v>0</v>
      </c>
      <c r="E478" s="2">
        <v>1</v>
      </c>
      <c r="F478" s="2">
        <v>21</v>
      </c>
      <c r="G478" s="2" t="b">
        <v>0</v>
      </c>
      <c r="H478" s="2">
        <v>5</v>
      </c>
      <c r="I478" s="2">
        <v>1</v>
      </c>
      <c r="J478" s="2">
        <v>0.08</v>
      </c>
      <c r="K478" s="4">
        <v>7.5800000000000006E-2</v>
      </c>
      <c r="L478" s="4">
        <v>0.38</v>
      </c>
      <c r="M478" s="4">
        <v>0.28360000000000002</v>
      </c>
      <c r="N478" s="4">
        <v>41</v>
      </c>
      <c r="O478" s="2">
        <v>41</v>
      </c>
      <c r="P478" s="2" t="str">
        <f t="shared" si="7"/>
        <v>Saturday</v>
      </c>
      <c r="Q478" s="2" t="str">
        <f>IF(Table1[[#This Row],[temp]]&gt;=0.24,"cold","colder")</f>
        <v>colder</v>
      </c>
      <c r="R478" s="4">
        <v>0</v>
      </c>
      <c r="S478" s="16" t="str" cm="1">
        <f t="array" ref="S478">_xlfn.IFS(Table1[[#This Row],[weathersit]]=1,"clear sky",Table1[[#This Row],[weathersit]]=2,"mist",Table1[[#This Row],[weathersit]]=3,"partially dark",Table1[[#This Row],[weathersit]]=4,"rain")</f>
        <v>clear sky</v>
      </c>
    </row>
    <row r="479" spans="1:19" ht="15" customHeight="1" x14ac:dyDescent="0.3">
      <c r="A479" s="2">
        <v>478</v>
      </c>
      <c r="B479" s="3">
        <v>41021</v>
      </c>
      <c r="C479" s="2">
        <v>1</v>
      </c>
      <c r="D479" s="2">
        <v>0</v>
      </c>
      <c r="E479" s="2">
        <v>1</v>
      </c>
      <c r="F479" s="2">
        <v>22</v>
      </c>
      <c r="G479" s="2" t="b">
        <v>0</v>
      </c>
      <c r="H479" s="2">
        <v>5</v>
      </c>
      <c r="I479" s="2">
        <v>1</v>
      </c>
      <c r="J479" s="2">
        <v>0.06</v>
      </c>
      <c r="K479" s="4">
        <v>3.0300000000000001E-2</v>
      </c>
      <c r="L479" s="4">
        <v>0.41</v>
      </c>
      <c r="M479" s="4">
        <v>0.3881</v>
      </c>
      <c r="N479" s="4">
        <v>33</v>
      </c>
      <c r="O479" s="2">
        <v>34</v>
      </c>
      <c r="P479" s="2" t="str">
        <f t="shared" si="7"/>
        <v>Sunday</v>
      </c>
      <c r="Q479" s="2" t="str">
        <f>IF(Table1[[#This Row],[temp]]&gt;=0.24,"cold","colder")</f>
        <v>colder</v>
      </c>
      <c r="R479" s="4">
        <v>1</v>
      </c>
      <c r="S479" s="16" t="str" cm="1">
        <f t="array" ref="S479">_xlfn.IFS(Table1[[#This Row],[weathersit]]=1,"clear sky",Table1[[#This Row],[weathersit]]=2,"mist",Table1[[#This Row],[weathersit]]=3,"partially dark",Table1[[#This Row],[weathersit]]=4,"rain")</f>
        <v>clear sky</v>
      </c>
    </row>
    <row r="480" spans="1:19" ht="15" customHeight="1" x14ac:dyDescent="0.3">
      <c r="A480" s="2">
        <v>479</v>
      </c>
      <c r="B480" s="3">
        <v>41022</v>
      </c>
      <c r="C480" s="2">
        <v>1</v>
      </c>
      <c r="D480" s="2">
        <v>0</v>
      </c>
      <c r="E480" s="2">
        <v>1</v>
      </c>
      <c r="F480" s="2">
        <v>23</v>
      </c>
      <c r="G480" s="2" t="b">
        <v>0</v>
      </c>
      <c r="H480" s="2">
        <v>5</v>
      </c>
      <c r="I480" s="2">
        <v>1</v>
      </c>
      <c r="J480" s="2">
        <v>0.06</v>
      </c>
      <c r="K480" s="4">
        <v>4.5499999999999999E-2</v>
      </c>
      <c r="L480" s="4">
        <v>0.38</v>
      </c>
      <c r="M480" s="4">
        <v>0.32840000000000003</v>
      </c>
      <c r="N480" s="4">
        <v>27</v>
      </c>
      <c r="O480" s="2">
        <v>27</v>
      </c>
      <c r="P480" s="2" t="str">
        <f t="shared" si="7"/>
        <v>Monday</v>
      </c>
      <c r="Q480" s="2" t="str">
        <f>IF(Table1[[#This Row],[temp]]&gt;=0.24,"cold","colder")</f>
        <v>colder</v>
      </c>
      <c r="R480" s="4">
        <v>0</v>
      </c>
      <c r="S480" s="16" t="str" cm="1">
        <f t="array" ref="S480">_xlfn.IFS(Table1[[#This Row],[weathersit]]=1,"clear sky",Table1[[#This Row],[weathersit]]=2,"mist",Table1[[#This Row],[weathersit]]=3,"partially dark",Table1[[#This Row],[weathersit]]=4,"rain")</f>
        <v>clear sky</v>
      </c>
    </row>
    <row r="481" spans="1:19" ht="15" customHeight="1" x14ac:dyDescent="0.3">
      <c r="A481" s="2">
        <v>480</v>
      </c>
      <c r="B481" s="3">
        <v>41023</v>
      </c>
      <c r="C481" s="2">
        <v>1</v>
      </c>
      <c r="D481" s="2">
        <v>0</v>
      </c>
      <c r="E481" s="2">
        <v>1</v>
      </c>
      <c r="F481" s="2">
        <v>0</v>
      </c>
      <c r="G481" s="2" t="b">
        <v>0</v>
      </c>
      <c r="H481" s="2">
        <v>6</v>
      </c>
      <c r="I481" s="2">
        <v>1</v>
      </c>
      <c r="J481" s="2">
        <v>0.04</v>
      </c>
      <c r="K481" s="4">
        <v>3.0300000000000001E-2</v>
      </c>
      <c r="L481" s="4">
        <v>0.45</v>
      </c>
      <c r="M481" s="4">
        <v>0.25369999999999998</v>
      </c>
      <c r="N481" s="4">
        <v>13</v>
      </c>
      <c r="O481" s="2">
        <v>13</v>
      </c>
      <c r="P481" s="2" t="str">
        <f t="shared" si="7"/>
        <v>Tuesday</v>
      </c>
      <c r="Q481" s="2" t="str">
        <f>IF(Table1[[#This Row],[temp]]&gt;=0.24,"cold","colder")</f>
        <v>colder</v>
      </c>
      <c r="R481" s="4">
        <v>0</v>
      </c>
      <c r="S481" s="16" t="str" cm="1">
        <f t="array" ref="S481">_xlfn.IFS(Table1[[#This Row],[weathersit]]=1,"clear sky",Table1[[#This Row],[weathersit]]=2,"mist",Table1[[#This Row],[weathersit]]=3,"partially dark",Table1[[#This Row],[weathersit]]=4,"rain")</f>
        <v>clear sky</v>
      </c>
    </row>
    <row r="482" spans="1:19" ht="15" customHeight="1" x14ac:dyDescent="0.3">
      <c r="A482" s="2">
        <v>481</v>
      </c>
      <c r="B482" s="3">
        <v>41024</v>
      </c>
      <c r="C482" s="2">
        <v>1</v>
      </c>
      <c r="D482" s="2">
        <v>0</v>
      </c>
      <c r="E482" s="2">
        <v>1</v>
      </c>
      <c r="F482" s="2">
        <v>1</v>
      </c>
      <c r="G482" s="2" t="b">
        <v>0</v>
      </c>
      <c r="H482" s="2">
        <v>6</v>
      </c>
      <c r="I482" s="2">
        <v>2</v>
      </c>
      <c r="J482" s="2">
        <v>0.04</v>
      </c>
      <c r="K482" s="4">
        <v>0</v>
      </c>
      <c r="L482" s="4">
        <v>0.41</v>
      </c>
      <c r="M482" s="4">
        <v>0.3881</v>
      </c>
      <c r="N482" s="4">
        <v>9</v>
      </c>
      <c r="O482" s="2">
        <v>12</v>
      </c>
      <c r="P482" s="2" t="str">
        <f t="shared" si="7"/>
        <v>Wednesday</v>
      </c>
      <c r="Q482" s="2" t="str">
        <f>IF(Table1[[#This Row],[temp]]&gt;=0.24,"cold","colder")</f>
        <v>colder</v>
      </c>
      <c r="R482" s="4">
        <v>3</v>
      </c>
      <c r="S482" s="16" t="str" cm="1">
        <f t="array" ref="S482">_xlfn.IFS(Table1[[#This Row],[weathersit]]=1,"clear sky",Table1[[#This Row],[weathersit]]=2,"mist",Table1[[#This Row],[weathersit]]=3,"partially dark",Table1[[#This Row],[weathersit]]=4,"rain")</f>
        <v>mist</v>
      </c>
    </row>
    <row r="483" spans="1:19" ht="15" customHeight="1" x14ac:dyDescent="0.3">
      <c r="A483" s="2">
        <v>482</v>
      </c>
      <c r="B483" s="3">
        <v>41025</v>
      </c>
      <c r="C483" s="2">
        <v>1</v>
      </c>
      <c r="D483" s="2">
        <v>0</v>
      </c>
      <c r="E483" s="2">
        <v>1</v>
      </c>
      <c r="F483" s="2">
        <v>2</v>
      </c>
      <c r="G483" s="2" t="b">
        <v>0</v>
      </c>
      <c r="H483" s="2">
        <v>6</v>
      </c>
      <c r="I483" s="2">
        <v>2</v>
      </c>
      <c r="J483" s="2">
        <v>0.04</v>
      </c>
      <c r="K483" s="4">
        <v>3.0300000000000001E-2</v>
      </c>
      <c r="L483" s="4">
        <v>0.41</v>
      </c>
      <c r="M483" s="4">
        <v>0.25369999999999998</v>
      </c>
      <c r="N483" s="4">
        <v>11</v>
      </c>
      <c r="O483" s="2">
        <v>11</v>
      </c>
      <c r="P483" s="2" t="str">
        <f t="shared" si="7"/>
        <v>Thursday</v>
      </c>
      <c r="Q483" s="2" t="str">
        <f>IF(Table1[[#This Row],[temp]]&gt;=0.24,"cold","colder")</f>
        <v>colder</v>
      </c>
      <c r="R483" s="4">
        <v>0</v>
      </c>
      <c r="S483" s="16" t="str" cm="1">
        <f t="array" ref="S483">_xlfn.IFS(Table1[[#This Row],[weathersit]]=1,"clear sky",Table1[[#This Row],[weathersit]]=2,"mist",Table1[[#This Row],[weathersit]]=3,"partially dark",Table1[[#This Row],[weathersit]]=4,"rain")</f>
        <v>mist</v>
      </c>
    </row>
    <row r="484" spans="1:19" ht="15" customHeight="1" x14ac:dyDescent="0.3">
      <c r="A484" s="2">
        <v>483</v>
      </c>
      <c r="B484" s="3">
        <v>41026</v>
      </c>
      <c r="C484" s="2">
        <v>1</v>
      </c>
      <c r="D484" s="2">
        <v>0</v>
      </c>
      <c r="E484" s="2">
        <v>1</v>
      </c>
      <c r="F484" s="2">
        <v>3</v>
      </c>
      <c r="G484" s="2" t="b">
        <v>0</v>
      </c>
      <c r="H484" s="2">
        <v>6</v>
      </c>
      <c r="I484" s="2">
        <v>2</v>
      </c>
      <c r="J484" s="2">
        <v>0.04</v>
      </c>
      <c r="K484" s="4">
        <v>3.0300000000000001E-2</v>
      </c>
      <c r="L484" s="4">
        <v>0.41</v>
      </c>
      <c r="M484" s="4">
        <v>0.28360000000000002</v>
      </c>
      <c r="N484" s="4">
        <v>6</v>
      </c>
      <c r="O484" s="2">
        <v>7</v>
      </c>
      <c r="P484" s="2" t="str">
        <f t="shared" si="7"/>
        <v>Friday</v>
      </c>
      <c r="Q484" s="2" t="str">
        <f>IF(Table1[[#This Row],[temp]]&gt;=0.24,"cold","colder")</f>
        <v>colder</v>
      </c>
      <c r="R484" s="4">
        <v>1</v>
      </c>
      <c r="S484" s="16" t="str" cm="1">
        <f t="array" ref="S484">_xlfn.IFS(Table1[[#This Row],[weathersit]]=1,"clear sky",Table1[[#This Row],[weathersit]]=2,"mist",Table1[[#This Row],[weathersit]]=3,"partially dark",Table1[[#This Row],[weathersit]]=4,"rain")</f>
        <v>mist</v>
      </c>
    </row>
    <row r="485" spans="1:19" ht="15" customHeight="1" x14ac:dyDescent="0.3">
      <c r="A485" s="2">
        <v>484</v>
      </c>
      <c r="B485" s="3">
        <v>41027</v>
      </c>
      <c r="C485" s="2">
        <v>1</v>
      </c>
      <c r="D485" s="2">
        <v>0</v>
      </c>
      <c r="E485" s="2">
        <v>1</v>
      </c>
      <c r="F485" s="2">
        <v>4</v>
      </c>
      <c r="G485" s="2" t="b">
        <v>0</v>
      </c>
      <c r="H485" s="2">
        <v>6</v>
      </c>
      <c r="I485" s="2">
        <v>2</v>
      </c>
      <c r="J485" s="2">
        <v>0.02</v>
      </c>
      <c r="K485" s="4">
        <v>1.52E-2</v>
      </c>
      <c r="L485" s="4">
        <v>0.48</v>
      </c>
      <c r="M485" s="4">
        <v>0.29849999999999999</v>
      </c>
      <c r="N485" s="4">
        <v>3</v>
      </c>
      <c r="O485" s="2">
        <v>3</v>
      </c>
      <c r="P485" s="2" t="str">
        <f t="shared" si="7"/>
        <v>Saturday</v>
      </c>
      <c r="Q485" s="2" t="str">
        <f>IF(Table1[[#This Row],[temp]]&gt;=0.24,"cold","colder")</f>
        <v>colder</v>
      </c>
      <c r="R485" s="4">
        <v>0</v>
      </c>
      <c r="S485" s="16" t="str" cm="1">
        <f t="array" ref="S485">_xlfn.IFS(Table1[[#This Row],[weathersit]]=1,"clear sky",Table1[[#This Row],[weathersit]]=2,"mist",Table1[[#This Row],[weathersit]]=3,"partially dark",Table1[[#This Row],[weathersit]]=4,"rain")</f>
        <v>mist</v>
      </c>
    </row>
    <row r="486" spans="1:19" ht="15" customHeight="1" x14ac:dyDescent="0.3">
      <c r="A486" s="2">
        <v>485</v>
      </c>
      <c r="B486" s="3">
        <v>41028</v>
      </c>
      <c r="C486" s="2">
        <v>1</v>
      </c>
      <c r="D486" s="2">
        <v>0</v>
      </c>
      <c r="E486" s="2">
        <v>1</v>
      </c>
      <c r="F486" s="2">
        <v>6</v>
      </c>
      <c r="G486" s="2" t="b">
        <v>0</v>
      </c>
      <c r="H486" s="2">
        <v>6</v>
      </c>
      <c r="I486" s="2">
        <v>2</v>
      </c>
      <c r="J486" s="2">
        <v>0.02</v>
      </c>
      <c r="K486" s="4">
        <v>3.0300000000000001E-2</v>
      </c>
      <c r="L486" s="4">
        <v>0.44</v>
      </c>
      <c r="M486" s="4">
        <v>0.22389999999999999</v>
      </c>
      <c r="N486" s="4">
        <v>2</v>
      </c>
      <c r="O486" s="2">
        <v>2</v>
      </c>
      <c r="P486" s="2" t="str">
        <f t="shared" si="7"/>
        <v>Sunday</v>
      </c>
      <c r="Q486" s="2" t="str">
        <f>IF(Table1[[#This Row],[temp]]&gt;=0.24,"cold","colder")</f>
        <v>colder</v>
      </c>
      <c r="R486" s="4">
        <v>0</v>
      </c>
      <c r="S486" s="16" t="str" cm="1">
        <f t="array" ref="S486">_xlfn.IFS(Table1[[#This Row],[weathersit]]=1,"clear sky",Table1[[#This Row],[weathersit]]=2,"mist",Table1[[#This Row],[weathersit]]=3,"partially dark",Table1[[#This Row],[weathersit]]=4,"rain")</f>
        <v>mist</v>
      </c>
    </row>
    <row r="487" spans="1:19" ht="15" customHeight="1" x14ac:dyDescent="0.3">
      <c r="A487" s="2">
        <v>486</v>
      </c>
      <c r="B487" s="3">
        <v>41029</v>
      </c>
      <c r="C487" s="2">
        <v>1</v>
      </c>
      <c r="D487" s="2">
        <v>0</v>
      </c>
      <c r="E487" s="2">
        <v>1</v>
      </c>
      <c r="F487" s="2">
        <v>7</v>
      </c>
      <c r="G487" s="2" t="b">
        <v>0</v>
      </c>
      <c r="H487" s="2">
        <v>6</v>
      </c>
      <c r="I487" s="2">
        <v>1</v>
      </c>
      <c r="J487" s="2">
        <v>0.02</v>
      </c>
      <c r="K487" s="4">
        <v>1.52E-2</v>
      </c>
      <c r="L487" s="4">
        <v>0.44</v>
      </c>
      <c r="M487" s="4">
        <v>0.28360000000000002</v>
      </c>
      <c r="N487" s="4">
        <v>8</v>
      </c>
      <c r="O487" s="2">
        <v>8</v>
      </c>
      <c r="P487" s="2" t="str">
        <f t="shared" si="7"/>
        <v>Monday</v>
      </c>
      <c r="Q487" s="2" t="str">
        <f>IF(Table1[[#This Row],[temp]]&gt;=0.24,"cold","colder")</f>
        <v>colder</v>
      </c>
      <c r="R487" s="4">
        <v>0</v>
      </c>
      <c r="S487" s="16" t="str" cm="1">
        <f t="array" ref="S487">_xlfn.IFS(Table1[[#This Row],[weathersit]]=1,"clear sky",Table1[[#This Row],[weathersit]]=2,"mist",Table1[[#This Row],[weathersit]]=3,"partially dark",Table1[[#This Row],[weathersit]]=4,"rain")</f>
        <v>clear sky</v>
      </c>
    </row>
    <row r="488" spans="1:19" ht="15" customHeight="1" x14ac:dyDescent="0.3">
      <c r="A488" s="2">
        <v>487</v>
      </c>
      <c r="B488" s="3">
        <v>41030</v>
      </c>
      <c r="C488" s="2">
        <v>1</v>
      </c>
      <c r="D488" s="2">
        <v>0</v>
      </c>
      <c r="E488" s="2">
        <v>1</v>
      </c>
      <c r="F488" s="2">
        <v>8</v>
      </c>
      <c r="G488" s="2" t="b">
        <v>0</v>
      </c>
      <c r="H488" s="2">
        <v>6</v>
      </c>
      <c r="I488" s="2">
        <v>1</v>
      </c>
      <c r="J488" s="2">
        <v>0.02</v>
      </c>
      <c r="K488" s="4">
        <v>0</v>
      </c>
      <c r="L488" s="4">
        <v>0.44</v>
      </c>
      <c r="M488" s="4">
        <v>0.32840000000000003</v>
      </c>
      <c r="N488" s="4">
        <v>26</v>
      </c>
      <c r="O488" s="2">
        <v>27</v>
      </c>
      <c r="P488" s="2" t="str">
        <f t="shared" si="7"/>
        <v>Tuesday</v>
      </c>
      <c r="Q488" s="2" t="str">
        <f>IF(Table1[[#This Row],[temp]]&gt;=0.24,"cold","colder")</f>
        <v>colder</v>
      </c>
      <c r="R488" s="4">
        <v>1</v>
      </c>
      <c r="S488" s="16" t="str" cm="1">
        <f t="array" ref="S488">_xlfn.IFS(Table1[[#This Row],[weathersit]]=1,"clear sky",Table1[[#This Row],[weathersit]]=2,"mist",Table1[[#This Row],[weathersit]]=3,"partially dark",Table1[[#This Row],[weathersit]]=4,"rain")</f>
        <v>clear sky</v>
      </c>
    </row>
    <row r="489" spans="1:19" ht="15" customHeight="1" x14ac:dyDescent="0.3">
      <c r="A489" s="2">
        <v>488</v>
      </c>
      <c r="B489" s="3">
        <v>41031</v>
      </c>
      <c r="C489" s="2">
        <v>1</v>
      </c>
      <c r="D489" s="2">
        <v>0</v>
      </c>
      <c r="E489" s="2">
        <v>1</v>
      </c>
      <c r="F489" s="2">
        <v>9</v>
      </c>
      <c r="G489" s="2" t="b">
        <v>0</v>
      </c>
      <c r="H489" s="2">
        <v>6</v>
      </c>
      <c r="I489" s="2">
        <v>1</v>
      </c>
      <c r="J489" s="2">
        <v>0.04</v>
      </c>
      <c r="K489" s="4">
        <v>3.0300000000000001E-2</v>
      </c>
      <c r="L489" s="4">
        <v>0.41</v>
      </c>
      <c r="M489" s="4">
        <v>0.25369999999999998</v>
      </c>
      <c r="N489" s="4">
        <v>37</v>
      </c>
      <c r="O489" s="2">
        <v>40</v>
      </c>
      <c r="P489" s="2" t="str">
        <f t="shared" si="7"/>
        <v>Wednesday</v>
      </c>
      <c r="Q489" s="2" t="str">
        <f>IF(Table1[[#This Row],[temp]]&gt;=0.24,"cold","colder")</f>
        <v>colder</v>
      </c>
      <c r="R489" s="4">
        <v>3</v>
      </c>
      <c r="S489" s="16" t="str" cm="1">
        <f t="array" ref="S489">_xlfn.IFS(Table1[[#This Row],[weathersit]]=1,"clear sky",Table1[[#This Row],[weathersit]]=2,"mist",Table1[[#This Row],[weathersit]]=3,"partially dark",Table1[[#This Row],[weathersit]]=4,"rain")</f>
        <v>clear sky</v>
      </c>
    </row>
    <row r="490" spans="1:19" ht="15" customHeight="1" x14ac:dyDescent="0.3">
      <c r="A490" s="2">
        <v>489</v>
      </c>
      <c r="B490" s="3">
        <v>41032</v>
      </c>
      <c r="C490" s="2">
        <v>1</v>
      </c>
      <c r="D490" s="2">
        <v>0</v>
      </c>
      <c r="E490" s="2">
        <v>1</v>
      </c>
      <c r="F490" s="2">
        <v>10</v>
      </c>
      <c r="G490" s="2" t="b">
        <v>0</v>
      </c>
      <c r="H490" s="2">
        <v>6</v>
      </c>
      <c r="I490" s="2">
        <v>2</v>
      </c>
      <c r="J490" s="2">
        <v>0.04</v>
      </c>
      <c r="K490" s="4">
        <v>6.0600000000000001E-2</v>
      </c>
      <c r="L490" s="4">
        <v>0.41</v>
      </c>
      <c r="M490" s="4">
        <v>0.16420000000000001</v>
      </c>
      <c r="N490" s="4">
        <v>50</v>
      </c>
      <c r="O490" s="2">
        <v>53</v>
      </c>
      <c r="P490" s="2" t="str">
        <f t="shared" si="7"/>
        <v>Thursday</v>
      </c>
      <c r="Q490" s="2" t="str">
        <f>IF(Table1[[#This Row],[temp]]&gt;=0.24,"cold","colder")</f>
        <v>colder</v>
      </c>
      <c r="R490" s="4">
        <v>3</v>
      </c>
      <c r="S490" s="16" t="str" cm="1">
        <f t="array" ref="S490">_xlfn.IFS(Table1[[#This Row],[weathersit]]=1,"clear sky",Table1[[#This Row],[weathersit]]=2,"mist",Table1[[#This Row],[weathersit]]=3,"partially dark",Table1[[#This Row],[weathersit]]=4,"rain")</f>
        <v>mist</v>
      </c>
    </row>
    <row r="491" spans="1:19" ht="15" customHeight="1" x14ac:dyDescent="0.3">
      <c r="A491" s="2">
        <v>490</v>
      </c>
      <c r="B491" s="3">
        <v>41033</v>
      </c>
      <c r="C491" s="2">
        <v>1</v>
      </c>
      <c r="D491" s="2">
        <v>0</v>
      </c>
      <c r="E491" s="2">
        <v>1</v>
      </c>
      <c r="F491" s="2">
        <v>11</v>
      </c>
      <c r="G491" s="2" t="b">
        <v>0</v>
      </c>
      <c r="H491" s="2">
        <v>6</v>
      </c>
      <c r="I491" s="2">
        <v>2</v>
      </c>
      <c r="J491" s="2">
        <v>0.06</v>
      </c>
      <c r="K491" s="4">
        <v>7.5800000000000006E-2</v>
      </c>
      <c r="L491" s="4">
        <v>0.38</v>
      </c>
      <c r="M491" s="4">
        <v>0.1343</v>
      </c>
      <c r="N491" s="4">
        <v>59</v>
      </c>
      <c r="O491" s="2">
        <v>63</v>
      </c>
      <c r="P491" s="2" t="str">
        <f t="shared" si="7"/>
        <v>Friday</v>
      </c>
      <c r="Q491" s="2" t="str">
        <f>IF(Table1[[#This Row],[temp]]&gt;=0.24,"cold","colder")</f>
        <v>colder</v>
      </c>
      <c r="R491" s="4">
        <v>4</v>
      </c>
      <c r="S491" s="16" t="str" cm="1">
        <f t="array" ref="S491">_xlfn.IFS(Table1[[#This Row],[weathersit]]=1,"clear sky",Table1[[#This Row],[weathersit]]=2,"mist",Table1[[#This Row],[weathersit]]=3,"partially dark",Table1[[#This Row],[weathersit]]=4,"rain")</f>
        <v>mist</v>
      </c>
    </row>
    <row r="492" spans="1:19" ht="15" customHeight="1" x14ac:dyDescent="0.3">
      <c r="A492" s="2">
        <v>491</v>
      </c>
      <c r="B492" s="3">
        <v>41034</v>
      </c>
      <c r="C492" s="2">
        <v>1</v>
      </c>
      <c r="D492" s="2">
        <v>0</v>
      </c>
      <c r="E492" s="2">
        <v>1</v>
      </c>
      <c r="F492" s="2">
        <v>12</v>
      </c>
      <c r="G492" s="2" t="b">
        <v>0</v>
      </c>
      <c r="H492" s="2">
        <v>6</v>
      </c>
      <c r="I492" s="2">
        <v>2</v>
      </c>
      <c r="J492" s="2">
        <v>0.06</v>
      </c>
      <c r="K492" s="4">
        <v>0.1061</v>
      </c>
      <c r="L492" s="4">
        <v>0.38</v>
      </c>
      <c r="M492" s="4">
        <v>0.1045</v>
      </c>
      <c r="N492" s="4">
        <v>60</v>
      </c>
      <c r="O492" s="2">
        <v>70</v>
      </c>
      <c r="P492" s="2" t="str">
        <f t="shared" si="7"/>
        <v>Saturday</v>
      </c>
      <c r="Q492" s="2" t="str">
        <f>IF(Table1[[#This Row],[temp]]&gt;=0.24,"cold","colder")</f>
        <v>colder</v>
      </c>
      <c r="R492" s="4">
        <v>10</v>
      </c>
      <c r="S492" s="16" t="str" cm="1">
        <f t="array" ref="S492">_xlfn.IFS(Table1[[#This Row],[weathersit]]=1,"clear sky",Table1[[#This Row],[weathersit]]=2,"mist",Table1[[#This Row],[weathersit]]=3,"partially dark",Table1[[#This Row],[weathersit]]=4,"rain")</f>
        <v>mist</v>
      </c>
    </row>
    <row r="493" spans="1:19" ht="15" customHeight="1" x14ac:dyDescent="0.3">
      <c r="A493" s="2">
        <v>492</v>
      </c>
      <c r="B493" s="3">
        <v>41035</v>
      </c>
      <c r="C493" s="2">
        <v>1</v>
      </c>
      <c r="D493" s="2">
        <v>0</v>
      </c>
      <c r="E493" s="2">
        <v>1</v>
      </c>
      <c r="F493" s="2">
        <v>13</v>
      </c>
      <c r="G493" s="2" t="b">
        <v>0</v>
      </c>
      <c r="H493" s="2">
        <v>6</v>
      </c>
      <c r="I493" s="2">
        <v>1</v>
      </c>
      <c r="J493" s="2">
        <v>0.08</v>
      </c>
      <c r="K493" s="4">
        <v>0.16669999999999999</v>
      </c>
      <c r="L493" s="4">
        <v>0.35</v>
      </c>
      <c r="M493" s="4">
        <v>0</v>
      </c>
      <c r="N493" s="4">
        <v>72</v>
      </c>
      <c r="O493" s="2">
        <v>84</v>
      </c>
      <c r="P493" s="2" t="str">
        <f t="shared" si="7"/>
        <v>Sunday</v>
      </c>
      <c r="Q493" s="2" t="str">
        <f>IF(Table1[[#This Row],[temp]]&gt;=0.24,"cold","colder")</f>
        <v>colder</v>
      </c>
      <c r="R493" s="4">
        <v>12</v>
      </c>
      <c r="S493" s="16" t="str" cm="1">
        <f t="array" ref="S493">_xlfn.IFS(Table1[[#This Row],[weathersit]]=1,"clear sky",Table1[[#This Row],[weathersit]]=2,"mist",Table1[[#This Row],[weathersit]]=3,"partially dark",Table1[[#This Row],[weathersit]]=4,"rain")</f>
        <v>clear sky</v>
      </c>
    </row>
    <row r="494" spans="1:19" ht="15" customHeight="1" x14ac:dyDescent="0.3">
      <c r="A494" s="2">
        <v>493</v>
      </c>
      <c r="B494" s="3">
        <v>41036</v>
      </c>
      <c r="C494" s="2">
        <v>1</v>
      </c>
      <c r="D494" s="2">
        <v>0</v>
      </c>
      <c r="E494" s="2">
        <v>1</v>
      </c>
      <c r="F494" s="2">
        <v>14</v>
      </c>
      <c r="G494" s="2" t="b">
        <v>0</v>
      </c>
      <c r="H494" s="2">
        <v>6</v>
      </c>
      <c r="I494" s="2">
        <v>1</v>
      </c>
      <c r="J494" s="2">
        <v>0.1</v>
      </c>
      <c r="K494" s="4">
        <v>0.13639999999999999</v>
      </c>
      <c r="L494" s="4">
        <v>0.33</v>
      </c>
      <c r="M494" s="4">
        <v>0.1045</v>
      </c>
      <c r="N494" s="4">
        <v>64</v>
      </c>
      <c r="O494" s="2">
        <v>75</v>
      </c>
      <c r="P494" s="2" t="str">
        <f t="shared" si="7"/>
        <v>Monday</v>
      </c>
      <c r="Q494" s="2" t="str">
        <f>IF(Table1[[#This Row],[temp]]&gt;=0.24,"cold","colder")</f>
        <v>colder</v>
      </c>
      <c r="R494" s="4">
        <v>11</v>
      </c>
      <c r="S494" s="16" t="str" cm="1">
        <f t="array" ref="S494">_xlfn.IFS(Table1[[#This Row],[weathersit]]=1,"clear sky",Table1[[#This Row],[weathersit]]=2,"mist",Table1[[#This Row],[weathersit]]=3,"partially dark",Table1[[#This Row],[weathersit]]=4,"rain")</f>
        <v>clear sky</v>
      </c>
    </row>
    <row r="495" spans="1:19" ht="15" customHeight="1" x14ac:dyDescent="0.3">
      <c r="A495" s="2">
        <v>494</v>
      </c>
      <c r="B495" s="3">
        <v>41037</v>
      </c>
      <c r="C495" s="2">
        <v>1</v>
      </c>
      <c r="D495" s="2">
        <v>0</v>
      </c>
      <c r="E495" s="2">
        <v>1</v>
      </c>
      <c r="F495" s="2">
        <v>15</v>
      </c>
      <c r="G495" s="2" t="b">
        <v>0</v>
      </c>
      <c r="H495" s="2">
        <v>6</v>
      </c>
      <c r="I495" s="2">
        <v>1</v>
      </c>
      <c r="J495" s="2">
        <v>0.12</v>
      </c>
      <c r="K495" s="4">
        <v>0.1515</v>
      </c>
      <c r="L495" s="4">
        <v>0.28000000000000003</v>
      </c>
      <c r="M495" s="4">
        <v>0</v>
      </c>
      <c r="N495" s="4">
        <v>93</v>
      </c>
      <c r="O495" s="2">
        <v>103</v>
      </c>
      <c r="P495" s="2" t="str">
        <f t="shared" si="7"/>
        <v>Tuesday</v>
      </c>
      <c r="Q495" s="2" t="str">
        <f>IF(Table1[[#This Row],[temp]]&gt;=0.24,"cold","colder")</f>
        <v>colder</v>
      </c>
      <c r="R495" s="4">
        <v>10</v>
      </c>
      <c r="S495" s="16" t="str" cm="1">
        <f t="array" ref="S495">_xlfn.IFS(Table1[[#This Row],[weathersit]]=1,"clear sky",Table1[[#This Row],[weathersit]]=2,"mist",Table1[[#This Row],[weathersit]]=3,"partially dark",Table1[[#This Row],[weathersit]]=4,"rain")</f>
        <v>clear sky</v>
      </c>
    </row>
    <row r="496" spans="1:19" ht="15" customHeight="1" x14ac:dyDescent="0.3">
      <c r="A496" s="2">
        <v>495</v>
      </c>
      <c r="B496" s="3">
        <v>41038</v>
      </c>
      <c r="C496" s="2">
        <v>1</v>
      </c>
      <c r="D496" s="2">
        <v>0</v>
      </c>
      <c r="E496" s="2">
        <v>1</v>
      </c>
      <c r="F496" s="2">
        <v>16</v>
      </c>
      <c r="G496" s="2" t="b">
        <v>0</v>
      </c>
      <c r="H496" s="2">
        <v>6</v>
      </c>
      <c r="I496" s="2">
        <v>1</v>
      </c>
      <c r="J496" s="2">
        <v>0.12</v>
      </c>
      <c r="K496" s="4">
        <v>0.13639999999999999</v>
      </c>
      <c r="L496" s="4">
        <v>0.28000000000000003</v>
      </c>
      <c r="M496" s="4">
        <v>0.19400000000000001</v>
      </c>
      <c r="N496" s="4">
        <v>72</v>
      </c>
      <c r="O496" s="2">
        <v>83</v>
      </c>
      <c r="P496" s="2" t="str">
        <f t="shared" si="7"/>
        <v>Wednesday</v>
      </c>
      <c r="Q496" s="2" t="str">
        <f>IF(Table1[[#This Row],[temp]]&gt;=0.24,"cold","colder")</f>
        <v>colder</v>
      </c>
      <c r="R496" s="4">
        <v>11</v>
      </c>
      <c r="S496" s="16" t="str" cm="1">
        <f t="array" ref="S496">_xlfn.IFS(Table1[[#This Row],[weathersit]]=1,"clear sky",Table1[[#This Row],[weathersit]]=2,"mist",Table1[[#This Row],[weathersit]]=3,"partially dark",Table1[[#This Row],[weathersit]]=4,"rain")</f>
        <v>clear sky</v>
      </c>
    </row>
    <row r="497" spans="1:19" ht="15" customHeight="1" x14ac:dyDescent="0.3">
      <c r="A497" s="2">
        <v>496</v>
      </c>
      <c r="B497" s="3">
        <v>41039</v>
      </c>
      <c r="C497" s="2">
        <v>1</v>
      </c>
      <c r="D497" s="2">
        <v>0</v>
      </c>
      <c r="E497" s="2">
        <v>1</v>
      </c>
      <c r="F497" s="2">
        <v>17</v>
      </c>
      <c r="G497" s="2" t="b">
        <v>0</v>
      </c>
      <c r="H497" s="2">
        <v>6</v>
      </c>
      <c r="I497" s="2">
        <v>1</v>
      </c>
      <c r="J497" s="2">
        <v>0.12</v>
      </c>
      <c r="K497" s="4">
        <v>0.19700000000000001</v>
      </c>
      <c r="L497" s="4">
        <v>0.28000000000000003</v>
      </c>
      <c r="M497" s="4">
        <v>0</v>
      </c>
      <c r="N497" s="4">
        <v>59</v>
      </c>
      <c r="O497" s="2">
        <v>67</v>
      </c>
      <c r="P497" s="2" t="str">
        <f t="shared" si="7"/>
        <v>Thursday</v>
      </c>
      <c r="Q497" s="2" t="str">
        <f>IF(Table1[[#This Row],[temp]]&gt;=0.24,"cold","colder")</f>
        <v>colder</v>
      </c>
      <c r="R497" s="4">
        <v>8</v>
      </c>
      <c r="S497" s="16" t="str" cm="1">
        <f t="array" ref="S497">_xlfn.IFS(Table1[[#This Row],[weathersit]]=1,"clear sky",Table1[[#This Row],[weathersit]]=2,"mist",Table1[[#This Row],[weathersit]]=3,"partially dark",Table1[[#This Row],[weathersit]]=4,"rain")</f>
        <v>clear sky</v>
      </c>
    </row>
    <row r="498" spans="1:19" ht="15" customHeight="1" x14ac:dyDescent="0.3">
      <c r="A498" s="2">
        <v>497</v>
      </c>
      <c r="B498" s="3">
        <v>41040</v>
      </c>
      <c r="C498" s="2">
        <v>1</v>
      </c>
      <c r="D498" s="2">
        <v>0</v>
      </c>
      <c r="E498" s="2">
        <v>1</v>
      </c>
      <c r="F498" s="2">
        <v>18</v>
      </c>
      <c r="G498" s="2" t="b">
        <v>0</v>
      </c>
      <c r="H498" s="2">
        <v>6</v>
      </c>
      <c r="I498" s="2">
        <v>1</v>
      </c>
      <c r="J498" s="2">
        <v>0.08</v>
      </c>
      <c r="K498" s="4">
        <v>9.0899999999999995E-2</v>
      </c>
      <c r="L498" s="4">
        <v>0.35</v>
      </c>
      <c r="M498" s="4">
        <v>0.19400000000000001</v>
      </c>
      <c r="N498" s="4">
        <v>54</v>
      </c>
      <c r="O498" s="2">
        <v>54</v>
      </c>
      <c r="P498" s="2" t="str">
        <f t="shared" si="7"/>
        <v>Friday</v>
      </c>
      <c r="Q498" s="2" t="str">
        <f>IF(Table1[[#This Row],[temp]]&gt;=0.24,"cold","colder")</f>
        <v>colder</v>
      </c>
      <c r="R498" s="4">
        <v>0</v>
      </c>
      <c r="S498" s="16" t="str" cm="1">
        <f t="array" ref="S498">_xlfn.IFS(Table1[[#This Row],[weathersit]]=1,"clear sky",Table1[[#This Row],[weathersit]]=2,"mist",Table1[[#This Row],[weathersit]]=3,"partially dark",Table1[[#This Row],[weathersit]]=4,"rain")</f>
        <v>clear sky</v>
      </c>
    </row>
    <row r="499" spans="1:19" ht="15" customHeight="1" x14ac:dyDescent="0.3">
      <c r="A499" s="2">
        <v>498</v>
      </c>
      <c r="B499" s="3">
        <v>41041</v>
      </c>
      <c r="C499" s="2">
        <v>1</v>
      </c>
      <c r="D499" s="2">
        <v>0</v>
      </c>
      <c r="E499" s="2">
        <v>1</v>
      </c>
      <c r="F499" s="2">
        <v>19</v>
      </c>
      <c r="G499" s="2" t="b">
        <v>0</v>
      </c>
      <c r="H499" s="2">
        <v>6</v>
      </c>
      <c r="I499" s="2">
        <v>1</v>
      </c>
      <c r="J499" s="2">
        <v>0.08</v>
      </c>
      <c r="K499" s="4">
        <v>0.1061</v>
      </c>
      <c r="L499" s="4">
        <v>0.35</v>
      </c>
      <c r="M499" s="4">
        <v>0.1343</v>
      </c>
      <c r="N499" s="4">
        <v>53</v>
      </c>
      <c r="O499" s="2">
        <v>59</v>
      </c>
      <c r="P499" s="2" t="str">
        <f t="shared" si="7"/>
        <v>Saturday</v>
      </c>
      <c r="Q499" s="2" t="str">
        <f>IF(Table1[[#This Row],[temp]]&gt;=0.24,"cold","colder")</f>
        <v>colder</v>
      </c>
      <c r="R499" s="4">
        <v>6</v>
      </c>
      <c r="S499" s="16" t="str" cm="1">
        <f t="array" ref="S499">_xlfn.IFS(Table1[[#This Row],[weathersit]]=1,"clear sky",Table1[[#This Row],[weathersit]]=2,"mist",Table1[[#This Row],[weathersit]]=3,"partially dark",Table1[[#This Row],[weathersit]]=4,"rain")</f>
        <v>clear sky</v>
      </c>
    </row>
    <row r="500" spans="1:19" ht="15" customHeight="1" x14ac:dyDescent="0.3">
      <c r="A500" s="2">
        <v>499</v>
      </c>
      <c r="B500" s="3">
        <v>41042</v>
      </c>
      <c r="C500" s="2">
        <v>1</v>
      </c>
      <c r="D500" s="2">
        <v>0</v>
      </c>
      <c r="E500" s="2">
        <v>1</v>
      </c>
      <c r="F500" s="2">
        <v>20</v>
      </c>
      <c r="G500" s="2" t="b">
        <v>0</v>
      </c>
      <c r="H500" s="2">
        <v>6</v>
      </c>
      <c r="I500" s="2">
        <v>1</v>
      </c>
      <c r="J500" s="2">
        <v>0.06</v>
      </c>
      <c r="K500" s="4">
        <v>7.5800000000000006E-2</v>
      </c>
      <c r="L500" s="4">
        <v>0.45</v>
      </c>
      <c r="M500" s="4">
        <v>0.16420000000000001</v>
      </c>
      <c r="N500" s="4">
        <v>44</v>
      </c>
      <c r="O500" s="2">
        <v>45</v>
      </c>
      <c r="P500" s="2" t="str">
        <f t="shared" si="7"/>
        <v>Sunday</v>
      </c>
      <c r="Q500" s="2" t="str">
        <f>IF(Table1[[#This Row],[temp]]&gt;=0.24,"cold","colder")</f>
        <v>colder</v>
      </c>
      <c r="R500" s="4">
        <v>1</v>
      </c>
      <c r="S500" s="16" t="str" cm="1">
        <f t="array" ref="S500">_xlfn.IFS(Table1[[#This Row],[weathersit]]=1,"clear sky",Table1[[#This Row],[weathersit]]=2,"mist",Table1[[#This Row],[weathersit]]=3,"partially dark",Table1[[#This Row],[weathersit]]=4,"rain")</f>
        <v>clear sky</v>
      </c>
    </row>
    <row r="501" spans="1:19" ht="15" customHeight="1" x14ac:dyDescent="0.3">
      <c r="A501" s="2">
        <v>500</v>
      </c>
      <c r="B501" s="3">
        <v>41043</v>
      </c>
      <c r="C501" s="2">
        <v>1</v>
      </c>
      <c r="D501" s="2">
        <v>0</v>
      </c>
      <c r="E501" s="2">
        <v>1</v>
      </c>
      <c r="F501" s="2">
        <v>21</v>
      </c>
      <c r="G501" s="2" t="b">
        <v>0</v>
      </c>
      <c r="H501" s="2">
        <v>6</v>
      </c>
      <c r="I501" s="2">
        <v>1</v>
      </c>
      <c r="J501" s="2">
        <v>0.06</v>
      </c>
      <c r="K501" s="4">
        <v>0.1061</v>
      </c>
      <c r="L501" s="4">
        <v>0.41</v>
      </c>
      <c r="M501" s="4">
        <v>8.9599999999999999E-2</v>
      </c>
      <c r="N501" s="4">
        <v>39</v>
      </c>
      <c r="O501" s="2">
        <v>39</v>
      </c>
      <c r="P501" s="2" t="str">
        <f t="shared" si="7"/>
        <v>Monday</v>
      </c>
      <c r="Q501" s="2" t="str">
        <f>IF(Table1[[#This Row],[temp]]&gt;=0.24,"cold","colder")</f>
        <v>colder</v>
      </c>
      <c r="R501" s="4">
        <v>0</v>
      </c>
      <c r="S501" s="16" t="str" cm="1">
        <f t="array" ref="S501">_xlfn.IFS(Table1[[#This Row],[weathersit]]=1,"clear sky",Table1[[#This Row],[weathersit]]=2,"mist",Table1[[#This Row],[weathersit]]=3,"partially dark",Table1[[#This Row],[weathersit]]=4,"rain")</f>
        <v>clear sky</v>
      </c>
    </row>
    <row r="502" spans="1:19" ht="15" customHeight="1" x14ac:dyDescent="0.3">
      <c r="A502" s="2">
        <v>501</v>
      </c>
      <c r="B502" s="3">
        <v>41044</v>
      </c>
      <c r="C502" s="2">
        <v>1</v>
      </c>
      <c r="D502" s="2">
        <v>0</v>
      </c>
      <c r="E502" s="2">
        <v>1</v>
      </c>
      <c r="F502" s="2">
        <v>22</v>
      </c>
      <c r="G502" s="2" t="b">
        <v>0</v>
      </c>
      <c r="H502" s="2">
        <v>6</v>
      </c>
      <c r="I502" s="2">
        <v>1</v>
      </c>
      <c r="J502" s="2">
        <v>0.06</v>
      </c>
      <c r="K502" s="4">
        <v>0.1515</v>
      </c>
      <c r="L502" s="4">
        <v>0.49</v>
      </c>
      <c r="M502" s="4">
        <v>0</v>
      </c>
      <c r="N502" s="4">
        <v>23</v>
      </c>
      <c r="O502" s="2">
        <v>30</v>
      </c>
      <c r="P502" s="2" t="str">
        <f t="shared" si="7"/>
        <v>Tuesday</v>
      </c>
      <c r="Q502" s="2" t="str">
        <f>IF(Table1[[#This Row],[temp]]&gt;=0.24,"cold","colder")</f>
        <v>colder</v>
      </c>
      <c r="R502" s="4">
        <v>7</v>
      </c>
      <c r="S502" s="16" t="str" cm="1">
        <f t="array" ref="S502">_xlfn.IFS(Table1[[#This Row],[weathersit]]=1,"clear sky",Table1[[#This Row],[weathersit]]=2,"mist",Table1[[#This Row],[weathersit]]=3,"partially dark",Table1[[#This Row],[weathersit]]=4,"rain")</f>
        <v>clear sky</v>
      </c>
    </row>
    <row r="503" spans="1:19" ht="15" customHeight="1" x14ac:dyDescent="0.3">
      <c r="A503" s="2">
        <v>502</v>
      </c>
      <c r="B503" s="3">
        <v>41045</v>
      </c>
      <c r="C503" s="2">
        <v>1</v>
      </c>
      <c r="D503" s="2">
        <v>0</v>
      </c>
      <c r="E503" s="2">
        <v>1</v>
      </c>
      <c r="F503" s="2">
        <v>23</v>
      </c>
      <c r="G503" s="2" t="b">
        <v>0</v>
      </c>
      <c r="H503" s="2">
        <v>6</v>
      </c>
      <c r="I503" s="2">
        <v>1</v>
      </c>
      <c r="J503" s="2">
        <v>0.04</v>
      </c>
      <c r="K503" s="4">
        <v>7.5800000000000006E-2</v>
      </c>
      <c r="L503" s="4">
        <v>0.56999999999999995</v>
      </c>
      <c r="M503" s="4">
        <v>0.1045</v>
      </c>
      <c r="N503" s="4">
        <v>31</v>
      </c>
      <c r="O503" s="2">
        <v>33</v>
      </c>
      <c r="P503" s="2" t="str">
        <f t="shared" si="7"/>
        <v>Wednesday</v>
      </c>
      <c r="Q503" s="2" t="str">
        <f>IF(Table1[[#This Row],[temp]]&gt;=0.24,"cold","colder")</f>
        <v>colder</v>
      </c>
      <c r="R503" s="4">
        <v>2</v>
      </c>
      <c r="S503" s="16" t="str" cm="1">
        <f t="array" ref="S503">_xlfn.IFS(Table1[[#This Row],[weathersit]]=1,"clear sky",Table1[[#This Row],[weathersit]]=2,"mist",Table1[[#This Row],[weathersit]]=3,"partially dark",Table1[[#This Row],[weathersit]]=4,"rain")</f>
        <v>clear sky</v>
      </c>
    </row>
    <row r="504" spans="1:19" ht="15" customHeight="1" x14ac:dyDescent="0.3">
      <c r="A504" s="2">
        <v>503</v>
      </c>
      <c r="B504" s="3">
        <v>41046</v>
      </c>
      <c r="C504" s="2">
        <v>1</v>
      </c>
      <c r="D504" s="2">
        <v>0</v>
      </c>
      <c r="E504" s="2">
        <v>1</v>
      </c>
      <c r="F504" s="2">
        <v>0</v>
      </c>
      <c r="G504" s="2" t="b">
        <v>0</v>
      </c>
      <c r="H504" s="2">
        <v>0</v>
      </c>
      <c r="I504" s="2">
        <v>1</v>
      </c>
      <c r="J504" s="2">
        <v>0.04</v>
      </c>
      <c r="K504" s="4">
        <v>7.5800000000000006E-2</v>
      </c>
      <c r="L504" s="4">
        <v>0.56999999999999995</v>
      </c>
      <c r="M504" s="4">
        <v>0.1045</v>
      </c>
      <c r="N504" s="4">
        <v>20</v>
      </c>
      <c r="O504" s="2">
        <v>22</v>
      </c>
      <c r="P504" s="2" t="str">
        <f t="shared" si="7"/>
        <v>Thursday</v>
      </c>
      <c r="Q504" s="2" t="str">
        <f>IF(Table1[[#This Row],[temp]]&gt;=0.24,"cold","colder")</f>
        <v>colder</v>
      </c>
      <c r="R504" s="4">
        <v>2</v>
      </c>
      <c r="S504" s="16" t="str" cm="1">
        <f t="array" ref="S504">_xlfn.IFS(Table1[[#This Row],[weathersit]]=1,"clear sky",Table1[[#This Row],[weathersit]]=2,"mist",Table1[[#This Row],[weathersit]]=3,"partially dark",Table1[[#This Row],[weathersit]]=4,"rain")</f>
        <v>clear sky</v>
      </c>
    </row>
    <row r="505" spans="1:19" ht="15" customHeight="1" x14ac:dyDescent="0.3">
      <c r="A505" s="2">
        <v>504</v>
      </c>
      <c r="B505" s="3">
        <v>41047</v>
      </c>
      <c r="C505" s="2">
        <v>1</v>
      </c>
      <c r="D505" s="2">
        <v>0</v>
      </c>
      <c r="E505" s="2">
        <v>1</v>
      </c>
      <c r="F505" s="2">
        <v>1</v>
      </c>
      <c r="G505" s="2" t="b">
        <v>0</v>
      </c>
      <c r="H505" s="2">
        <v>0</v>
      </c>
      <c r="I505" s="2">
        <v>1</v>
      </c>
      <c r="J505" s="2">
        <v>0.04</v>
      </c>
      <c r="K505" s="4">
        <v>7.5800000000000006E-2</v>
      </c>
      <c r="L505" s="4">
        <v>0.56999999999999995</v>
      </c>
      <c r="M505" s="4">
        <v>0.1045</v>
      </c>
      <c r="N505" s="4">
        <v>12</v>
      </c>
      <c r="O505" s="2">
        <v>13</v>
      </c>
      <c r="P505" s="2" t="str">
        <f t="shared" si="7"/>
        <v>Friday</v>
      </c>
      <c r="Q505" s="2" t="str">
        <f>IF(Table1[[#This Row],[temp]]&gt;=0.24,"cold","colder")</f>
        <v>colder</v>
      </c>
      <c r="R505" s="4">
        <v>1</v>
      </c>
      <c r="S505" s="16" t="str" cm="1">
        <f t="array" ref="S505">_xlfn.IFS(Table1[[#This Row],[weathersit]]=1,"clear sky",Table1[[#This Row],[weathersit]]=2,"mist",Table1[[#This Row],[weathersit]]=3,"partially dark",Table1[[#This Row],[weathersit]]=4,"rain")</f>
        <v>clear sky</v>
      </c>
    </row>
    <row r="506" spans="1:19" ht="15" customHeight="1" x14ac:dyDescent="0.3">
      <c r="A506" s="2">
        <v>505</v>
      </c>
      <c r="B506" s="3">
        <v>41048</v>
      </c>
      <c r="C506" s="2">
        <v>1</v>
      </c>
      <c r="D506" s="2">
        <v>0</v>
      </c>
      <c r="E506" s="2">
        <v>1</v>
      </c>
      <c r="F506" s="2">
        <v>2</v>
      </c>
      <c r="G506" s="2" t="b">
        <v>0</v>
      </c>
      <c r="H506" s="2">
        <v>0</v>
      </c>
      <c r="I506" s="2">
        <v>1</v>
      </c>
      <c r="J506" s="2">
        <v>0.02</v>
      </c>
      <c r="K506" s="4">
        <v>6.0600000000000001E-2</v>
      </c>
      <c r="L506" s="4">
        <v>0.62</v>
      </c>
      <c r="M506" s="4">
        <v>0.1343</v>
      </c>
      <c r="N506" s="4">
        <v>15</v>
      </c>
      <c r="O506" s="2">
        <v>18</v>
      </c>
      <c r="P506" s="2" t="str">
        <f t="shared" si="7"/>
        <v>Saturday</v>
      </c>
      <c r="Q506" s="2" t="str">
        <f>IF(Table1[[#This Row],[temp]]&gt;=0.24,"cold","colder")</f>
        <v>colder</v>
      </c>
      <c r="R506" s="4">
        <v>3</v>
      </c>
      <c r="S506" s="16" t="str" cm="1">
        <f t="array" ref="S506">_xlfn.IFS(Table1[[#This Row],[weathersit]]=1,"clear sky",Table1[[#This Row],[weathersit]]=2,"mist",Table1[[#This Row],[weathersit]]=3,"partially dark",Table1[[#This Row],[weathersit]]=4,"rain")</f>
        <v>clear sky</v>
      </c>
    </row>
    <row r="507" spans="1:19" ht="15" customHeight="1" x14ac:dyDescent="0.3">
      <c r="A507" s="2">
        <v>506</v>
      </c>
      <c r="B507" s="3">
        <v>41049</v>
      </c>
      <c r="C507" s="2">
        <v>1</v>
      </c>
      <c r="D507" s="2">
        <v>0</v>
      </c>
      <c r="E507" s="2">
        <v>1</v>
      </c>
      <c r="F507" s="2">
        <v>3</v>
      </c>
      <c r="G507" s="2" t="b">
        <v>0</v>
      </c>
      <c r="H507" s="2">
        <v>0</v>
      </c>
      <c r="I507" s="2">
        <v>1</v>
      </c>
      <c r="J507" s="2">
        <v>0.02</v>
      </c>
      <c r="K507" s="4">
        <v>6.0600000000000001E-2</v>
      </c>
      <c r="L507" s="4">
        <v>0.62</v>
      </c>
      <c r="M507" s="4">
        <v>0.1343</v>
      </c>
      <c r="N507" s="4">
        <v>4</v>
      </c>
      <c r="O507" s="2">
        <v>5</v>
      </c>
      <c r="P507" s="2" t="str">
        <f t="shared" si="7"/>
        <v>Sunday</v>
      </c>
      <c r="Q507" s="2" t="str">
        <f>IF(Table1[[#This Row],[temp]]&gt;=0.24,"cold","colder")</f>
        <v>colder</v>
      </c>
      <c r="R507" s="4">
        <v>1</v>
      </c>
      <c r="S507" s="16" t="str" cm="1">
        <f t="array" ref="S507">_xlfn.IFS(Table1[[#This Row],[weathersit]]=1,"clear sky",Table1[[#This Row],[weathersit]]=2,"mist",Table1[[#This Row],[weathersit]]=3,"partially dark",Table1[[#This Row],[weathersit]]=4,"rain")</f>
        <v>clear sky</v>
      </c>
    </row>
    <row r="508" spans="1:19" ht="15" customHeight="1" x14ac:dyDescent="0.3">
      <c r="A508" s="2">
        <v>507</v>
      </c>
      <c r="B508" s="3">
        <v>41050</v>
      </c>
      <c r="C508" s="2">
        <v>1</v>
      </c>
      <c r="D508" s="2">
        <v>0</v>
      </c>
      <c r="E508" s="2">
        <v>1</v>
      </c>
      <c r="F508" s="2">
        <v>5</v>
      </c>
      <c r="G508" s="2" t="b">
        <v>0</v>
      </c>
      <c r="H508" s="2">
        <v>0</v>
      </c>
      <c r="I508" s="2">
        <v>2</v>
      </c>
      <c r="J508" s="2">
        <v>0.04</v>
      </c>
      <c r="K508" s="4">
        <v>7.5800000000000006E-2</v>
      </c>
      <c r="L508" s="4">
        <v>0.56999999999999995</v>
      </c>
      <c r="M508" s="4">
        <v>0.1045</v>
      </c>
      <c r="N508" s="4">
        <v>3</v>
      </c>
      <c r="O508" s="2">
        <v>3</v>
      </c>
      <c r="P508" s="2" t="str">
        <f t="shared" si="7"/>
        <v>Monday</v>
      </c>
      <c r="Q508" s="2" t="str">
        <f>IF(Table1[[#This Row],[temp]]&gt;=0.24,"cold","colder")</f>
        <v>colder</v>
      </c>
      <c r="R508" s="4">
        <v>0</v>
      </c>
      <c r="S508" s="16" t="str" cm="1">
        <f t="array" ref="S508">_xlfn.IFS(Table1[[#This Row],[weathersit]]=1,"clear sky",Table1[[#This Row],[weathersit]]=2,"mist",Table1[[#This Row],[weathersit]]=3,"partially dark",Table1[[#This Row],[weathersit]]=4,"rain")</f>
        <v>mist</v>
      </c>
    </row>
    <row r="509" spans="1:19" ht="15" customHeight="1" x14ac:dyDescent="0.3">
      <c r="A509" s="2">
        <v>508</v>
      </c>
      <c r="B509" s="3">
        <v>41051</v>
      </c>
      <c r="C509" s="2">
        <v>1</v>
      </c>
      <c r="D509" s="2">
        <v>0</v>
      </c>
      <c r="E509" s="2">
        <v>1</v>
      </c>
      <c r="F509" s="2">
        <v>6</v>
      </c>
      <c r="G509" s="2" t="b">
        <v>0</v>
      </c>
      <c r="H509" s="2">
        <v>0</v>
      </c>
      <c r="I509" s="2">
        <v>2</v>
      </c>
      <c r="J509" s="2">
        <v>0.04</v>
      </c>
      <c r="K509" s="4">
        <v>7.5800000000000006E-2</v>
      </c>
      <c r="L509" s="4">
        <v>0.56999999999999995</v>
      </c>
      <c r="M509" s="4">
        <v>0.1045</v>
      </c>
      <c r="N509" s="4">
        <v>1</v>
      </c>
      <c r="O509" s="2">
        <v>1</v>
      </c>
      <c r="P509" s="2" t="str">
        <f t="shared" si="7"/>
        <v>Tuesday</v>
      </c>
      <c r="Q509" s="2" t="str">
        <f>IF(Table1[[#This Row],[temp]]&gt;=0.24,"cold","colder")</f>
        <v>colder</v>
      </c>
      <c r="R509" s="4">
        <v>0</v>
      </c>
      <c r="S509" s="16" t="str" cm="1">
        <f t="array" ref="S509">_xlfn.IFS(Table1[[#This Row],[weathersit]]=1,"clear sky",Table1[[#This Row],[weathersit]]=2,"mist",Table1[[#This Row],[weathersit]]=3,"partially dark",Table1[[#This Row],[weathersit]]=4,"rain")</f>
        <v>mist</v>
      </c>
    </row>
    <row r="510" spans="1:19" ht="15" customHeight="1" x14ac:dyDescent="0.3">
      <c r="A510" s="2">
        <v>509</v>
      </c>
      <c r="B510" s="3">
        <v>41052</v>
      </c>
      <c r="C510" s="2">
        <v>1</v>
      </c>
      <c r="D510" s="2">
        <v>0</v>
      </c>
      <c r="E510" s="2">
        <v>1</v>
      </c>
      <c r="F510" s="2">
        <v>7</v>
      </c>
      <c r="G510" s="2" t="b">
        <v>0</v>
      </c>
      <c r="H510" s="2">
        <v>0</v>
      </c>
      <c r="I510" s="2">
        <v>1</v>
      </c>
      <c r="J510" s="2">
        <v>0.08</v>
      </c>
      <c r="K510" s="4">
        <v>0.1061</v>
      </c>
      <c r="L510" s="4">
        <v>0.57999999999999996</v>
      </c>
      <c r="M510" s="4">
        <v>0.16420000000000001</v>
      </c>
      <c r="N510" s="4">
        <v>1</v>
      </c>
      <c r="O510" s="2">
        <v>2</v>
      </c>
      <c r="P510" s="2" t="str">
        <f t="shared" si="7"/>
        <v>Wednesday</v>
      </c>
      <c r="Q510" s="2" t="str">
        <f>IF(Table1[[#This Row],[temp]]&gt;=0.24,"cold","colder")</f>
        <v>colder</v>
      </c>
      <c r="R510" s="4">
        <v>1</v>
      </c>
      <c r="S510" s="16" t="str" cm="1">
        <f t="array" ref="S510">_xlfn.IFS(Table1[[#This Row],[weathersit]]=1,"clear sky",Table1[[#This Row],[weathersit]]=2,"mist",Table1[[#This Row],[weathersit]]=3,"partially dark",Table1[[#This Row],[weathersit]]=4,"rain")</f>
        <v>clear sky</v>
      </c>
    </row>
    <row r="511" spans="1:19" ht="15" customHeight="1" x14ac:dyDescent="0.3">
      <c r="A511" s="2">
        <v>510</v>
      </c>
      <c r="B511" s="3">
        <v>41053</v>
      </c>
      <c r="C511" s="2">
        <v>1</v>
      </c>
      <c r="D511" s="2">
        <v>0</v>
      </c>
      <c r="E511" s="2">
        <v>1</v>
      </c>
      <c r="F511" s="2">
        <v>8</v>
      </c>
      <c r="G511" s="2" t="b">
        <v>0</v>
      </c>
      <c r="H511" s="2">
        <v>0</v>
      </c>
      <c r="I511" s="2">
        <v>1</v>
      </c>
      <c r="J511" s="2">
        <v>0.06</v>
      </c>
      <c r="K511" s="4">
        <v>7.5800000000000006E-2</v>
      </c>
      <c r="L511" s="4">
        <v>0.62</v>
      </c>
      <c r="M511" s="4">
        <v>0.16420000000000001</v>
      </c>
      <c r="N511" s="4">
        <v>17</v>
      </c>
      <c r="O511" s="2">
        <v>19</v>
      </c>
      <c r="P511" s="2" t="str">
        <f t="shared" si="7"/>
        <v>Thursday</v>
      </c>
      <c r="Q511" s="2" t="str">
        <f>IF(Table1[[#This Row],[temp]]&gt;=0.24,"cold","colder")</f>
        <v>colder</v>
      </c>
      <c r="R511" s="4">
        <v>2</v>
      </c>
      <c r="S511" s="16" t="str" cm="1">
        <f t="array" ref="S511">_xlfn.IFS(Table1[[#This Row],[weathersit]]=1,"clear sky",Table1[[#This Row],[weathersit]]=2,"mist",Table1[[#This Row],[weathersit]]=3,"partially dark",Table1[[#This Row],[weathersit]]=4,"rain")</f>
        <v>clear sky</v>
      </c>
    </row>
    <row r="512" spans="1:19" ht="15" customHeight="1" x14ac:dyDescent="0.3">
      <c r="A512" s="2">
        <v>511</v>
      </c>
      <c r="B512" s="3">
        <v>41054</v>
      </c>
      <c r="C512" s="2">
        <v>1</v>
      </c>
      <c r="D512" s="2">
        <v>0</v>
      </c>
      <c r="E512" s="2">
        <v>1</v>
      </c>
      <c r="F512" s="2">
        <v>9</v>
      </c>
      <c r="G512" s="2" t="b">
        <v>0</v>
      </c>
      <c r="H512" s="2">
        <v>0</v>
      </c>
      <c r="I512" s="2">
        <v>1</v>
      </c>
      <c r="J512" s="2">
        <v>0.1</v>
      </c>
      <c r="K512" s="4">
        <v>7.5800000000000006E-2</v>
      </c>
      <c r="L512" s="4">
        <v>0.54</v>
      </c>
      <c r="M512" s="4">
        <v>0.35820000000000002</v>
      </c>
      <c r="N512" s="4">
        <v>25</v>
      </c>
      <c r="O512" s="2">
        <v>28</v>
      </c>
      <c r="P512" s="2" t="str">
        <f t="shared" si="7"/>
        <v>Friday</v>
      </c>
      <c r="Q512" s="2" t="str">
        <f>IF(Table1[[#This Row],[temp]]&gt;=0.24,"cold","colder")</f>
        <v>colder</v>
      </c>
      <c r="R512" s="4">
        <v>3</v>
      </c>
      <c r="S512" s="16" t="str" cm="1">
        <f t="array" ref="S512">_xlfn.IFS(Table1[[#This Row],[weathersit]]=1,"clear sky",Table1[[#This Row],[weathersit]]=2,"mist",Table1[[#This Row],[weathersit]]=3,"partially dark",Table1[[#This Row],[weathersit]]=4,"rain")</f>
        <v>clear sky</v>
      </c>
    </row>
    <row r="513" spans="1:19" ht="15" customHeight="1" x14ac:dyDescent="0.3">
      <c r="A513" s="2">
        <v>512</v>
      </c>
      <c r="B513" s="3">
        <v>41055</v>
      </c>
      <c r="C513" s="2">
        <v>1</v>
      </c>
      <c r="D513" s="2">
        <v>0</v>
      </c>
      <c r="E513" s="2">
        <v>1</v>
      </c>
      <c r="F513" s="2">
        <v>10</v>
      </c>
      <c r="G513" s="2" t="b">
        <v>0</v>
      </c>
      <c r="H513" s="2">
        <v>0</v>
      </c>
      <c r="I513" s="2">
        <v>1</v>
      </c>
      <c r="J513" s="2">
        <v>0.14000000000000001</v>
      </c>
      <c r="K513" s="4">
        <v>0.1061</v>
      </c>
      <c r="L513" s="4">
        <v>0.46</v>
      </c>
      <c r="M513" s="4">
        <v>0.3881</v>
      </c>
      <c r="N513" s="4">
        <v>51</v>
      </c>
      <c r="O513" s="2">
        <v>58</v>
      </c>
      <c r="P513" s="2" t="str">
        <f t="shared" si="7"/>
        <v>Saturday</v>
      </c>
      <c r="Q513" s="2" t="str">
        <f>IF(Table1[[#This Row],[temp]]&gt;=0.24,"cold","colder")</f>
        <v>colder</v>
      </c>
      <c r="R513" s="4">
        <v>7</v>
      </c>
      <c r="S513" s="16" t="str" cm="1">
        <f t="array" ref="S513">_xlfn.IFS(Table1[[#This Row],[weathersit]]=1,"clear sky",Table1[[#This Row],[weathersit]]=2,"mist",Table1[[#This Row],[weathersit]]=3,"partially dark",Table1[[#This Row],[weathersit]]=4,"rain")</f>
        <v>clear sky</v>
      </c>
    </row>
    <row r="514" spans="1:19" ht="15" customHeight="1" x14ac:dyDescent="0.3">
      <c r="A514" s="2">
        <v>513</v>
      </c>
      <c r="B514" s="3">
        <v>41056</v>
      </c>
      <c r="C514" s="2">
        <v>1</v>
      </c>
      <c r="D514" s="2">
        <v>0</v>
      </c>
      <c r="E514" s="2">
        <v>1</v>
      </c>
      <c r="F514" s="2">
        <v>11</v>
      </c>
      <c r="G514" s="2" t="b">
        <v>0</v>
      </c>
      <c r="H514" s="2">
        <v>0</v>
      </c>
      <c r="I514" s="2">
        <v>1</v>
      </c>
      <c r="J514" s="2">
        <v>0.14000000000000001</v>
      </c>
      <c r="K514" s="4">
        <v>0.13639999999999999</v>
      </c>
      <c r="L514" s="4">
        <v>0.43</v>
      </c>
      <c r="M514" s="4">
        <v>0.22389999999999999</v>
      </c>
      <c r="N514" s="4">
        <v>77</v>
      </c>
      <c r="O514" s="2">
        <v>99</v>
      </c>
      <c r="P514" s="2" t="str">
        <f t="shared" ref="P514:P577" si="8">TEXT(B514,"dddd")</f>
        <v>Sunday</v>
      </c>
      <c r="Q514" s="2" t="str">
        <f>IF(Table1[[#This Row],[temp]]&gt;=0.24,"cold","colder")</f>
        <v>colder</v>
      </c>
      <c r="R514" s="4">
        <v>22</v>
      </c>
      <c r="S514" s="16" t="str" cm="1">
        <f t="array" ref="S514">_xlfn.IFS(Table1[[#This Row],[weathersit]]=1,"clear sky",Table1[[#This Row],[weathersit]]=2,"mist",Table1[[#This Row],[weathersit]]=3,"partially dark",Table1[[#This Row],[weathersit]]=4,"rain")</f>
        <v>clear sky</v>
      </c>
    </row>
    <row r="515" spans="1:19" ht="15" customHeight="1" x14ac:dyDescent="0.3">
      <c r="A515" s="2">
        <v>514</v>
      </c>
      <c r="B515" s="3">
        <v>41057</v>
      </c>
      <c r="C515" s="2">
        <v>1</v>
      </c>
      <c r="D515" s="2">
        <v>0</v>
      </c>
      <c r="E515" s="2">
        <v>1</v>
      </c>
      <c r="F515" s="2">
        <v>12</v>
      </c>
      <c r="G515" s="2" t="b">
        <v>0</v>
      </c>
      <c r="H515" s="2">
        <v>0</v>
      </c>
      <c r="I515" s="2">
        <v>1</v>
      </c>
      <c r="J515" s="2">
        <v>0.16</v>
      </c>
      <c r="K515" s="4">
        <v>0.1212</v>
      </c>
      <c r="L515" s="4">
        <v>0.37</v>
      </c>
      <c r="M515" s="4">
        <v>0.4627</v>
      </c>
      <c r="N515" s="4">
        <v>92</v>
      </c>
      <c r="O515" s="2">
        <v>116</v>
      </c>
      <c r="P515" s="2" t="str">
        <f t="shared" si="8"/>
        <v>Monday</v>
      </c>
      <c r="Q515" s="2" t="str">
        <f>IF(Table1[[#This Row],[temp]]&gt;=0.24,"cold","colder")</f>
        <v>colder</v>
      </c>
      <c r="R515" s="4">
        <v>24</v>
      </c>
      <c r="S515" s="16" t="str" cm="1">
        <f t="array" ref="S515">_xlfn.IFS(Table1[[#This Row],[weathersit]]=1,"clear sky",Table1[[#This Row],[weathersit]]=2,"mist",Table1[[#This Row],[weathersit]]=3,"partially dark",Table1[[#This Row],[weathersit]]=4,"rain")</f>
        <v>clear sky</v>
      </c>
    </row>
    <row r="516" spans="1:19" ht="15" customHeight="1" x14ac:dyDescent="0.3">
      <c r="A516" s="2">
        <v>515</v>
      </c>
      <c r="B516" s="3">
        <v>41058</v>
      </c>
      <c r="C516" s="2">
        <v>1</v>
      </c>
      <c r="D516" s="2">
        <v>0</v>
      </c>
      <c r="E516" s="2">
        <v>1</v>
      </c>
      <c r="F516" s="2">
        <v>13</v>
      </c>
      <c r="G516" s="2" t="b">
        <v>0</v>
      </c>
      <c r="H516" s="2">
        <v>0</v>
      </c>
      <c r="I516" s="2">
        <v>1</v>
      </c>
      <c r="J516" s="2">
        <v>0.14000000000000001</v>
      </c>
      <c r="K516" s="4">
        <v>0.1061</v>
      </c>
      <c r="L516" s="4">
        <v>0.33</v>
      </c>
      <c r="M516" s="4">
        <v>0.3881</v>
      </c>
      <c r="N516" s="4">
        <v>75</v>
      </c>
      <c r="O516" s="2">
        <v>87</v>
      </c>
      <c r="P516" s="2" t="str">
        <f t="shared" si="8"/>
        <v>Tuesday</v>
      </c>
      <c r="Q516" s="2" t="str">
        <f>IF(Table1[[#This Row],[temp]]&gt;=0.24,"cold","colder")</f>
        <v>colder</v>
      </c>
      <c r="R516" s="4">
        <v>12</v>
      </c>
      <c r="S516" s="16" t="str" cm="1">
        <f t="array" ref="S516">_xlfn.IFS(Table1[[#This Row],[weathersit]]=1,"clear sky",Table1[[#This Row],[weathersit]]=2,"mist",Table1[[#This Row],[weathersit]]=3,"partially dark",Table1[[#This Row],[weathersit]]=4,"rain")</f>
        <v>clear sky</v>
      </c>
    </row>
    <row r="517" spans="1:19" ht="15" customHeight="1" x14ac:dyDescent="0.3">
      <c r="A517" s="2">
        <v>516</v>
      </c>
      <c r="B517" s="3">
        <v>41059</v>
      </c>
      <c r="C517" s="2">
        <v>1</v>
      </c>
      <c r="D517" s="2">
        <v>0</v>
      </c>
      <c r="E517" s="2">
        <v>1</v>
      </c>
      <c r="F517" s="2">
        <v>14</v>
      </c>
      <c r="G517" s="2" t="b">
        <v>0</v>
      </c>
      <c r="H517" s="2">
        <v>0</v>
      </c>
      <c r="I517" s="2">
        <v>1</v>
      </c>
      <c r="J517" s="2">
        <v>0.16</v>
      </c>
      <c r="K517" s="4">
        <v>0.13639999999999999</v>
      </c>
      <c r="L517" s="4">
        <v>0.28000000000000003</v>
      </c>
      <c r="M517" s="4">
        <v>0.35820000000000002</v>
      </c>
      <c r="N517" s="4">
        <v>93</v>
      </c>
      <c r="O517" s="2">
        <v>110</v>
      </c>
      <c r="P517" s="2" t="str">
        <f t="shared" si="8"/>
        <v>Wednesday</v>
      </c>
      <c r="Q517" s="2" t="str">
        <f>IF(Table1[[#This Row],[temp]]&gt;=0.24,"cold","colder")</f>
        <v>colder</v>
      </c>
      <c r="R517" s="4">
        <v>17</v>
      </c>
      <c r="S517" s="16" t="str" cm="1">
        <f t="array" ref="S517">_xlfn.IFS(Table1[[#This Row],[weathersit]]=1,"clear sky",Table1[[#This Row],[weathersit]]=2,"mist",Table1[[#This Row],[weathersit]]=3,"partially dark",Table1[[#This Row],[weathersit]]=4,"rain")</f>
        <v>clear sky</v>
      </c>
    </row>
    <row r="518" spans="1:19" ht="15" customHeight="1" x14ac:dyDescent="0.3">
      <c r="A518" s="2">
        <v>517</v>
      </c>
      <c r="B518" s="3">
        <v>41060</v>
      </c>
      <c r="C518" s="2">
        <v>1</v>
      </c>
      <c r="D518" s="2">
        <v>0</v>
      </c>
      <c r="E518" s="2">
        <v>1</v>
      </c>
      <c r="F518" s="2">
        <v>15</v>
      </c>
      <c r="G518" s="2" t="b">
        <v>0</v>
      </c>
      <c r="H518" s="2">
        <v>0</v>
      </c>
      <c r="I518" s="2">
        <v>1</v>
      </c>
      <c r="J518" s="2">
        <v>0.16</v>
      </c>
      <c r="K518" s="4">
        <v>0.13639999999999999</v>
      </c>
      <c r="L518" s="4">
        <v>0.28000000000000003</v>
      </c>
      <c r="M518" s="4">
        <v>0.35820000000000002</v>
      </c>
      <c r="N518" s="4">
        <v>64</v>
      </c>
      <c r="O518" s="2">
        <v>77</v>
      </c>
      <c r="P518" s="2" t="str">
        <f t="shared" si="8"/>
        <v>Thursday</v>
      </c>
      <c r="Q518" s="2" t="str">
        <f>IF(Table1[[#This Row],[temp]]&gt;=0.24,"cold","colder")</f>
        <v>colder</v>
      </c>
      <c r="R518" s="4">
        <v>13</v>
      </c>
      <c r="S518" s="16" t="str" cm="1">
        <f t="array" ref="S518">_xlfn.IFS(Table1[[#This Row],[weathersit]]=1,"clear sky",Table1[[#This Row],[weathersit]]=2,"mist",Table1[[#This Row],[weathersit]]=3,"partially dark",Table1[[#This Row],[weathersit]]=4,"rain")</f>
        <v>clear sky</v>
      </c>
    </row>
    <row r="519" spans="1:19" ht="15" customHeight="1" x14ac:dyDescent="0.3">
      <c r="A519" s="2">
        <v>518</v>
      </c>
      <c r="B519" s="3">
        <v>41061</v>
      </c>
      <c r="C519" s="2">
        <v>1</v>
      </c>
      <c r="D519" s="2">
        <v>0</v>
      </c>
      <c r="E519" s="2">
        <v>1</v>
      </c>
      <c r="F519" s="2">
        <v>16</v>
      </c>
      <c r="G519" s="2" t="b">
        <v>0</v>
      </c>
      <c r="H519" s="2">
        <v>0</v>
      </c>
      <c r="I519" s="2">
        <v>1</v>
      </c>
      <c r="J519" s="2">
        <v>0.16</v>
      </c>
      <c r="K519" s="4">
        <v>0.13639999999999999</v>
      </c>
      <c r="L519" s="4">
        <v>0.26</v>
      </c>
      <c r="M519" s="4">
        <v>0.32840000000000003</v>
      </c>
      <c r="N519" s="4">
        <v>56</v>
      </c>
      <c r="O519" s="2">
        <v>65</v>
      </c>
      <c r="P519" s="2" t="str">
        <f t="shared" si="8"/>
        <v>Friday</v>
      </c>
      <c r="Q519" s="2" t="str">
        <f>IF(Table1[[#This Row],[temp]]&gt;=0.24,"cold","colder")</f>
        <v>colder</v>
      </c>
      <c r="R519" s="4">
        <v>9</v>
      </c>
      <c r="S519" s="16" t="str" cm="1">
        <f t="array" ref="S519">_xlfn.IFS(Table1[[#This Row],[weathersit]]=1,"clear sky",Table1[[#This Row],[weathersit]]=2,"mist",Table1[[#This Row],[weathersit]]=3,"partially dark",Table1[[#This Row],[weathersit]]=4,"rain")</f>
        <v>clear sky</v>
      </c>
    </row>
    <row r="520" spans="1:19" ht="15" customHeight="1" x14ac:dyDescent="0.3">
      <c r="A520" s="2">
        <v>519</v>
      </c>
      <c r="B520" s="3">
        <v>41062</v>
      </c>
      <c r="C520" s="2">
        <v>1</v>
      </c>
      <c r="D520" s="2">
        <v>0</v>
      </c>
      <c r="E520" s="2">
        <v>1</v>
      </c>
      <c r="F520" s="2">
        <v>17</v>
      </c>
      <c r="G520" s="2" t="b">
        <v>0</v>
      </c>
      <c r="H520" s="2">
        <v>0</v>
      </c>
      <c r="I520" s="2">
        <v>1</v>
      </c>
      <c r="J520" s="2">
        <v>0.14000000000000001</v>
      </c>
      <c r="K520" s="4">
        <v>0.1061</v>
      </c>
      <c r="L520" s="4">
        <v>0.26</v>
      </c>
      <c r="M520" s="4">
        <v>0.3881</v>
      </c>
      <c r="N520" s="4">
        <v>50</v>
      </c>
      <c r="O520" s="2">
        <v>55</v>
      </c>
      <c r="P520" s="2" t="str">
        <f t="shared" si="8"/>
        <v>Saturday</v>
      </c>
      <c r="Q520" s="2" t="str">
        <f>IF(Table1[[#This Row],[temp]]&gt;=0.24,"cold","colder")</f>
        <v>colder</v>
      </c>
      <c r="R520" s="4">
        <v>5</v>
      </c>
      <c r="S520" s="16" t="str" cm="1">
        <f t="array" ref="S520">_xlfn.IFS(Table1[[#This Row],[weathersit]]=1,"clear sky",Table1[[#This Row],[weathersit]]=2,"mist",Table1[[#This Row],[weathersit]]=3,"partially dark",Table1[[#This Row],[weathersit]]=4,"rain")</f>
        <v>clear sky</v>
      </c>
    </row>
    <row r="521" spans="1:19" ht="15" customHeight="1" x14ac:dyDescent="0.3">
      <c r="A521" s="2">
        <v>520</v>
      </c>
      <c r="B521" s="3">
        <v>41063</v>
      </c>
      <c r="C521" s="2">
        <v>1</v>
      </c>
      <c r="D521" s="2">
        <v>0</v>
      </c>
      <c r="E521" s="2">
        <v>1</v>
      </c>
      <c r="F521" s="2">
        <v>18</v>
      </c>
      <c r="G521" s="2" t="b">
        <v>0</v>
      </c>
      <c r="H521" s="2">
        <v>0</v>
      </c>
      <c r="I521" s="2">
        <v>1</v>
      </c>
      <c r="J521" s="2">
        <v>0.12</v>
      </c>
      <c r="K521" s="4">
        <v>0.1212</v>
      </c>
      <c r="L521" s="4">
        <v>0.3</v>
      </c>
      <c r="M521" s="4">
        <v>0.25369999999999998</v>
      </c>
      <c r="N521" s="4">
        <v>44</v>
      </c>
      <c r="O521" s="2">
        <v>49</v>
      </c>
      <c r="P521" s="2" t="str">
        <f t="shared" si="8"/>
        <v>Sunday</v>
      </c>
      <c r="Q521" s="2" t="str">
        <f>IF(Table1[[#This Row],[temp]]&gt;=0.24,"cold","colder")</f>
        <v>colder</v>
      </c>
      <c r="R521" s="4">
        <v>5</v>
      </c>
      <c r="S521" s="16" t="str" cm="1">
        <f t="array" ref="S521">_xlfn.IFS(Table1[[#This Row],[weathersit]]=1,"clear sky",Table1[[#This Row],[weathersit]]=2,"mist",Table1[[#This Row],[weathersit]]=3,"partially dark",Table1[[#This Row],[weathersit]]=4,"rain")</f>
        <v>clear sky</v>
      </c>
    </row>
    <row r="522" spans="1:19" ht="15" customHeight="1" x14ac:dyDescent="0.3">
      <c r="A522" s="2">
        <v>521</v>
      </c>
      <c r="B522" s="3">
        <v>41064</v>
      </c>
      <c r="C522" s="2">
        <v>1</v>
      </c>
      <c r="D522" s="2">
        <v>0</v>
      </c>
      <c r="E522" s="2">
        <v>1</v>
      </c>
      <c r="F522" s="2">
        <v>19</v>
      </c>
      <c r="G522" s="2" t="b">
        <v>0</v>
      </c>
      <c r="H522" s="2">
        <v>0</v>
      </c>
      <c r="I522" s="2">
        <v>1</v>
      </c>
      <c r="J522" s="2">
        <v>0.12</v>
      </c>
      <c r="K522" s="4">
        <v>0.1212</v>
      </c>
      <c r="L522" s="4">
        <v>0.3</v>
      </c>
      <c r="M522" s="4">
        <v>0.28360000000000002</v>
      </c>
      <c r="N522" s="4">
        <v>45</v>
      </c>
      <c r="O522" s="2">
        <v>50</v>
      </c>
      <c r="P522" s="2" t="str">
        <f t="shared" si="8"/>
        <v>Monday</v>
      </c>
      <c r="Q522" s="2" t="str">
        <f>IF(Table1[[#This Row],[temp]]&gt;=0.24,"cold","colder")</f>
        <v>colder</v>
      </c>
      <c r="R522" s="4">
        <v>5</v>
      </c>
      <c r="S522" s="16" t="str" cm="1">
        <f t="array" ref="S522">_xlfn.IFS(Table1[[#This Row],[weathersit]]=1,"clear sky",Table1[[#This Row],[weathersit]]=2,"mist",Table1[[#This Row],[weathersit]]=3,"partially dark",Table1[[#This Row],[weathersit]]=4,"rain")</f>
        <v>clear sky</v>
      </c>
    </row>
    <row r="523" spans="1:19" ht="15" customHeight="1" x14ac:dyDescent="0.3">
      <c r="A523" s="2">
        <v>522</v>
      </c>
      <c r="B523" s="3">
        <v>41065</v>
      </c>
      <c r="C523" s="2">
        <v>1</v>
      </c>
      <c r="D523" s="2">
        <v>0</v>
      </c>
      <c r="E523" s="2">
        <v>1</v>
      </c>
      <c r="F523" s="2">
        <v>20</v>
      </c>
      <c r="G523" s="2" t="b">
        <v>0</v>
      </c>
      <c r="H523" s="2">
        <v>0</v>
      </c>
      <c r="I523" s="2">
        <v>1</v>
      </c>
      <c r="J523" s="2">
        <v>0.1</v>
      </c>
      <c r="K523" s="4">
        <v>0.1061</v>
      </c>
      <c r="L523" s="4">
        <v>0.36</v>
      </c>
      <c r="M523" s="4">
        <v>0.25369999999999998</v>
      </c>
      <c r="N523" s="4">
        <v>31</v>
      </c>
      <c r="O523" s="2">
        <v>35</v>
      </c>
      <c r="P523" s="2" t="str">
        <f t="shared" si="8"/>
        <v>Tuesday</v>
      </c>
      <c r="Q523" s="2" t="str">
        <f>IF(Table1[[#This Row],[temp]]&gt;=0.24,"cold","colder")</f>
        <v>colder</v>
      </c>
      <c r="R523" s="4">
        <v>4</v>
      </c>
      <c r="S523" s="16" t="str" cm="1">
        <f t="array" ref="S523">_xlfn.IFS(Table1[[#This Row],[weathersit]]=1,"clear sky",Table1[[#This Row],[weathersit]]=2,"mist",Table1[[#This Row],[weathersit]]=3,"partially dark",Table1[[#This Row],[weathersit]]=4,"rain")</f>
        <v>clear sky</v>
      </c>
    </row>
    <row r="524" spans="1:19" ht="15" customHeight="1" x14ac:dyDescent="0.3">
      <c r="A524" s="2">
        <v>523</v>
      </c>
      <c r="B524" s="3">
        <v>41066</v>
      </c>
      <c r="C524" s="2">
        <v>1</v>
      </c>
      <c r="D524" s="2">
        <v>0</v>
      </c>
      <c r="E524" s="2">
        <v>1</v>
      </c>
      <c r="F524" s="2">
        <v>21</v>
      </c>
      <c r="G524" s="2" t="b">
        <v>0</v>
      </c>
      <c r="H524" s="2">
        <v>0</v>
      </c>
      <c r="I524" s="2">
        <v>1</v>
      </c>
      <c r="J524" s="2">
        <v>0.1</v>
      </c>
      <c r="K524" s="4">
        <v>0.1061</v>
      </c>
      <c r="L524" s="4">
        <v>0.36</v>
      </c>
      <c r="M524" s="4">
        <v>0.19400000000000001</v>
      </c>
      <c r="N524" s="4">
        <v>20</v>
      </c>
      <c r="O524" s="2">
        <v>25</v>
      </c>
      <c r="P524" s="2" t="str">
        <f t="shared" si="8"/>
        <v>Wednesday</v>
      </c>
      <c r="Q524" s="2" t="str">
        <f>IF(Table1[[#This Row],[temp]]&gt;=0.24,"cold","colder")</f>
        <v>colder</v>
      </c>
      <c r="R524" s="4">
        <v>5</v>
      </c>
      <c r="S524" s="16" t="str" cm="1">
        <f t="array" ref="S524">_xlfn.IFS(Table1[[#This Row],[weathersit]]=1,"clear sky",Table1[[#This Row],[weathersit]]=2,"mist",Table1[[#This Row],[weathersit]]=3,"partially dark",Table1[[#This Row],[weathersit]]=4,"rain")</f>
        <v>clear sky</v>
      </c>
    </row>
    <row r="525" spans="1:19" ht="15" customHeight="1" x14ac:dyDescent="0.3">
      <c r="A525" s="2">
        <v>524</v>
      </c>
      <c r="B525" s="3">
        <v>41067</v>
      </c>
      <c r="C525" s="2">
        <v>1</v>
      </c>
      <c r="D525" s="2">
        <v>0</v>
      </c>
      <c r="E525" s="2">
        <v>1</v>
      </c>
      <c r="F525" s="2">
        <v>22</v>
      </c>
      <c r="G525" s="2" t="b">
        <v>0</v>
      </c>
      <c r="H525" s="2">
        <v>0</v>
      </c>
      <c r="I525" s="2">
        <v>1</v>
      </c>
      <c r="J525" s="2">
        <v>0.08</v>
      </c>
      <c r="K525" s="4">
        <v>9.0899999999999995E-2</v>
      </c>
      <c r="L525" s="4">
        <v>0.38</v>
      </c>
      <c r="M525" s="4">
        <v>0.19400000000000001</v>
      </c>
      <c r="N525" s="4">
        <v>23</v>
      </c>
      <c r="O525" s="2">
        <v>28</v>
      </c>
      <c r="P525" s="2" t="str">
        <f t="shared" si="8"/>
        <v>Thursday</v>
      </c>
      <c r="Q525" s="2" t="str">
        <f>IF(Table1[[#This Row],[temp]]&gt;=0.24,"cold","colder")</f>
        <v>colder</v>
      </c>
      <c r="R525" s="4">
        <v>5</v>
      </c>
      <c r="S525" s="16" t="str" cm="1">
        <f t="array" ref="S525">_xlfn.IFS(Table1[[#This Row],[weathersit]]=1,"clear sky",Table1[[#This Row],[weathersit]]=2,"mist",Table1[[#This Row],[weathersit]]=3,"partially dark",Table1[[#This Row],[weathersit]]=4,"rain")</f>
        <v>clear sky</v>
      </c>
    </row>
    <row r="526" spans="1:19" ht="15" customHeight="1" x14ac:dyDescent="0.3">
      <c r="A526" s="2">
        <v>525</v>
      </c>
      <c r="B526" s="3">
        <v>41068</v>
      </c>
      <c r="C526" s="2">
        <v>1</v>
      </c>
      <c r="D526" s="2">
        <v>0</v>
      </c>
      <c r="E526" s="2">
        <v>1</v>
      </c>
      <c r="F526" s="2">
        <v>23</v>
      </c>
      <c r="G526" s="2" t="b">
        <v>0</v>
      </c>
      <c r="H526" s="2">
        <v>0</v>
      </c>
      <c r="I526" s="2">
        <v>1</v>
      </c>
      <c r="J526" s="2">
        <v>0.06</v>
      </c>
      <c r="K526" s="4">
        <v>6.0600000000000001E-2</v>
      </c>
      <c r="L526" s="4">
        <v>0.41</v>
      </c>
      <c r="M526" s="4">
        <v>0.22389999999999999</v>
      </c>
      <c r="N526" s="4">
        <v>17</v>
      </c>
      <c r="O526" s="2">
        <v>21</v>
      </c>
      <c r="P526" s="2" t="str">
        <f t="shared" si="8"/>
        <v>Friday</v>
      </c>
      <c r="Q526" s="2" t="str">
        <f>IF(Table1[[#This Row],[temp]]&gt;=0.24,"cold","colder")</f>
        <v>colder</v>
      </c>
      <c r="R526" s="4">
        <v>4</v>
      </c>
      <c r="S526" s="16" t="str" cm="1">
        <f t="array" ref="S526">_xlfn.IFS(Table1[[#This Row],[weathersit]]=1,"clear sky",Table1[[#This Row],[weathersit]]=2,"mist",Table1[[#This Row],[weathersit]]=3,"partially dark",Table1[[#This Row],[weathersit]]=4,"rain")</f>
        <v>clear sky</v>
      </c>
    </row>
    <row r="527" spans="1:19" ht="15" customHeight="1" x14ac:dyDescent="0.3">
      <c r="A527" s="2">
        <v>526</v>
      </c>
      <c r="B527" s="3">
        <v>41069</v>
      </c>
      <c r="C527" s="2">
        <v>1</v>
      </c>
      <c r="D527" s="2">
        <v>0</v>
      </c>
      <c r="E527" s="2">
        <v>1</v>
      </c>
      <c r="F527" s="2">
        <v>0</v>
      </c>
      <c r="G527" s="2" t="b">
        <v>0</v>
      </c>
      <c r="H527" s="2">
        <v>1</v>
      </c>
      <c r="I527" s="2">
        <v>1</v>
      </c>
      <c r="J527" s="2">
        <v>0.06</v>
      </c>
      <c r="K527" s="4">
        <v>6.0600000000000001E-2</v>
      </c>
      <c r="L527" s="4">
        <v>0.41</v>
      </c>
      <c r="M527" s="4">
        <v>0.19400000000000001</v>
      </c>
      <c r="N527" s="4">
        <v>7</v>
      </c>
      <c r="O527" s="2">
        <v>7</v>
      </c>
      <c r="P527" s="2" t="str">
        <f t="shared" si="8"/>
        <v>Saturday</v>
      </c>
      <c r="Q527" s="2" t="str">
        <f>IF(Table1[[#This Row],[temp]]&gt;=0.24,"cold","colder")</f>
        <v>colder</v>
      </c>
      <c r="R527" s="4">
        <v>0</v>
      </c>
      <c r="S527" s="16" t="str" cm="1">
        <f t="array" ref="S527">_xlfn.IFS(Table1[[#This Row],[weathersit]]=1,"clear sky",Table1[[#This Row],[weathersit]]=2,"mist",Table1[[#This Row],[weathersit]]=3,"partially dark",Table1[[#This Row],[weathersit]]=4,"rain")</f>
        <v>clear sky</v>
      </c>
    </row>
    <row r="528" spans="1:19" ht="15" customHeight="1" x14ac:dyDescent="0.3">
      <c r="A528" s="2">
        <v>527</v>
      </c>
      <c r="B528" s="3">
        <v>41070</v>
      </c>
      <c r="C528" s="2">
        <v>1</v>
      </c>
      <c r="D528" s="2">
        <v>0</v>
      </c>
      <c r="E528" s="2">
        <v>1</v>
      </c>
      <c r="F528" s="2">
        <v>1</v>
      </c>
      <c r="G528" s="2" t="b">
        <v>0</v>
      </c>
      <c r="H528" s="2">
        <v>1</v>
      </c>
      <c r="I528" s="2">
        <v>1</v>
      </c>
      <c r="J528" s="2">
        <v>0.04</v>
      </c>
      <c r="K528" s="4">
        <v>4.5499999999999999E-2</v>
      </c>
      <c r="L528" s="4">
        <v>0.45</v>
      </c>
      <c r="M528" s="4">
        <v>0.19400000000000001</v>
      </c>
      <c r="N528" s="4">
        <v>1</v>
      </c>
      <c r="O528" s="2">
        <v>1</v>
      </c>
      <c r="P528" s="2" t="str">
        <f t="shared" si="8"/>
        <v>Sunday</v>
      </c>
      <c r="Q528" s="2" t="str">
        <f>IF(Table1[[#This Row],[temp]]&gt;=0.24,"cold","colder")</f>
        <v>colder</v>
      </c>
      <c r="R528" s="4">
        <v>0</v>
      </c>
      <c r="S528" s="16" t="str" cm="1">
        <f t="array" ref="S528">_xlfn.IFS(Table1[[#This Row],[weathersit]]=1,"clear sky",Table1[[#This Row],[weathersit]]=2,"mist",Table1[[#This Row],[weathersit]]=3,"partially dark",Table1[[#This Row],[weathersit]]=4,"rain")</f>
        <v>clear sky</v>
      </c>
    </row>
    <row r="529" spans="1:19" ht="15" customHeight="1" x14ac:dyDescent="0.3">
      <c r="A529" s="2">
        <v>528</v>
      </c>
      <c r="B529" s="3">
        <v>41071</v>
      </c>
      <c r="C529" s="2">
        <v>1</v>
      </c>
      <c r="D529" s="2">
        <v>0</v>
      </c>
      <c r="E529" s="2">
        <v>1</v>
      </c>
      <c r="F529" s="2">
        <v>3</v>
      </c>
      <c r="G529" s="2" t="b">
        <v>0</v>
      </c>
      <c r="H529" s="2">
        <v>1</v>
      </c>
      <c r="I529" s="2">
        <v>1</v>
      </c>
      <c r="J529" s="2">
        <v>0.04</v>
      </c>
      <c r="K529" s="4">
        <v>3.0300000000000001E-2</v>
      </c>
      <c r="L529" s="4">
        <v>0.45</v>
      </c>
      <c r="M529" s="4">
        <v>0.25369999999999998</v>
      </c>
      <c r="N529" s="4">
        <v>1</v>
      </c>
      <c r="O529" s="2">
        <v>1</v>
      </c>
      <c r="P529" s="2" t="str">
        <f t="shared" si="8"/>
        <v>Monday</v>
      </c>
      <c r="Q529" s="2" t="str">
        <f>IF(Table1[[#This Row],[temp]]&gt;=0.24,"cold","colder")</f>
        <v>colder</v>
      </c>
      <c r="R529" s="4">
        <v>0</v>
      </c>
      <c r="S529" s="16" t="str" cm="1">
        <f t="array" ref="S529">_xlfn.IFS(Table1[[#This Row],[weathersit]]=1,"clear sky",Table1[[#This Row],[weathersit]]=2,"mist",Table1[[#This Row],[weathersit]]=3,"partially dark",Table1[[#This Row],[weathersit]]=4,"rain")</f>
        <v>clear sky</v>
      </c>
    </row>
    <row r="530" spans="1:19" ht="15" customHeight="1" x14ac:dyDescent="0.3">
      <c r="A530" s="2">
        <v>529</v>
      </c>
      <c r="B530" s="3">
        <v>41072</v>
      </c>
      <c r="C530" s="2">
        <v>1</v>
      </c>
      <c r="D530" s="2">
        <v>0</v>
      </c>
      <c r="E530" s="2">
        <v>1</v>
      </c>
      <c r="F530" s="2">
        <v>4</v>
      </c>
      <c r="G530" s="2" t="b">
        <v>0</v>
      </c>
      <c r="H530" s="2">
        <v>1</v>
      </c>
      <c r="I530" s="2">
        <v>1</v>
      </c>
      <c r="J530" s="2">
        <v>0.02</v>
      </c>
      <c r="K530" s="4">
        <v>6.0600000000000001E-2</v>
      </c>
      <c r="L530" s="4">
        <v>0.48</v>
      </c>
      <c r="M530" s="4">
        <v>0.1343</v>
      </c>
      <c r="N530" s="4">
        <v>1</v>
      </c>
      <c r="O530" s="2">
        <v>1</v>
      </c>
      <c r="P530" s="2" t="str">
        <f t="shared" si="8"/>
        <v>Tuesday</v>
      </c>
      <c r="Q530" s="2" t="str">
        <f>IF(Table1[[#This Row],[temp]]&gt;=0.24,"cold","colder")</f>
        <v>colder</v>
      </c>
      <c r="R530" s="4">
        <v>0</v>
      </c>
      <c r="S530" s="16" t="str" cm="1">
        <f t="array" ref="S530">_xlfn.IFS(Table1[[#This Row],[weathersit]]=1,"clear sky",Table1[[#This Row],[weathersit]]=2,"mist",Table1[[#This Row],[weathersit]]=3,"partially dark",Table1[[#This Row],[weathersit]]=4,"rain")</f>
        <v>clear sky</v>
      </c>
    </row>
    <row r="531" spans="1:19" ht="15" customHeight="1" x14ac:dyDescent="0.3">
      <c r="A531" s="2">
        <v>530</v>
      </c>
      <c r="B531" s="3">
        <v>41073</v>
      </c>
      <c r="C531" s="2">
        <v>1</v>
      </c>
      <c r="D531" s="2">
        <v>0</v>
      </c>
      <c r="E531" s="2">
        <v>1</v>
      </c>
      <c r="F531" s="2">
        <v>5</v>
      </c>
      <c r="G531" s="2" t="b">
        <v>0</v>
      </c>
      <c r="H531" s="2">
        <v>1</v>
      </c>
      <c r="I531" s="2">
        <v>1</v>
      </c>
      <c r="J531" s="2">
        <v>0.02</v>
      </c>
      <c r="K531" s="4">
        <v>6.0600000000000001E-2</v>
      </c>
      <c r="L531" s="4">
        <v>0.48</v>
      </c>
      <c r="M531" s="4">
        <v>0.1343</v>
      </c>
      <c r="N531" s="4">
        <v>5</v>
      </c>
      <c r="O531" s="2">
        <v>5</v>
      </c>
      <c r="P531" s="2" t="str">
        <f t="shared" si="8"/>
        <v>Wednesday</v>
      </c>
      <c r="Q531" s="2" t="str">
        <f>IF(Table1[[#This Row],[temp]]&gt;=0.24,"cold","colder")</f>
        <v>colder</v>
      </c>
      <c r="R531" s="4">
        <v>0</v>
      </c>
      <c r="S531" s="16" t="str" cm="1">
        <f t="array" ref="S531">_xlfn.IFS(Table1[[#This Row],[weathersit]]=1,"clear sky",Table1[[#This Row],[weathersit]]=2,"mist",Table1[[#This Row],[weathersit]]=3,"partially dark",Table1[[#This Row],[weathersit]]=4,"rain")</f>
        <v>clear sky</v>
      </c>
    </row>
    <row r="532" spans="1:19" ht="15" customHeight="1" x14ac:dyDescent="0.3">
      <c r="A532" s="2">
        <v>531</v>
      </c>
      <c r="B532" s="3">
        <v>41074</v>
      </c>
      <c r="C532" s="2">
        <v>1</v>
      </c>
      <c r="D532" s="2">
        <v>0</v>
      </c>
      <c r="E532" s="2">
        <v>1</v>
      </c>
      <c r="F532" s="2">
        <v>6</v>
      </c>
      <c r="G532" s="2" t="b">
        <v>0</v>
      </c>
      <c r="H532" s="2">
        <v>1</v>
      </c>
      <c r="I532" s="2">
        <v>1</v>
      </c>
      <c r="J532" s="2">
        <v>0.02</v>
      </c>
      <c r="K532" s="4">
        <v>7.5800000000000006E-2</v>
      </c>
      <c r="L532" s="4">
        <v>0.48</v>
      </c>
      <c r="M532" s="4">
        <v>8.9599999999999999E-2</v>
      </c>
      <c r="N532" s="4">
        <v>15</v>
      </c>
      <c r="O532" s="2">
        <v>15</v>
      </c>
      <c r="P532" s="2" t="str">
        <f t="shared" si="8"/>
        <v>Thursday</v>
      </c>
      <c r="Q532" s="2" t="str">
        <f>IF(Table1[[#This Row],[temp]]&gt;=0.24,"cold","colder")</f>
        <v>colder</v>
      </c>
      <c r="R532" s="4">
        <v>0</v>
      </c>
      <c r="S532" s="16" t="str" cm="1">
        <f t="array" ref="S532">_xlfn.IFS(Table1[[#This Row],[weathersit]]=1,"clear sky",Table1[[#This Row],[weathersit]]=2,"mist",Table1[[#This Row],[weathersit]]=3,"partially dark",Table1[[#This Row],[weathersit]]=4,"rain")</f>
        <v>clear sky</v>
      </c>
    </row>
    <row r="533" spans="1:19" ht="15" customHeight="1" x14ac:dyDescent="0.3">
      <c r="A533" s="2">
        <v>532</v>
      </c>
      <c r="B533" s="3">
        <v>41075</v>
      </c>
      <c r="C533" s="2">
        <v>1</v>
      </c>
      <c r="D533" s="2">
        <v>0</v>
      </c>
      <c r="E533" s="2">
        <v>1</v>
      </c>
      <c r="F533" s="2">
        <v>7</v>
      </c>
      <c r="G533" s="2" t="b">
        <v>0</v>
      </c>
      <c r="H533" s="2">
        <v>1</v>
      </c>
      <c r="I533" s="2">
        <v>1</v>
      </c>
      <c r="J533" s="2">
        <v>0.02</v>
      </c>
      <c r="K533" s="4">
        <v>0.1212</v>
      </c>
      <c r="L533" s="4">
        <v>0.48</v>
      </c>
      <c r="M533" s="4">
        <v>0</v>
      </c>
      <c r="N533" s="4">
        <v>79</v>
      </c>
      <c r="O533" s="2">
        <v>84</v>
      </c>
      <c r="P533" s="2" t="str">
        <f t="shared" si="8"/>
        <v>Friday</v>
      </c>
      <c r="Q533" s="2" t="str">
        <f>IF(Table1[[#This Row],[temp]]&gt;=0.24,"cold","colder")</f>
        <v>colder</v>
      </c>
      <c r="R533" s="4">
        <v>5</v>
      </c>
      <c r="S533" s="16" t="str" cm="1">
        <f t="array" ref="S533">_xlfn.IFS(Table1[[#This Row],[weathersit]]=1,"clear sky",Table1[[#This Row],[weathersit]]=2,"mist",Table1[[#This Row],[weathersit]]=3,"partially dark",Table1[[#This Row],[weathersit]]=4,"rain")</f>
        <v>clear sky</v>
      </c>
    </row>
    <row r="534" spans="1:19" ht="15" customHeight="1" x14ac:dyDescent="0.3">
      <c r="A534" s="2">
        <v>533</v>
      </c>
      <c r="B534" s="3">
        <v>41076</v>
      </c>
      <c r="C534" s="2">
        <v>1</v>
      </c>
      <c r="D534" s="2">
        <v>0</v>
      </c>
      <c r="E534" s="2">
        <v>1</v>
      </c>
      <c r="F534" s="2">
        <v>8</v>
      </c>
      <c r="G534" s="2" t="b">
        <v>0</v>
      </c>
      <c r="H534" s="2">
        <v>1</v>
      </c>
      <c r="I534" s="2">
        <v>1</v>
      </c>
      <c r="J534" s="2">
        <v>0.04</v>
      </c>
      <c r="K534" s="4">
        <v>0.13639999999999999</v>
      </c>
      <c r="L534" s="4">
        <v>0.49</v>
      </c>
      <c r="M534" s="4">
        <v>0</v>
      </c>
      <c r="N534" s="4">
        <v>171</v>
      </c>
      <c r="O534" s="2">
        <v>177</v>
      </c>
      <c r="P534" s="2" t="str">
        <f t="shared" si="8"/>
        <v>Saturday</v>
      </c>
      <c r="Q534" s="2" t="str">
        <f>IF(Table1[[#This Row],[temp]]&gt;=0.24,"cold","colder")</f>
        <v>colder</v>
      </c>
      <c r="R534" s="4">
        <v>6</v>
      </c>
      <c r="S534" s="16" t="str" cm="1">
        <f t="array" ref="S534">_xlfn.IFS(Table1[[#This Row],[weathersit]]=1,"clear sky",Table1[[#This Row],[weathersit]]=2,"mist",Table1[[#This Row],[weathersit]]=3,"partially dark",Table1[[#This Row],[weathersit]]=4,"rain")</f>
        <v>clear sky</v>
      </c>
    </row>
    <row r="535" spans="1:19" ht="15" customHeight="1" x14ac:dyDescent="0.3">
      <c r="A535" s="2">
        <v>534</v>
      </c>
      <c r="B535" s="3">
        <v>41077</v>
      </c>
      <c r="C535" s="2">
        <v>1</v>
      </c>
      <c r="D535" s="2">
        <v>0</v>
      </c>
      <c r="E535" s="2">
        <v>1</v>
      </c>
      <c r="F535" s="2">
        <v>9</v>
      </c>
      <c r="G535" s="2" t="b">
        <v>0</v>
      </c>
      <c r="H535" s="2">
        <v>1</v>
      </c>
      <c r="I535" s="2">
        <v>1</v>
      </c>
      <c r="J535" s="2">
        <v>0.06</v>
      </c>
      <c r="K535" s="4">
        <v>0.1515</v>
      </c>
      <c r="L535" s="4">
        <v>0.41</v>
      </c>
      <c r="M535" s="4">
        <v>0</v>
      </c>
      <c r="N535" s="4">
        <v>98</v>
      </c>
      <c r="O535" s="2">
        <v>102</v>
      </c>
      <c r="P535" s="2" t="str">
        <f t="shared" si="8"/>
        <v>Sunday</v>
      </c>
      <c r="Q535" s="2" t="str">
        <f>IF(Table1[[#This Row],[temp]]&gt;=0.24,"cold","colder")</f>
        <v>colder</v>
      </c>
      <c r="R535" s="4">
        <v>4</v>
      </c>
      <c r="S535" s="16" t="str" cm="1">
        <f t="array" ref="S535">_xlfn.IFS(Table1[[#This Row],[weathersit]]=1,"clear sky",Table1[[#This Row],[weathersit]]=2,"mist",Table1[[#This Row],[weathersit]]=3,"partially dark",Table1[[#This Row],[weathersit]]=4,"rain")</f>
        <v>clear sky</v>
      </c>
    </row>
    <row r="536" spans="1:19" ht="15" customHeight="1" x14ac:dyDescent="0.3">
      <c r="A536" s="2">
        <v>535</v>
      </c>
      <c r="B536" s="3">
        <v>41078</v>
      </c>
      <c r="C536" s="2">
        <v>1</v>
      </c>
      <c r="D536" s="2">
        <v>0</v>
      </c>
      <c r="E536" s="2">
        <v>1</v>
      </c>
      <c r="F536" s="2">
        <v>10</v>
      </c>
      <c r="G536" s="2" t="b">
        <v>0</v>
      </c>
      <c r="H536" s="2">
        <v>1</v>
      </c>
      <c r="I536" s="2">
        <v>1</v>
      </c>
      <c r="J536" s="2">
        <v>0.1</v>
      </c>
      <c r="K536" s="4">
        <v>0.13639999999999999</v>
      </c>
      <c r="L536" s="4">
        <v>0.42</v>
      </c>
      <c r="M536" s="4">
        <v>0</v>
      </c>
      <c r="N536" s="4">
        <v>34</v>
      </c>
      <c r="O536" s="2">
        <v>40</v>
      </c>
      <c r="P536" s="2" t="str">
        <f t="shared" si="8"/>
        <v>Monday</v>
      </c>
      <c r="Q536" s="2" t="str">
        <f>IF(Table1[[#This Row],[temp]]&gt;=0.24,"cold","colder")</f>
        <v>colder</v>
      </c>
      <c r="R536" s="4">
        <v>6</v>
      </c>
      <c r="S536" s="16" t="str" cm="1">
        <f t="array" ref="S536">_xlfn.IFS(Table1[[#This Row],[weathersit]]=1,"clear sky",Table1[[#This Row],[weathersit]]=2,"mist",Table1[[#This Row],[weathersit]]=3,"partially dark",Table1[[#This Row],[weathersit]]=4,"rain")</f>
        <v>clear sky</v>
      </c>
    </row>
    <row r="537" spans="1:19" ht="15" customHeight="1" x14ac:dyDescent="0.3">
      <c r="A537" s="2">
        <v>536</v>
      </c>
      <c r="B537" s="3">
        <v>41079</v>
      </c>
      <c r="C537" s="2">
        <v>1</v>
      </c>
      <c r="D537" s="2">
        <v>0</v>
      </c>
      <c r="E537" s="2">
        <v>1</v>
      </c>
      <c r="F537" s="2">
        <v>11</v>
      </c>
      <c r="G537" s="2" t="b">
        <v>0</v>
      </c>
      <c r="H537" s="2">
        <v>1</v>
      </c>
      <c r="I537" s="2">
        <v>1</v>
      </c>
      <c r="J537" s="2">
        <v>0.1</v>
      </c>
      <c r="K537" s="4">
        <v>0.1212</v>
      </c>
      <c r="L537" s="4">
        <v>0.46</v>
      </c>
      <c r="M537" s="4">
        <v>0.1343</v>
      </c>
      <c r="N537" s="4">
        <v>43</v>
      </c>
      <c r="O537" s="2">
        <v>46</v>
      </c>
      <c r="P537" s="2" t="str">
        <f t="shared" si="8"/>
        <v>Tuesday</v>
      </c>
      <c r="Q537" s="2" t="str">
        <f>IF(Table1[[#This Row],[temp]]&gt;=0.24,"cold","colder")</f>
        <v>colder</v>
      </c>
      <c r="R537" s="4">
        <v>3</v>
      </c>
      <c r="S537" s="16" t="str" cm="1">
        <f t="array" ref="S537">_xlfn.IFS(Table1[[#This Row],[weathersit]]=1,"clear sky",Table1[[#This Row],[weathersit]]=2,"mist",Table1[[#This Row],[weathersit]]=3,"partially dark",Table1[[#This Row],[weathersit]]=4,"rain")</f>
        <v>clear sky</v>
      </c>
    </row>
    <row r="538" spans="1:19" ht="15" customHeight="1" x14ac:dyDescent="0.3">
      <c r="A538" s="2">
        <v>537</v>
      </c>
      <c r="B538" s="3">
        <v>41080</v>
      </c>
      <c r="C538" s="2">
        <v>1</v>
      </c>
      <c r="D538" s="2">
        <v>0</v>
      </c>
      <c r="E538" s="2">
        <v>1</v>
      </c>
      <c r="F538" s="2">
        <v>12</v>
      </c>
      <c r="G538" s="2" t="b">
        <v>0</v>
      </c>
      <c r="H538" s="2">
        <v>1</v>
      </c>
      <c r="I538" s="2">
        <v>2</v>
      </c>
      <c r="J538" s="2">
        <v>0.12</v>
      </c>
      <c r="K538" s="4">
        <v>0.13639999999999999</v>
      </c>
      <c r="L538" s="4">
        <v>0.42</v>
      </c>
      <c r="M538" s="4">
        <v>0.19400000000000001</v>
      </c>
      <c r="N538" s="4">
        <v>52</v>
      </c>
      <c r="O538" s="2">
        <v>63</v>
      </c>
      <c r="P538" s="2" t="str">
        <f t="shared" si="8"/>
        <v>Wednesday</v>
      </c>
      <c r="Q538" s="2" t="str">
        <f>IF(Table1[[#This Row],[temp]]&gt;=0.24,"cold","colder")</f>
        <v>colder</v>
      </c>
      <c r="R538" s="4">
        <v>11</v>
      </c>
      <c r="S538" s="16" t="str" cm="1">
        <f t="array" ref="S538">_xlfn.IFS(Table1[[#This Row],[weathersit]]=1,"clear sky",Table1[[#This Row],[weathersit]]=2,"mist",Table1[[#This Row],[weathersit]]=3,"partially dark",Table1[[#This Row],[weathersit]]=4,"rain")</f>
        <v>mist</v>
      </c>
    </row>
    <row r="539" spans="1:19" ht="15" customHeight="1" x14ac:dyDescent="0.3">
      <c r="A539" s="2">
        <v>538</v>
      </c>
      <c r="B539" s="3">
        <v>41081</v>
      </c>
      <c r="C539" s="2">
        <v>1</v>
      </c>
      <c r="D539" s="2">
        <v>0</v>
      </c>
      <c r="E539" s="2">
        <v>1</v>
      </c>
      <c r="F539" s="2">
        <v>13</v>
      </c>
      <c r="G539" s="2" t="b">
        <v>0</v>
      </c>
      <c r="H539" s="2">
        <v>1</v>
      </c>
      <c r="I539" s="2">
        <v>2</v>
      </c>
      <c r="J539" s="2">
        <v>0.14000000000000001</v>
      </c>
      <c r="K539" s="4">
        <v>0.13639999999999999</v>
      </c>
      <c r="L539" s="4">
        <v>0.43</v>
      </c>
      <c r="M539" s="4">
        <v>0.22389999999999999</v>
      </c>
      <c r="N539" s="4">
        <v>54</v>
      </c>
      <c r="O539" s="2">
        <v>60</v>
      </c>
      <c r="P539" s="2" t="str">
        <f t="shared" si="8"/>
        <v>Thursday</v>
      </c>
      <c r="Q539" s="2" t="str">
        <f>IF(Table1[[#This Row],[temp]]&gt;=0.24,"cold","colder")</f>
        <v>colder</v>
      </c>
      <c r="R539" s="4">
        <v>6</v>
      </c>
      <c r="S539" s="16" t="str" cm="1">
        <f t="array" ref="S539">_xlfn.IFS(Table1[[#This Row],[weathersit]]=1,"clear sky",Table1[[#This Row],[weathersit]]=2,"mist",Table1[[#This Row],[weathersit]]=3,"partially dark",Table1[[#This Row],[weathersit]]=4,"rain")</f>
        <v>mist</v>
      </c>
    </row>
    <row r="540" spans="1:19" ht="15" customHeight="1" x14ac:dyDescent="0.3">
      <c r="A540" s="2">
        <v>539</v>
      </c>
      <c r="B540" s="3">
        <v>41082</v>
      </c>
      <c r="C540" s="2">
        <v>1</v>
      </c>
      <c r="D540" s="2">
        <v>0</v>
      </c>
      <c r="E540" s="2">
        <v>1</v>
      </c>
      <c r="F540" s="2">
        <v>14</v>
      </c>
      <c r="G540" s="2" t="b">
        <v>0</v>
      </c>
      <c r="H540" s="2">
        <v>1</v>
      </c>
      <c r="I540" s="2">
        <v>2</v>
      </c>
      <c r="J540" s="2">
        <v>0.14000000000000001</v>
      </c>
      <c r="K540" s="4">
        <v>0.13639999999999999</v>
      </c>
      <c r="L540" s="4">
        <v>0.46</v>
      </c>
      <c r="M540" s="4">
        <v>0.22389999999999999</v>
      </c>
      <c r="N540" s="4">
        <v>43</v>
      </c>
      <c r="O540" s="2">
        <v>45</v>
      </c>
      <c r="P540" s="2" t="str">
        <f t="shared" si="8"/>
        <v>Friday</v>
      </c>
      <c r="Q540" s="2" t="str">
        <f>IF(Table1[[#This Row],[temp]]&gt;=0.24,"cold","colder")</f>
        <v>colder</v>
      </c>
      <c r="R540" s="4">
        <v>2</v>
      </c>
      <c r="S540" s="16" t="str" cm="1">
        <f t="array" ref="S540">_xlfn.IFS(Table1[[#This Row],[weathersit]]=1,"clear sky",Table1[[#This Row],[weathersit]]=2,"mist",Table1[[#This Row],[weathersit]]=3,"partially dark",Table1[[#This Row],[weathersit]]=4,"rain")</f>
        <v>mist</v>
      </c>
    </row>
    <row r="541" spans="1:19" ht="15" customHeight="1" x14ac:dyDescent="0.3">
      <c r="A541" s="2">
        <v>540</v>
      </c>
      <c r="B541" s="3">
        <v>41083</v>
      </c>
      <c r="C541" s="2">
        <v>1</v>
      </c>
      <c r="D541" s="2">
        <v>0</v>
      </c>
      <c r="E541" s="2">
        <v>1</v>
      </c>
      <c r="F541" s="2">
        <v>15</v>
      </c>
      <c r="G541" s="2" t="b">
        <v>0</v>
      </c>
      <c r="H541" s="2">
        <v>1</v>
      </c>
      <c r="I541" s="2">
        <v>1</v>
      </c>
      <c r="J541" s="2">
        <v>0.16</v>
      </c>
      <c r="K541" s="4">
        <v>0.16669999999999999</v>
      </c>
      <c r="L541" s="4">
        <v>0.4</v>
      </c>
      <c r="M541" s="4">
        <v>0.16420000000000001</v>
      </c>
      <c r="N541" s="4">
        <v>50</v>
      </c>
      <c r="O541" s="2">
        <v>57</v>
      </c>
      <c r="P541" s="2" t="str">
        <f t="shared" si="8"/>
        <v>Saturday</v>
      </c>
      <c r="Q541" s="2" t="str">
        <f>IF(Table1[[#This Row],[temp]]&gt;=0.24,"cold","colder")</f>
        <v>colder</v>
      </c>
      <c r="R541" s="4">
        <v>7</v>
      </c>
      <c r="S541" s="16" t="str" cm="1">
        <f t="array" ref="S541">_xlfn.IFS(Table1[[#This Row],[weathersit]]=1,"clear sky",Table1[[#This Row],[weathersit]]=2,"mist",Table1[[#This Row],[weathersit]]=3,"partially dark",Table1[[#This Row],[weathersit]]=4,"rain")</f>
        <v>clear sky</v>
      </c>
    </row>
    <row r="542" spans="1:19" ht="15" customHeight="1" x14ac:dyDescent="0.3">
      <c r="A542" s="2">
        <v>541</v>
      </c>
      <c r="B542" s="3">
        <v>41084</v>
      </c>
      <c r="C542" s="2">
        <v>1</v>
      </c>
      <c r="D542" s="2">
        <v>0</v>
      </c>
      <c r="E542" s="2">
        <v>1</v>
      </c>
      <c r="F542" s="2">
        <v>16</v>
      </c>
      <c r="G542" s="2" t="b">
        <v>0</v>
      </c>
      <c r="H542" s="2">
        <v>1</v>
      </c>
      <c r="I542" s="2">
        <v>1</v>
      </c>
      <c r="J542" s="2">
        <v>0.16</v>
      </c>
      <c r="K542" s="4">
        <v>0.1515</v>
      </c>
      <c r="L542" s="4">
        <v>0.47</v>
      </c>
      <c r="M542" s="4">
        <v>0.25369999999999998</v>
      </c>
      <c r="N542" s="4">
        <v>66</v>
      </c>
      <c r="O542" s="2">
        <v>70</v>
      </c>
      <c r="P542" s="2" t="str">
        <f t="shared" si="8"/>
        <v>Sunday</v>
      </c>
      <c r="Q542" s="2" t="str">
        <f>IF(Table1[[#This Row],[temp]]&gt;=0.24,"cold","colder")</f>
        <v>colder</v>
      </c>
      <c r="R542" s="4">
        <v>4</v>
      </c>
      <c r="S542" s="16" t="str" cm="1">
        <f t="array" ref="S542">_xlfn.IFS(Table1[[#This Row],[weathersit]]=1,"clear sky",Table1[[#This Row],[weathersit]]=2,"mist",Table1[[#This Row],[weathersit]]=3,"partially dark",Table1[[#This Row],[weathersit]]=4,"rain")</f>
        <v>clear sky</v>
      </c>
    </row>
    <row r="543" spans="1:19" ht="15" customHeight="1" x14ac:dyDescent="0.3">
      <c r="A543" s="2">
        <v>542</v>
      </c>
      <c r="B543" s="3">
        <v>41085</v>
      </c>
      <c r="C543" s="2">
        <v>1</v>
      </c>
      <c r="D543" s="2">
        <v>0</v>
      </c>
      <c r="E543" s="2">
        <v>1</v>
      </c>
      <c r="F543" s="2">
        <v>17</v>
      </c>
      <c r="G543" s="2" t="b">
        <v>0</v>
      </c>
      <c r="H543" s="2">
        <v>1</v>
      </c>
      <c r="I543" s="2">
        <v>1</v>
      </c>
      <c r="J543" s="2">
        <v>0.14000000000000001</v>
      </c>
      <c r="K543" s="4">
        <v>0.1212</v>
      </c>
      <c r="L543" s="4">
        <v>0.5</v>
      </c>
      <c r="M543" s="4">
        <v>0.25369999999999998</v>
      </c>
      <c r="N543" s="4">
        <v>178</v>
      </c>
      <c r="O543" s="2">
        <v>184</v>
      </c>
      <c r="P543" s="2" t="str">
        <f t="shared" si="8"/>
        <v>Monday</v>
      </c>
      <c r="Q543" s="2" t="str">
        <f>IF(Table1[[#This Row],[temp]]&gt;=0.24,"cold","colder")</f>
        <v>colder</v>
      </c>
      <c r="R543" s="4">
        <v>6</v>
      </c>
      <c r="S543" s="16" t="str" cm="1">
        <f t="array" ref="S543">_xlfn.IFS(Table1[[#This Row],[weathersit]]=1,"clear sky",Table1[[#This Row],[weathersit]]=2,"mist",Table1[[#This Row],[weathersit]]=3,"partially dark",Table1[[#This Row],[weathersit]]=4,"rain")</f>
        <v>clear sky</v>
      </c>
    </row>
    <row r="544" spans="1:19" ht="15" customHeight="1" x14ac:dyDescent="0.3">
      <c r="A544" s="2">
        <v>543</v>
      </c>
      <c r="B544" s="3">
        <v>41086</v>
      </c>
      <c r="C544" s="2">
        <v>1</v>
      </c>
      <c r="D544" s="2">
        <v>0</v>
      </c>
      <c r="E544" s="2">
        <v>1</v>
      </c>
      <c r="F544" s="2">
        <v>18</v>
      </c>
      <c r="G544" s="2" t="b">
        <v>0</v>
      </c>
      <c r="H544" s="2">
        <v>1</v>
      </c>
      <c r="I544" s="2">
        <v>1</v>
      </c>
      <c r="J544" s="2">
        <v>0.14000000000000001</v>
      </c>
      <c r="K544" s="4">
        <v>0.13639999999999999</v>
      </c>
      <c r="L544" s="4">
        <v>0.59</v>
      </c>
      <c r="M544" s="4">
        <v>0.19400000000000001</v>
      </c>
      <c r="N544" s="4">
        <v>145</v>
      </c>
      <c r="O544" s="2">
        <v>153</v>
      </c>
      <c r="P544" s="2" t="str">
        <f t="shared" si="8"/>
        <v>Tuesday</v>
      </c>
      <c r="Q544" s="2" t="str">
        <f>IF(Table1[[#This Row],[temp]]&gt;=0.24,"cold","colder")</f>
        <v>colder</v>
      </c>
      <c r="R544" s="4">
        <v>8</v>
      </c>
      <c r="S544" s="16" t="str" cm="1">
        <f t="array" ref="S544">_xlfn.IFS(Table1[[#This Row],[weathersit]]=1,"clear sky",Table1[[#This Row],[weathersit]]=2,"mist",Table1[[#This Row],[weathersit]]=3,"partially dark",Table1[[#This Row],[weathersit]]=4,"rain")</f>
        <v>clear sky</v>
      </c>
    </row>
    <row r="545" spans="1:19" ht="15" customHeight="1" x14ac:dyDescent="0.3">
      <c r="A545" s="2">
        <v>544</v>
      </c>
      <c r="B545" s="3">
        <v>41087</v>
      </c>
      <c r="C545" s="2">
        <v>1</v>
      </c>
      <c r="D545" s="2">
        <v>0</v>
      </c>
      <c r="E545" s="2">
        <v>1</v>
      </c>
      <c r="F545" s="2">
        <v>19</v>
      </c>
      <c r="G545" s="2" t="b">
        <v>0</v>
      </c>
      <c r="H545" s="2">
        <v>1</v>
      </c>
      <c r="I545" s="2">
        <v>1</v>
      </c>
      <c r="J545" s="2">
        <v>0.14000000000000001</v>
      </c>
      <c r="K545" s="4">
        <v>0.1515</v>
      </c>
      <c r="L545" s="4">
        <v>0.54</v>
      </c>
      <c r="M545" s="4">
        <v>0.16420000000000001</v>
      </c>
      <c r="N545" s="4">
        <v>101</v>
      </c>
      <c r="O545" s="2">
        <v>106</v>
      </c>
      <c r="P545" s="2" t="str">
        <f t="shared" si="8"/>
        <v>Wednesday</v>
      </c>
      <c r="Q545" s="2" t="str">
        <f>IF(Table1[[#This Row],[temp]]&gt;=0.24,"cold","colder")</f>
        <v>colder</v>
      </c>
      <c r="R545" s="4">
        <v>5</v>
      </c>
      <c r="S545" s="16" t="str" cm="1">
        <f t="array" ref="S545">_xlfn.IFS(Table1[[#This Row],[weathersit]]=1,"clear sky",Table1[[#This Row],[weathersit]]=2,"mist",Table1[[#This Row],[weathersit]]=3,"partially dark",Table1[[#This Row],[weathersit]]=4,"rain")</f>
        <v>clear sky</v>
      </c>
    </row>
    <row r="546" spans="1:19" ht="15" customHeight="1" x14ac:dyDescent="0.3">
      <c r="A546" s="2">
        <v>545</v>
      </c>
      <c r="B546" s="3">
        <v>41088</v>
      </c>
      <c r="C546" s="2">
        <v>1</v>
      </c>
      <c r="D546" s="2">
        <v>0</v>
      </c>
      <c r="E546" s="2">
        <v>1</v>
      </c>
      <c r="F546" s="2">
        <v>20</v>
      </c>
      <c r="G546" s="2" t="b">
        <v>0</v>
      </c>
      <c r="H546" s="2">
        <v>1</v>
      </c>
      <c r="I546" s="2">
        <v>1</v>
      </c>
      <c r="J546" s="2">
        <v>0.14000000000000001</v>
      </c>
      <c r="K546" s="4">
        <v>0.13639999999999999</v>
      </c>
      <c r="L546" s="4">
        <v>0.59</v>
      </c>
      <c r="M546" s="4">
        <v>0.19400000000000001</v>
      </c>
      <c r="N546" s="4">
        <v>80</v>
      </c>
      <c r="O546" s="2">
        <v>81</v>
      </c>
      <c r="P546" s="2" t="str">
        <f t="shared" si="8"/>
        <v>Thursday</v>
      </c>
      <c r="Q546" s="2" t="str">
        <f>IF(Table1[[#This Row],[temp]]&gt;=0.24,"cold","colder")</f>
        <v>colder</v>
      </c>
      <c r="R546" s="4">
        <v>1</v>
      </c>
      <c r="S546" s="16" t="str" cm="1">
        <f t="array" ref="S546">_xlfn.IFS(Table1[[#This Row],[weathersit]]=1,"clear sky",Table1[[#This Row],[weathersit]]=2,"mist",Table1[[#This Row],[weathersit]]=3,"partially dark",Table1[[#This Row],[weathersit]]=4,"rain")</f>
        <v>clear sky</v>
      </c>
    </row>
    <row r="547" spans="1:19" ht="15" customHeight="1" x14ac:dyDescent="0.3">
      <c r="A547" s="2">
        <v>546</v>
      </c>
      <c r="B547" s="3">
        <v>41089</v>
      </c>
      <c r="C547" s="2">
        <v>1</v>
      </c>
      <c r="D547" s="2">
        <v>0</v>
      </c>
      <c r="E547" s="2">
        <v>1</v>
      </c>
      <c r="F547" s="2">
        <v>21</v>
      </c>
      <c r="G547" s="2" t="b">
        <v>0</v>
      </c>
      <c r="H547" s="2">
        <v>1</v>
      </c>
      <c r="I547" s="2">
        <v>1</v>
      </c>
      <c r="J547" s="2">
        <v>0.14000000000000001</v>
      </c>
      <c r="K547" s="4">
        <v>0.1515</v>
      </c>
      <c r="L547" s="4">
        <v>0.63</v>
      </c>
      <c r="M547" s="4">
        <v>0.16420000000000001</v>
      </c>
      <c r="N547" s="4">
        <v>53</v>
      </c>
      <c r="O547" s="2">
        <v>59</v>
      </c>
      <c r="P547" s="2" t="str">
        <f t="shared" si="8"/>
        <v>Friday</v>
      </c>
      <c r="Q547" s="2" t="str">
        <f>IF(Table1[[#This Row],[temp]]&gt;=0.24,"cold","colder")</f>
        <v>colder</v>
      </c>
      <c r="R547" s="4">
        <v>6</v>
      </c>
      <c r="S547" s="16" t="str" cm="1">
        <f t="array" ref="S547">_xlfn.IFS(Table1[[#This Row],[weathersit]]=1,"clear sky",Table1[[#This Row],[weathersit]]=2,"mist",Table1[[#This Row],[weathersit]]=3,"partially dark",Table1[[#This Row],[weathersit]]=4,"rain")</f>
        <v>clear sky</v>
      </c>
    </row>
    <row r="548" spans="1:19" ht="15" customHeight="1" x14ac:dyDescent="0.3">
      <c r="A548" s="2">
        <v>547</v>
      </c>
      <c r="B548" s="3">
        <v>41090</v>
      </c>
      <c r="C548" s="2">
        <v>1</v>
      </c>
      <c r="D548" s="2">
        <v>0</v>
      </c>
      <c r="E548" s="2">
        <v>1</v>
      </c>
      <c r="F548" s="2">
        <v>22</v>
      </c>
      <c r="G548" s="2" t="b">
        <v>0</v>
      </c>
      <c r="H548" s="2">
        <v>1</v>
      </c>
      <c r="I548" s="2">
        <v>2</v>
      </c>
      <c r="J548" s="2">
        <v>0.14000000000000001</v>
      </c>
      <c r="K548" s="4">
        <v>0.13639999999999999</v>
      </c>
      <c r="L548" s="4">
        <v>0.63</v>
      </c>
      <c r="M548" s="4">
        <v>0.22389999999999999</v>
      </c>
      <c r="N548" s="4">
        <v>32</v>
      </c>
      <c r="O548" s="2">
        <v>35</v>
      </c>
      <c r="P548" s="2" t="str">
        <f t="shared" si="8"/>
        <v>Saturday</v>
      </c>
      <c r="Q548" s="2" t="str">
        <f>IF(Table1[[#This Row],[temp]]&gt;=0.24,"cold","colder")</f>
        <v>colder</v>
      </c>
      <c r="R548" s="4">
        <v>3</v>
      </c>
      <c r="S548" s="16" t="str" cm="1">
        <f t="array" ref="S548">_xlfn.IFS(Table1[[#This Row],[weathersit]]=1,"clear sky",Table1[[#This Row],[weathersit]]=2,"mist",Table1[[#This Row],[weathersit]]=3,"partially dark",Table1[[#This Row],[weathersit]]=4,"rain")</f>
        <v>mist</v>
      </c>
    </row>
    <row r="549" spans="1:19" ht="15" customHeight="1" x14ac:dyDescent="0.3">
      <c r="A549" s="2">
        <v>548</v>
      </c>
      <c r="B549" s="3">
        <v>41091</v>
      </c>
      <c r="C549" s="2">
        <v>1</v>
      </c>
      <c r="D549" s="2">
        <v>0</v>
      </c>
      <c r="E549" s="2">
        <v>1</v>
      </c>
      <c r="F549" s="2">
        <v>23</v>
      </c>
      <c r="G549" s="2" t="b">
        <v>0</v>
      </c>
      <c r="H549" s="2">
        <v>1</v>
      </c>
      <c r="I549" s="2">
        <v>2</v>
      </c>
      <c r="J549" s="2">
        <v>0.16</v>
      </c>
      <c r="K549" s="4">
        <v>0.1515</v>
      </c>
      <c r="L549" s="4">
        <v>0.64</v>
      </c>
      <c r="M549" s="4">
        <v>0.25369999999999998</v>
      </c>
      <c r="N549" s="4">
        <v>21</v>
      </c>
      <c r="O549" s="2">
        <v>24</v>
      </c>
      <c r="P549" s="2" t="str">
        <f t="shared" si="8"/>
        <v>Sunday</v>
      </c>
      <c r="Q549" s="2" t="str">
        <f>IF(Table1[[#This Row],[temp]]&gt;=0.24,"cold","colder")</f>
        <v>colder</v>
      </c>
      <c r="R549" s="4">
        <v>3</v>
      </c>
      <c r="S549" s="16" t="str" cm="1">
        <f t="array" ref="S549">_xlfn.IFS(Table1[[#This Row],[weathersit]]=1,"clear sky",Table1[[#This Row],[weathersit]]=2,"mist",Table1[[#This Row],[weathersit]]=3,"partially dark",Table1[[#This Row],[weathersit]]=4,"rain")</f>
        <v>mist</v>
      </c>
    </row>
    <row r="550" spans="1:19" ht="15" customHeight="1" x14ac:dyDescent="0.3">
      <c r="A550" s="2">
        <v>549</v>
      </c>
      <c r="B550" s="3">
        <v>41092</v>
      </c>
      <c r="C550" s="2">
        <v>1</v>
      </c>
      <c r="D550" s="2">
        <v>0</v>
      </c>
      <c r="E550" s="2">
        <v>1</v>
      </c>
      <c r="F550" s="2">
        <v>0</v>
      </c>
      <c r="G550" s="2" t="b">
        <v>0</v>
      </c>
      <c r="H550" s="2">
        <v>2</v>
      </c>
      <c r="I550" s="2">
        <v>2</v>
      </c>
      <c r="J550" s="2">
        <v>0.16</v>
      </c>
      <c r="K550" s="4">
        <v>0.13639999999999999</v>
      </c>
      <c r="L550" s="4">
        <v>0.69</v>
      </c>
      <c r="M550" s="4">
        <v>0.28360000000000002</v>
      </c>
      <c r="N550" s="4">
        <v>6</v>
      </c>
      <c r="O550" s="2">
        <v>9</v>
      </c>
      <c r="P550" s="2" t="str">
        <f t="shared" si="8"/>
        <v>Monday</v>
      </c>
      <c r="Q550" s="2" t="str">
        <f>IF(Table1[[#This Row],[temp]]&gt;=0.24,"cold","colder")</f>
        <v>colder</v>
      </c>
      <c r="R550" s="4">
        <v>3</v>
      </c>
      <c r="S550" s="16" t="str" cm="1">
        <f t="array" ref="S550">_xlfn.IFS(Table1[[#This Row],[weathersit]]=1,"clear sky",Table1[[#This Row],[weathersit]]=2,"mist",Table1[[#This Row],[weathersit]]=3,"partially dark",Table1[[#This Row],[weathersit]]=4,"rain")</f>
        <v>mist</v>
      </c>
    </row>
    <row r="551" spans="1:19" ht="15" customHeight="1" x14ac:dyDescent="0.3">
      <c r="A551" s="2">
        <v>550</v>
      </c>
      <c r="B551" s="3">
        <v>41093</v>
      </c>
      <c r="C551" s="2">
        <v>1</v>
      </c>
      <c r="D551" s="2">
        <v>0</v>
      </c>
      <c r="E551" s="2">
        <v>1</v>
      </c>
      <c r="F551" s="2">
        <v>1</v>
      </c>
      <c r="G551" s="2" t="b">
        <v>0</v>
      </c>
      <c r="H551" s="2">
        <v>2</v>
      </c>
      <c r="I551" s="2">
        <v>2</v>
      </c>
      <c r="J551" s="2">
        <v>0.16</v>
      </c>
      <c r="K551" s="4">
        <v>0.16669999999999999</v>
      </c>
      <c r="L551" s="4">
        <v>0.69</v>
      </c>
      <c r="M551" s="4">
        <v>0.16420000000000001</v>
      </c>
      <c r="N551" s="4">
        <v>5</v>
      </c>
      <c r="O551" s="2">
        <v>5</v>
      </c>
      <c r="P551" s="2" t="str">
        <f t="shared" si="8"/>
        <v>Tuesday</v>
      </c>
      <c r="Q551" s="2" t="str">
        <f>IF(Table1[[#This Row],[temp]]&gt;=0.24,"cold","colder")</f>
        <v>colder</v>
      </c>
      <c r="R551" s="4">
        <v>0</v>
      </c>
      <c r="S551" s="16" t="str" cm="1">
        <f t="array" ref="S551">_xlfn.IFS(Table1[[#This Row],[weathersit]]=1,"clear sky",Table1[[#This Row],[weathersit]]=2,"mist",Table1[[#This Row],[weathersit]]=3,"partially dark",Table1[[#This Row],[weathersit]]=4,"rain")</f>
        <v>mist</v>
      </c>
    </row>
    <row r="552" spans="1:19" ht="15" customHeight="1" x14ac:dyDescent="0.3">
      <c r="A552" s="2">
        <v>551</v>
      </c>
      <c r="B552" s="3">
        <v>41094</v>
      </c>
      <c r="C552" s="2">
        <v>1</v>
      </c>
      <c r="D552" s="2">
        <v>0</v>
      </c>
      <c r="E552" s="2">
        <v>1</v>
      </c>
      <c r="F552" s="2">
        <v>2</v>
      </c>
      <c r="G552" s="2" t="b">
        <v>0</v>
      </c>
      <c r="H552" s="2">
        <v>2</v>
      </c>
      <c r="I552" s="2">
        <v>1</v>
      </c>
      <c r="J552" s="2">
        <v>0.16</v>
      </c>
      <c r="K552" s="4">
        <v>0.1515</v>
      </c>
      <c r="L552" s="4">
        <v>0.69</v>
      </c>
      <c r="M552" s="4">
        <v>0.22389999999999999</v>
      </c>
      <c r="N552" s="4">
        <v>2</v>
      </c>
      <c r="O552" s="2">
        <v>2</v>
      </c>
      <c r="P552" s="2" t="str">
        <f t="shared" si="8"/>
        <v>Wednesday</v>
      </c>
      <c r="Q552" s="2" t="str">
        <f>IF(Table1[[#This Row],[temp]]&gt;=0.24,"cold","colder")</f>
        <v>colder</v>
      </c>
      <c r="R552" s="4">
        <v>0</v>
      </c>
      <c r="S552" s="16" t="str" cm="1">
        <f t="array" ref="S552">_xlfn.IFS(Table1[[#This Row],[weathersit]]=1,"clear sky",Table1[[#This Row],[weathersit]]=2,"mist",Table1[[#This Row],[weathersit]]=3,"partially dark",Table1[[#This Row],[weathersit]]=4,"rain")</f>
        <v>clear sky</v>
      </c>
    </row>
    <row r="553" spans="1:19" ht="15" customHeight="1" x14ac:dyDescent="0.3">
      <c r="A553" s="2">
        <v>552</v>
      </c>
      <c r="B553" s="3">
        <v>41095</v>
      </c>
      <c r="C553" s="2">
        <v>1</v>
      </c>
      <c r="D553" s="2">
        <v>0</v>
      </c>
      <c r="E553" s="2">
        <v>1</v>
      </c>
      <c r="F553" s="2">
        <v>4</v>
      </c>
      <c r="G553" s="2" t="b">
        <v>0</v>
      </c>
      <c r="H553" s="2">
        <v>2</v>
      </c>
      <c r="I553" s="2">
        <v>1</v>
      </c>
      <c r="J553" s="2">
        <v>0.14000000000000001</v>
      </c>
      <c r="K553" s="4">
        <v>0.16669999999999999</v>
      </c>
      <c r="L553" s="4">
        <v>0.74</v>
      </c>
      <c r="M553" s="4">
        <v>0.1045</v>
      </c>
      <c r="N553" s="4">
        <v>1</v>
      </c>
      <c r="O553" s="2">
        <v>1</v>
      </c>
      <c r="P553" s="2" t="str">
        <f t="shared" si="8"/>
        <v>Thursday</v>
      </c>
      <c r="Q553" s="2" t="str">
        <f>IF(Table1[[#This Row],[temp]]&gt;=0.24,"cold","colder")</f>
        <v>colder</v>
      </c>
      <c r="R553" s="4">
        <v>0</v>
      </c>
      <c r="S553" s="16" t="str" cm="1">
        <f t="array" ref="S553">_xlfn.IFS(Table1[[#This Row],[weathersit]]=1,"clear sky",Table1[[#This Row],[weathersit]]=2,"mist",Table1[[#This Row],[weathersit]]=3,"partially dark",Table1[[#This Row],[weathersit]]=4,"rain")</f>
        <v>clear sky</v>
      </c>
    </row>
    <row r="554" spans="1:19" ht="15" customHeight="1" x14ac:dyDescent="0.3">
      <c r="A554" s="2">
        <v>553</v>
      </c>
      <c r="B554" s="3">
        <v>41096</v>
      </c>
      <c r="C554" s="2">
        <v>1</v>
      </c>
      <c r="D554" s="2">
        <v>0</v>
      </c>
      <c r="E554" s="2">
        <v>1</v>
      </c>
      <c r="F554" s="2">
        <v>5</v>
      </c>
      <c r="G554" s="2" t="b">
        <v>0</v>
      </c>
      <c r="H554" s="2">
        <v>2</v>
      </c>
      <c r="I554" s="2">
        <v>1</v>
      </c>
      <c r="J554" s="2">
        <v>0.14000000000000001</v>
      </c>
      <c r="K554" s="4">
        <v>0.13639999999999999</v>
      </c>
      <c r="L554" s="4">
        <v>0.74</v>
      </c>
      <c r="M554" s="4">
        <v>0.22389999999999999</v>
      </c>
      <c r="N554" s="4">
        <v>9</v>
      </c>
      <c r="O554" s="2">
        <v>9</v>
      </c>
      <c r="P554" s="2" t="str">
        <f t="shared" si="8"/>
        <v>Friday</v>
      </c>
      <c r="Q554" s="2" t="str">
        <f>IF(Table1[[#This Row],[temp]]&gt;=0.24,"cold","colder")</f>
        <v>colder</v>
      </c>
      <c r="R554" s="4">
        <v>0</v>
      </c>
      <c r="S554" s="16" t="str" cm="1">
        <f t="array" ref="S554">_xlfn.IFS(Table1[[#This Row],[weathersit]]=1,"clear sky",Table1[[#This Row],[weathersit]]=2,"mist",Table1[[#This Row],[weathersit]]=3,"partially dark",Table1[[#This Row],[weathersit]]=4,"rain")</f>
        <v>clear sky</v>
      </c>
    </row>
    <row r="555" spans="1:19" ht="15" customHeight="1" x14ac:dyDescent="0.3">
      <c r="A555" s="2">
        <v>554</v>
      </c>
      <c r="B555" s="3">
        <v>41097</v>
      </c>
      <c r="C555" s="2">
        <v>1</v>
      </c>
      <c r="D555" s="2">
        <v>0</v>
      </c>
      <c r="E555" s="2">
        <v>1</v>
      </c>
      <c r="F555" s="2">
        <v>6</v>
      </c>
      <c r="G555" s="2" t="b">
        <v>0</v>
      </c>
      <c r="H555" s="2">
        <v>2</v>
      </c>
      <c r="I555" s="2">
        <v>1</v>
      </c>
      <c r="J555" s="2">
        <v>0.16</v>
      </c>
      <c r="K555" s="4">
        <v>0.18179999999999999</v>
      </c>
      <c r="L555" s="4">
        <v>0.74</v>
      </c>
      <c r="M555" s="4">
        <v>0.1045</v>
      </c>
      <c r="N555" s="4">
        <v>35</v>
      </c>
      <c r="O555" s="2">
        <v>36</v>
      </c>
      <c r="P555" s="2" t="str">
        <f t="shared" si="8"/>
        <v>Saturday</v>
      </c>
      <c r="Q555" s="2" t="str">
        <f>IF(Table1[[#This Row],[temp]]&gt;=0.24,"cold","colder")</f>
        <v>colder</v>
      </c>
      <c r="R555" s="4">
        <v>1</v>
      </c>
      <c r="S555" s="16" t="str" cm="1">
        <f t="array" ref="S555">_xlfn.IFS(Table1[[#This Row],[weathersit]]=1,"clear sky",Table1[[#This Row],[weathersit]]=2,"mist",Table1[[#This Row],[weathersit]]=3,"partially dark",Table1[[#This Row],[weathersit]]=4,"rain")</f>
        <v>clear sky</v>
      </c>
    </row>
    <row r="556" spans="1:19" ht="15" customHeight="1" x14ac:dyDescent="0.3">
      <c r="A556" s="2">
        <v>555</v>
      </c>
      <c r="B556" s="3">
        <v>41098</v>
      </c>
      <c r="C556" s="2">
        <v>1</v>
      </c>
      <c r="D556" s="2">
        <v>0</v>
      </c>
      <c r="E556" s="2">
        <v>1</v>
      </c>
      <c r="F556" s="2">
        <v>7</v>
      </c>
      <c r="G556" s="2" t="b">
        <v>0</v>
      </c>
      <c r="H556" s="2">
        <v>2</v>
      </c>
      <c r="I556" s="2">
        <v>1</v>
      </c>
      <c r="J556" s="2">
        <v>0.16</v>
      </c>
      <c r="K556" s="4">
        <v>0.1515</v>
      </c>
      <c r="L556" s="4">
        <v>0.74</v>
      </c>
      <c r="M556" s="4">
        <v>0.22389999999999999</v>
      </c>
      <c r="N556" s="4">
        <v>103</v>
      </c>
      <c r="O556" s="2">
        <v>108</v>
      </c>
      <c r="P556" s="2" t="str">
        <f t="shared" si="8"/>
        <v>Sunday</v>
      </c>
      <c r="Q556" s="2" t="str">
        <f>IF(Table1[[#This Row],[temp]]&gt;=0.24,"cold","colder")</f>
        <v>colder</v>
      </c>
      <c r="R556" s="4">
        <v>5</v>
      </c>
      <c r="S556" s="16" t="str" cm="1">
        <f t="array" ref="S556">_xlfn.IFS(Table1[[#This Row],[weathersit]]=1,"clear sky",Table1[[#This Row],[weathersit]]=2,"mist",Table1[[#This Row],[weathersit]]=3,"partially dark",Table1[[#This Row],[weathersit]]=4,"rain")</f>
        <v>clear sky</v>
      </c>
    </row>
    <row r="557" spans="1:19" ht="15" customHeight="1" x14ac:dyDescent="0.3">
      <c r="A557" s="2">
        <v>556</v>
      </c>
      <c r="B557" s="3">
        <v>41099</v>
      </c>
      <c r="C557" s="2">
        <v>1</v>
      </c>
      <c r="D557" s="2">
        <v>0</v>
      </c>
      <c r="E557" s="2">
        <v>1</v>
      </c>
      <c r="F557" s="2">
        <v>8</v>
      </c>
      <c r="G557" s="2" t="b">
        <v>0</v>
      </c>
      <c r="H557" s="2">
        <v>2</v>
      </c>
      <c r="I557" s="2">
        <v>2</v>
      </c>
      <c r="J557" s="2">
        <v>0.16</v>
      </c>
      <c r="K557" s="4">
        <v>0.18179999999999999</v>
      </c>
      <c r="L557" s="4">
        <v>0.74</v>
      </c>
      <c r="M557" s="4">
        <v>0.1343</v>
      </c>
      <c r="N557" s="4">
        <v>233</v>
      </c>
      <c r="O557" s="2">
        <v>238</v>
      </c>
      <c r="P557" s="2" t="str">
        <f t="shared" si="8"/>
        <v>Monday</v>
      </c>
      <c r="Q557" s="2" t="str">
        <f>IF(Table1[[#This Row],[temp]]&gt;=0.24,"cold","colder")</f>
        <v>colder</v>
      </c>
      <c r="R557" s="4">
        <v>5</v>
      </c>
      <c r="S557" s="16" t="str" cm="1">
        <f t="array" ref="S557">_xlfn.IFS(Table1[[#This Row],[weathersit]]=1,"clear sky",Table1[[#This Row],[weathersit]]=2,"mist",Table1[[#This Row],[weathersit]]=3,"partially dark",Table1[[#This Row],[weathersit]]=4,"rain")</f>
        <v>mist</v>
      </c>
    </row>
    <row r="558" spans="1:19" ht="15" customHeight="1" x14ac:dyDescent="0.3">
      <c r="A558" s="2">
        <v>557</v>
      </c>
      <c r="B558" s="3">
        <v>41100</v>
      </c>
      <c r="C558" s="2">
        <v>1</v>
      </c>
      <c r="D558" s="2">
        <v>0</v>
      </c>
      <c r="E558" s="2">
        <v>1</v>
      </c>
      <c r="F558" s="2">
        <v>9</v>
      </c>
      <c r="G558" s="2" t="b">
        <v>0</v>
      </c>
      <c r="H558" s="2">
        <v>2</v>
      </c>
      <c r="I558" s="2">
        <v>2</v>
      </c>
      <c r="J558" s="2">
        <v>0.2</v>
      </c>
      <c r="K558" s="4">
        <v>0.2273</v>
      </c>
      <c r="L558" s="4">
        <v>0.64</v>
      </c>
      <c r="M558" s="4">
        <v>8.9599999999999999E-2</v>
      </c>
      <c r="N558" s="4">
        <v>134</v>
      </c>
      <c r="O558" s="2">
        <v>144</v>
      </c>
      <c r="P558" s="2" t="str">
        <f t="shared" si="8"/>
        <v>Tuesday</v>
      </c>
      <c r="Q558" s="2" t="str">
        <f>IF(Table1[[#This Row],[temp]]&gt;=0.24,"cold","colder")</f>
        <v>colder</v>
      </c>
      <c r="R558" s="4">
        <v>10</v>
      </c>
      <c r="S558" s="16" t="str" cm="1">
        <f t="array" ref="S558">_xlfn.IFS(Table1[[#This Row],[weathersit]]=1,"clear sky",Table1[[#This Row],[weathersit]]=2,"mist",Table1[[#This Row],[weathersit]]=3,"partially dark",Table1[[#This Row],[weathersit]]=4,"rain")</f>
        <v>mist</v>
      </c>
    </row>
    <row r="559" spans="1:19" ht="15" customHeight="1" x14ac:dyDescent="0.3">
      <c r="A559" s="2">
        <v>558</v>
      </c>
      <c r="B559" s="3">
        <v>41101</v>
      </c>
      <c r="C559" s="2">
        <v>1</v>
      </c>
      <c r="D559" s="2">
        <v>0</v>
      </c>
      <c r="E559" s="2">
        <v>1</v>
      </c>
      <c r="F559" s="2">
        <v>10</v>
      </c>
      <c r="G559" s="2" t="b">
        <v>0</v>
      </c>
      <c r="H559" s="2">
        <v>2</v>
      </c>
      <c r="I559" s="2">
        <v>2</v>
      </c>
      <c r="J559" s="2">
        <v>0.22</v>
      </c>
      <c r="K559" s="4">
        <v>0.2424</v>
      </c>
      <c r="L559" s="4">
        <v>0.6</v>
      </c>
      <c r="M559" s="4">
        <v>0.1045</v>
      </c>
      <c r="N559" s="4">
        <v>49</v>
      </c>
      <c r="O559" s="2">
        <v>55</v>
      </c>
      <c r="P559" s="2" t="str">
        <f t="shared" si="8"/>
        <v>Wednesday</v>
      </c>
      <c r="Q559" s="2" t="str">
        <f>IF(Table1[[#This Row],[temp]]&gt;=0.24,"cold","colder")</f>
        <v>colder</v>
      </c>
      <c r="R559" s="4">
        <v>6</v>
      </c>
      <c r="S559" s="16" t="str" cm="1">
        <f t="array" ref="S559">_xlfn.IFS(Table1[[#This Row],[weathersit]]=1,"clear sky",Table1[[#This Row],[weathersit]]=2,"mist",Table1[[#This Row],[weathersit]]=3,"partially dark",Table1[[#This Row],[weathersit]]=4,"rain")</f>
        <v>mist</v>
      </c>
    </row>
    <row r="560" spans="1:19" ht="15" customHeight="1" x14ac:dyDescent="0.3">
      <c r="A560" s="2">
        <v>559</v>
      </c>
      <c r="B560" s="3">
        <v>41102</v>
      </c>
      <c r="C560" s="2">
        <v>1</v>
      </c>
      <c r="D560" s="2">
        <v>0</v>
      </c>
      <c r="E560" s="2">
        <v>1</v>
      </c>
      <c r="F560" s="2">
        <v>11</v>
      </c>
      <c r="G560" s="2" t="b">
        <v>0</v>
      </c>
      <c r="H560" s="2">
        <v>2</v>
      </c>
      <c r="I560" s="2">
        <v>2</v>
      </c>
      <c r="J560" s="2">
        <v>0.24</v>
      </c>
      <c r="K560" s="4">
        <v>0.2424</v>
      </c>
      <c r="L560" s="4">
        <v>0.6</v>
      </c>
      <c r="M560" s="4">
        <v>0.1343</v>
      </c>
      <c r="N560" s="4">
        <v>55</v>
      </c>
      <c r="O560" s="2">
        <v>61</v>
      </c>
      <c r="P560" s="2" t="str">
        <f t="shared" si="8"/>
        <v>Thursday</v>
      </c>
      <c r="Q560" s="2" t="str">
        <f>IF(Table1[[#This Row],[temp]]&gt;=0.24,"cold","colder")</f>
        <v>cold</v>
      </c>
      <c r="R560" s="4">
        <v>6</v>
      </c>
      <c r="S560" s="16" t="str" cm="1">
        <f t="array" ref="S560">_xlfn.IFS(Table1[[#This Row],[weathersit]]=1,"clear sky",Table1[[#This Row],[weathersit]]=2,"mist",Table1[[#This Row],[weathersit]]=3,"partially dark",Table1[[#This Row],[weathersit]]=4,"rain")</f>
        <v>mist</v>
      </c>
    </row>
    <row r="561" spans="1:19" ht="15" customHeight="1" x14ac:dyDescent="0.3">
      <c r="A561" s="2">
        <v>560</v>
      </c>
      <c r="B561" s="3">
        <v>41103</v>
      </c>
      <c r="C561" s="2">
        <v>1</v>
      </c>
      <c r="D561" s="2">
        <v>0</v>
      </c>
      <c r="E561" s="2">
        <v>1</v>
      </c>
      <c r="F561" s="2">
        <v>12</v>
      </c>
      <c r="G561" s="2" t="b">
        <v>0</v>
      </c>
      <c r="H561" s="2">
        <v>2</v>
      </c>
      <c r="I561" s="2">
        <v>2</v>
      </c>
      <c r="J561" s="2">
        <v>0.26</v>
      </c>
      <c r="K561" s="4">
        <v>0.28789999999999999</v>
      </c>
      <c r="L561" s="4">
        <v>0.56000000000000005</v>
      </c>
      <c r="M561" s="4">
        <v>8.9599999999999999E-2</v>
      </c>
      <c r="N561" s="4">
        <v>85</v>
      </c>
      <c r="O561" s="2">
        <v>106</v>
      </c>
      <c r="P561" s="2" t="str">
        <f t="shared" si="8"/>
        <v>Friday</v>
      </c>
      <c r="Q561" s="2" t="str">
        <f>IF(Table1[[#This Row],[temp]]&gt;=0.24,"cold","colder")</f>
        <v>cold</v>
      </c>
      <c r="R561" s="4">
        <v>21</v>
      </c>
      <c r="S561" s="16" t="str" cm="1">
        <f t="array" ref="S561">_xlfn.IFS(Table1[[#This Row],[weathersit]]=1,"clear sky",Table1[[#This Row],[weathersit]]=2,"mist",Table1[[#This Row],[weathersit]]=3,"partially dark",Table1[[#This Row],[weathersit]]=4,"rain")</f>
        <v>mist</v>
      </c>
    </row>
    <row r="562" spans="1:19" ht="15" customHeight="1" x14ac:dyDescent="0.3">
      <c r="A562" s="2">
        <v>561</v>
      </c>
      <c r="B562" s="3">
        <v>41104</v>
      </c>
      <c r="C562" s="2">
        <v>1</v>
      </c>
      <c r="D562" s="2">
        <v>0</v>
      </c>
      <c r="E562" s="2">
        <v>1</v>
      </c>
      <c r="F562" s="2">
        <v>13</v>
      </c>
      <c r="G562" s="2" t="b">
        <v>0</v>
      </c>
      <c r="H562" s="2">
        <v>2</v>
      </c>
      <c r="I562" s="2">
        <v>2</v>
      </c>
      <c r="J562" s="2">
        <v>0.26</v>
      </c>
      <c r="K562" s="4">
        <v>0.2727</v>
      </c>
      <c r="L562" s="4">
        <v>0.56000000000000005</v>
      </c>
      <c r="M562" s="4">
        <v>0.1343</v>
      </c>
      <c r="N562" s="4">
        <v>72</v>
      </c>
      <c r="O562" s="2">
        <v>93</v>
      </c>
      <c r="P562" s="2" t="str">
        <f t="shared" si="8"/>
        <v>Saturday</v>
      </c>
      <c r="Q562" s="2" t="str">
        <f>IF(Table1[[#This Row],[temp]]&gt;=0.24,"cold","colder")</f>
        <v>cold</v>
      </c>
      <c r="R562" s="4">
        <v>21</v>
      </c>
      <c r="S562" s="16" t="str" cm="1">
        <f t="array" ref="S562">_xlfn.IFS(Table1[[#This Row],[weathersit]]=1,"clear sky",Table1[[#This Row],[weathersit]]=2,"mist",Table1[[#This Row],[weathersit]]=3,"partially dark",Table1[[#This Row],[weathersit]]=4,"rain")</f>
        <v>mist</v>
      </c>
    </row>
    <row r="563" spans="1:19" ht="15" customHeight="1" x14ac:dyDescent="0.3">
      <c r="A563" s="2">
        <v>562</v>
      </c>
      <c r="B563" s="3">
        <v>41105</v>
      </c>
      <c r="C563" s="2">
        <v>1</v>
      </c>
      <c r="D563" s="2">
        <v>0</v>
      </c>
      <c r="E563" s="2">
        <v>1</v>
      </c>
      <c r="F563" s="2">
        <v>14</v>
      </c>
      <c r="G563" s="2" t="b">
        <v>0</v>
      </c>
      <c r="H563" s="2">
        <v>2</v>
      </c>
      <c r="I563" s="2">
        <v>2</v>
      </c>
      <c r="J563" s="2">
        <v>0.3</v>
      </c>
      <c r="K563" s="4">
        <v>0.33329999999999999</v>
      </c>
      <c r="L563" s="4">
        <v>0.45</v>
      </c>
      <c r="M563" s="4">
        <v>0</v>
      </c>
      <c r="N563" s="4">
        <v>57</v>
      </c>
      <c r="O563" s="2">
        <v>68</v>
      </c>
      <c r="P563" s="2" t="str">
        <f t="shared" si="8"/>
        <v>Sunday</v>
      </c>
      <c r="Q563" s="2" t="str">
        <f>IF(Table1[[#This Row],[temp]]&gt;=0.24,"cold","colder")</f>
        <v>cold</v>
      </c>
      <c r="R563" s="4">
        <v>11</v>
      </c>
      <c r="S563" s="16" t="str" cm="1">
        <f t="array" ref="S563">_xlfn.IFS(Table1[[#This Row],[weathersit]]=1,"clear sky",Table1[[#This Row],[weathersit]]=2,"mist",Table1[[#This Row],[weathersit]]=3,"partially dark",Table1[[#This Row],[weathersit]]=4,"rain")</f>
        <v>mist</v>
      </c>
    </row>
    <row r="564" spans="1:19" ht="15" customHeight="1" x14ac:dyDescent="0.3">
      <c r="A564" s="2">
        <v>563</v>
      </c>
      <c r="B564" s="3">
        <v>41106</v>
      </c>
      <c r="C564" s="2">
        <v>1</v>
      </c>
      <c r="D564" s="2">
        <v>0</v>
      </c>
      <c r="E564" s="2">
        <v>1</v>
      </c>
      <c r="F564" s="2">
        <v>15</v>
      </c>
      <c r="G564" s="2" t="b">
        <v>0</v>
      </c>
      <c r="H564" s="2">
        <v>2</v>
      </c>
      <c r="I564" s="2">
        <v>2</v>
      </c>
      <c r="J564" s="2">
        <v>0.32</v>
      </c>
      <c r="K564" s="4">
        <v>0.34849999999999998</v>
      </c>
      <c r="L564" s="4">
        <v>0.42</v>
      </c>
      <c r="M564" s="4">
        <v>0</v>
      </c>
      <c r="N564" s="4">
        <v>63</v>
      </c>
      <c r="O564" s="2">
        <v>84</v>
      </c>
      <c r="P564" s="2" t="str">
        <f t="shared" si="8"/>
        <v>Monday</v>
      </c>
      <c r="Q564" s="2" t="str">
        <f>IF(Table1[[#This Row],[temp]]&gt;=0.24,"cold","colder")</f>
        <v>cold</v>
      </c>
      <c r="R564" s="4">
        <v>21</v>
      </c>
      <c r="S564" s="16" t="str" cm="1">
        <f t="array" ref="S564">_xlfn.IFS(Table1[[#This Row],[weathersit]]=1,"clear sky",Table1[[#This Row],[weathersit]]=2,"mist",Table1[[#This Row],[weathersit]]=3,"partially dark",Table1[[#This Row],[weathersit]]=4,"rain")</f>
        <v>mist</v>
      </c>
    </row>
    <row r="565" spans="1:19" ht="15" customHeight="1" x14ac:dyDescent="0.3">
      <c r="A565" s="2">
        <v>564</v>
      </c>
      <c r="B565" s="3">
        <v>41107</v>
      </c>
      <c r="C565" s="2">
        <v>1</v>
      </c>
      <c r="D565" s="2">
        <v>0</v>
      </c>
      <c r="E565" s="2">
        <v>1</v>
      </c>
      <c r="F565" s="2">
        <v>16</v>
      </c>
      <c r="G565" s="2" t="b">
        <v>0</v>
      </c>
      <c r="H565" s="2">
        <v>2</v>
      </c>
      <c r="I565" s="2">
        <v>2</v>
      </c>
      <c r="J565" s="2">
        <v>0.32</v>
      </c>
      <c r="K565" s="4">
        <v>0.34849999999999998</v>
      </c>
      <c r="L565" s="4">
        <v>0.42</v>
      </c>
      <c r="M565" s="4">
        <v>0</v>
      </c>
      <c r="N565" s="4">
        <v>102</v>
      </c>
      <c r="O565" s="2">
        <v>116</v>
      </c>
      <c r="P565" s="2" t="str">
        <f t="shared" si="8"/>
        <v>Tuesday</v>
      </c>
      <c r="Q565" s="2" t="str">
        <f>IF(Table1[[#This Row],[temp]]&gt;=0.24,"cold","colder")</f>
        <v>cold</v>
      </c>
      <c r="R565" s="4">
        <v>14</v>
      </c>
      <c r="S565" s="16" t="str" cm="1">
        <f t="array" ref="S565">_xlfn.IFS(Table1[[#This Row],[weathersit]]=1,"clear sky",Table1[[#This Row],[weathersit]]=2,"mist",Table1[[#This Row],[weathersit]]=3,"partially dark",Table1[[#This Row],[weathersit]]=4,"rain")</f>
        <v>mist</v>
      </c>
    </row>
    <row r="566" spans="1:19" ht="15" customHeight="1" x14ac:dyDescent="0.3">
      <c r="A566" s="2">
        <v>565</v>
      </c>
      <c r="B566" s="3">
        <v>41108</v>
      </c>
      <c r="C566" s="2">
        <v>1</v>
      </c>
      <c r="D566" s="2">
        <v>0</v>
      </c>
      <c r="E566" s="2">
        <v>1</v>
      </c>
      <c r="F566" s="2">
        <v>17</v>
      </c>
      <c r="G566" s="2" t="b">
        <v>0</v>
      </c>
      <c r="H566" s="2">
        <v>2</v>
      </c>
      <c r="I566" s="2">
        <v>1</v>
      </c>
      <c r="J566" s="2">
        <v>0.3</v>
      </c>
      <c r="K566" s="4">
        <v>0.33329999999999999</v>
      </c>
      <c r="L566" s="4">
        <v>0.45</v>
      </c>
      <c r="M566" s="4">
        <v>0</v>
      </c>
      <c r="N566" s="4">
        <v>208</v>
      </c>
      <c r="O566" s="2">
        <v>222</v>
      </c>
      <c r="P566" s="2" t="str">
        <f t="shared" si="8"/>
        <v>Wednesday</v>
      </c>
      <c r="Q566" s="2" t="str">
        <f>IF(Table1[[#This Row],[temp]]&gt;=0.24,"cold","colder")</f>
        <v>cold</v>
      </c>
      <c r="R566" s="4">
        <v>14</v>
      </c>
      <c r="S566" s="16" t="str" cm="1">
        <f t="array" ref="S566">_xlfn.IFS(Table1[[#This Row],[weathersit]]=1,"clear sky",Table1[[#This Row],[weathersit]]=2,"mist",Table1[[#This Row],[weathersit]]=3,"partially dark",Table1[[#This Row],[weathersit]]=4,"rain")</f>
        <v>clear sky</v>
      </c>
    </row>
    <row r="567" spans="1:19" ht="15" customHeight="1" x14ac:dyDescent="0.3">
      <c r="A567" s="2">
        <v>566</v>
      </c>
      <c r="B567" s="3">
        <v>41109</v>
      </c>
      <c r="C567" s="2">
        <v>1</v>
      </c>
      <c r="D567" s="2">
        <v>0</v>
      </c>
      <c r="E567" s="2">
        <v>1</v>
      </c>
      <c r="F567" s="2">
        <v>18</v>
      </c>
      <c r="G567" s="2" t="b">
        <v>0</v>
      </c>
      <c r="H567" s="2">
        <v>2</v>
      </c>
      <c r="I567" s="2">
        <v>2</v>
      </c>
      <c r="J567" s="2">
        <v>0.3</v>
      </c>
      <c r="K567" s="4">
        <v>0.31819999999999998</v>
      </c>
      <c r="L567" s="4">
        <v>0.49</v>
      </c>
      <c r="M567" s="4">
        <v>8.9599999999999999E-2</v>
      </c>
      <c r="N567" s="4">
        <v>218</v>
      </c>
      <c r="O567" s="2">
        <v>225</v>
      </c>
      <c r="P567" s="2" t="str">
        <f t="shared" si="8"/>
        <v>Thursday</v>
      </c>
      <c r="Q567" s="2" t="str">
        <f>IF(Table1[[#This Row],[temp]]&gt;=0.24,"cold","colder")</f>
        <v>cold</v>
      </c>
      <c r="R567" s="4">
        <v>7</v>
      </c>
      <c r="S567" s="16" t="str" cm="1">
        <f t="array" ref="S567">_xlfn.IFS(Table1[[#This Row],[weathersit]]=1,"clear sky",Table1[[#This Row],[weathersit]]=2,"mist",Table1[[#This Row],[weathersit]]=3,"partially dark",Table1[[#This Row],[weathersit]]=4,"rain")</f>
        <v>mist</v>
      </c>
    </row>
    <row r="568" spans="1:19" ht="15" customHeight="1" x14ac:dyDescent="0.3">
      <c r="A568" s="2">
        <v>567</v>
      </c>
      <c r="B568" s="3">
        <v>41110</v>
      </c>
      <c r="C568" s="2">
        <v>1</v>
      </c>
      <c r="D568" s="2">
        <v>0</v>
      </c>
      <c r="E568" s="2">
        <v>1</v>
      </c>
      <c r="F568" s="2">
        <v>19</v>
      </c>
      <c r="G568" s="2" t="b">
        <v>0</v>
      </c>
      <c r="H568" s="2">
        <v>2</v>
      </c>
      <c r="I568" s="2">
        <v>2</v>
      </c>
      <c r="J568" s="2">
        <v>0.26</v>
      </c>
      <c r="K568" s="4">
        <v>0.2576</v>
      </c>
      <c r="L568" s="4">
        <v>0.65</v>
      </c>
      <c r="M568" s="4">
        <v>0.16420000000000001</v>
      </c>
      <c r="N568" s="4">
        <v>133</v>
      </c>
      <c r="O568" s="2">
        <v>146</v>
      </c>
      <c r="P568" s="2" t="str">
        <f t="shared" si="8"/>
        <v>Friday</v>
      </c>
      <c r="Q568" s="2" t="str">
        <f>IF(Table1[[#This Row],[temp]]&gt;=0.24,"cold","colder")</f>
        <v>cold</v>
      </c>
      <c r="R568" s="4">
        <v>13</v>
      </c>
      <c r="S568" s="16" t="str" cm="1">
        <f t="array" ref="S568">_xlfn.IFS(Table1[[#This Row],[weathersit]]=1,"clear sky",Table1[[#This Row],[weathersit]]=2,"mist",Table1[[#This Row],[weathersit]]=3,"partially dark",Table1[[#This Row],[weathersit]]=4,"rain")</f>
        <v>mist</v>
      </c>
    </row>
    <row r="569" spans="1:19" ht="15" customHeight="1" x14ac:dyDescent="0.3">
      <c r="A569" s="2">
        <v>568</v>
      </c>
      <c r="B569" s="3">
        <v>41111</v>
      </c>
      <c r="C569" s="2">
        <v>1</v>
      </c>
      <c r="D569" s="2">
        <v>0</v>
      </c>
      <c r="E569" s="2">
        <v>1</v>
      </c>
      <c r="F569" s="2">
        <v>20</v>
      </c>
      <c r="G569" s="2" t="b">
        <v>0</v>
      </c>
      <c r="H569" s="2">
        <v>2</v>
      </c>
      <c r="I569" s="2">
        <v>1</v>
      </c>
      <c r="J569" s="2">
        <v>0.24</v>
      </c>
      <c r="K569" s="4">
        <v>0.2273</v>
      </c>
      <c r="L569" s="4">
        <v>0.65</v>
      </c>
      <c r="M569" s="4">
        <v>0.19400000000000001</v>
      </c>
      <c r="N569" s="4">
        <v>103</v>
      </c>
      <c r="O569" s="2">
        <v>119</v>
      </c>
      <c r="P569" s="2" t="str">
        <f t="shared" si="8"/>
        <v>Saturday</v>
      </c>
      <c r="Q569" s="2" t="str">
        <f>IF(Table1[[#This Row],[temp]]&gt;=0.24,"cold","colder")</f>
        <v>cold</v>
      </c>
      <c r="R569" s="4">
        <v>16</v>
      </c>
      <c r="S569" s="16" t="str" cm="1">
        <f t="array" ref="S569">_xlfn.IFS(Table1[[#This Row],[weathersit]]=1,"clear sky",Table1[[#This Row],[weathersit]]=2,"mist",Table1[[#This Row],[weathersit]]=3,"partially dark",Table1[[#This Row],[weathersit]]=4,"rain")</f>
        <v>clear sky</v>
      </c>
    </row>
    <row r="570" spans="1:19" ht="15" customHeight="1" x14ac:dyDescent="0.3">
      <c r="A570" s="2">
        <v>569</v>
      </c>
      <c r="B570" s="3">
        <v>41112</v>
      </c>
      <c r="C570" s="2">
        <v>1</v>
      </c>
      <c r="D570" s="2">
        <v>0</v>
      </c>
      <c r="E570" s="2">
        <v>1</v>
      </c>
      <c r="F570" s="2">
        <v>21</v>
      </c>
      <c r="G570" s="2" t="b">
        <v>0</v>
      </c>
      <c r="H570" s="2">
        <v>2</v>
      </c>
      <c r="I570" s="2">
        <v>1</v>
      </c>
      <c r="J570" s="2">
        <v>0.24</v>
      </c>
      <c r="K570" s="4">
        <v>0.2273</v>
      </c>
      <c r="L570" s="4">
        <v>0.65</v>
      </c>
      <c r="M570" s="4">
        <v>0.19400000000000001</v>
      </c>
      <c r="N570" s="4">
        <v>40</v>
      </c>
      <c r="O570" s="2">
        <v>45</v>
      </c>
      <c r="P570" s="2" t="str">
        <f t="shared" si="8"/>
        <v>Sunday</v>
      </c>
      <c r="Q570" s="2" t="str">
        <f>IF(Table1[[#This Row],[temp]]&gt;=0.24,"cold","colder")</f>
        <v>cold</v>
      </c>
      <c r="R570" s="4">
        <v>5</v>
      </c>
      <c r="S570" s="16" t="str" cm="1">
        <f t="array" ref="S570">_xlfn.IFS(Table1[[#This Row],[weathersit]]=1,"clear sky",Table1[[#This Row],[weathersit]]=2,"mist",Table1[[#This Row],[weathersit]]=3,"partially dark",Table1[[#This Row],[weathersit]]=4,"rain")</f>
        <v>clear sky</v>
      </c>
    </row>
    <row r="571" spans="1:19" ht="15" customHeight="1" x14ac:dyDescent="0.3">
      <c r="A571" s="2">
        <v>570</v>
      </c>
      <c r="B571" s="3">
        <v>41113</v>
      </c>
      <c r="C571" s="2">
        <v>1</v>
      </c>
      <c r="D571" s="2">
        <v>0</v>
      </c>
      <c r="E571" s="2">
        <v>1</v>
      </c>
      <c r="F571" s="2">
        <v>22</v>
      </c>
      <c r="G571" s="2" t="b">
        <v>0</v>
      </c>
      <c r="H571" s="2">
        <v>2</v>
      </c>
      <c r="I571" s="2">
        <v>1</v>
      </c>
      <c r="J571" s="2">
        <v>0.22</v>
      </c>
      <c r="K571" s="4">
        <v>0.2273</v>
      </c>
      <c r="L571" s="4">
        <v>0.64</v>
      </c>
      <c r="M571" s="4">
        <v>0.16420000000000001</v>
      </c>
      <c r="N571" s="4">
        <v>49</v>
      </c>
      <c r="O571" s="2">
        <v>53</v>
      </c>
      <c r="P571" s="2" t="str">
        <f t="shared" si="8"/>
        <v>Monday</v>
      </c>
      <c r="Q571" s="2" t="str">
        <f>IF(Table1[[#This Row],[temp]]&gt;=0.24,"cold","colder")</f>
        <v>colder</v>
      </c>
      <c r="R571" s="4">
        <v>4</v>
      </c>
      <c r="S571" s="16" t="str" cm="1">
        <f t="array" ref="S571">_xlfn.IFS(Table1[[#This Row],[weathersit]]=1,"clear sky",Table1[[#This Row],[weathersit]]=2,"mist",Table1[[#This Row],[weathersit]]=3,"partially dark",Table1[[#This Row],[weathersit]]=4,"rain")</f>
        <v>clear sky</v>
      </c>
    </row>
    <row r="572" spans="1:19" ht="15" customHeight="1" x14ac:dyDescent="0.3">
      <c r="A572" s="2">
        <v>571</v>
      </c>
      <c r="B572" s="3">
        <v>41114</v>
      </c>
      <c r="C572" s="2">
        <v>1</v>
      </c>
      <c r="D572" s="2">
        <v>0</v>
      </c>
      <c r="E572" s="2">
        <v>1</v>
      </c>
      <c r="F572" s="2">
        <v>23</v>
      </c>
      <c r="G572" s="2" t="b">
        <v>0</v>
      </c>
      <c r="H572" s="2">
        <v>2</v>
      </c>
      <c r="I572" s="2">
        <v>2</v>
      </c>
      <c r="J572" s="2">
        <v>0.22</v>
      </c>
      <c r="K572" s="4">
        <v>0.2273</v>
      </c>
      <c r="L572" s="4">
        <v>0.64</v>
      </c>
      <c r="M572" s="4">
        <v>0.16420000000000001</v>
      </c>
      <c r="N572" s="4">
        <v>37</v>
      </c>
      <c r="O572" s="2">
        <v>40</v>
      </c>
      <c r="P572" s="2" t="str">
        <f t="shared" si="8"/>
        <v>Tuesday</v>
      </c>
      <c r="Q572" s="2" t="str">
        <f>IF(Table1[[#This Row],[temp]]&gt;=0.24,"cold","colder")</f>
        <v>colder</v>
      </c>
      <c r="R572" s="4">
        <v>3</v>
      </c>
      <c r="S572" s="16" t="str" cm="1">
        <f t="array" ref="S572">_xlfn.IFS(Table1[[#This Row],[weathersit]]=1,"clear sky",Table1[[#This Row],[weathersit]]=2,"mist",Table1[[#This Row],[weathersit]]=3,"partially dark",Table1[[#This Row],[weathersit]]=4,"rain")</f>
        <v>mist</v>
      </c>
    </row>
    <row r="573" spans="1:19" ht="15" customHeight="1" x14ac:dyDescent="0.3">
      <c r="A573" s="2">
        <v>572</v>
      </c>
      <c r="B573" s="3">
        <v>41115</v>
      </c>
      <c r="C573" s="2">
        <v>1</v>
      </c>
      <c r="D573" s="2">
        <v>0</v>
      </c>
      <c r="E573" s="2">
        <v>1</v>
      </c>
      <c r="F573" s="2">
        <v>0</v>
      </c>
      <c r="G573" s="2" t="b">
        <v>0</v>
      </c>
      <c r="H573" s="2">
        <v>3</v>
      </c>
      <c r="I573" s="2">
        <v>2</v>
      </c>
      <c r="J573" s="2">
        <v>0.22</v>
      </c>
      <c r="K573" s="4">
        <v>0.2273</v>
      </c>
      <c r="L573" s="4">
        <v>0.69</v>
      </c>
      <c r="M573" s="4">
        <v>0.1343</v>
      </c>
      <c r="N573" s="4">
        <v>14</v>
      </c>
      <c r="O573" s="2">
        <v>17</v>
      </c>
      <c r="P573" s="2" t="str">
        <f t="shared" si="8"/>
        <v>Wednesday</v>
      </c>
      <c r="Q573" s="2" t="str">
        <f>IF(Table1[[#This Row],[temp]]&gt;=0.24,"cold","colder")</f>
        <v>colder</v>
      </c>
      <c r="R573" s="4">
        <v>3</v>
      </c>
      <c r="S573" s="16" t="str" cm="1">
        <f t="array" ref="S573">_xlfn.IFS(Table1[[#This Row],[weathersit]]=1,"clear sky",Table1[[#This Row],[weathersit]]=2,"mist",Table1[[#This Row],[weathersit]]=3,"partially dark",Table1[[#This Row],[weathersit]]=4,"rain")</f>
        <v>mist</v>
      </c>
    </row>
    <row r="574" spans="1:19" ht="15" customHeight="1" x14ac:dyDescent="0.3">
      <c r="A574" s="2">
        <v>573</v>
      </c>
      <c r="B574" s="3">
        <v>41116</v>
      </c>
      <c r="C574" s="2">
        <v>1</v>
      </c>
      <c r="D574" s="2">
        <v>0</v>
      </c>
      <c r="E574" s="2">
        <v>1</v>
      </c>
      <c r="F574" s="2">
        <v>1</v>
      </c>
      <c r="G574" s="2" t="b">
        <v>0</v>
      </c>
      <c r="H574" s="2">
        <v>3</v>
      </c>
      <c r="I574" s="2">
        <v>2</v>
      </c>
      <c r="J574" s="2">
        <v>0.24</v>
      </c>
      <c r="K574" s="4">
        <v>0.2424</v>
      </c>
      <c r="L574" s="4">
        <v>0.65</v>
      </c>
      <c r="M574" s="4">
        <v>0.1343</v>
      </c>
      <c r="N574" s="4">
        <v>5</v>
      </c>
      <c r="O574" s="2">
        <v>5</v>
      </c>
      <c r="P574" s="2" t="str">
        <f t="shared" si="8"/>
        <v>Thursday</v>
      </c>
      <c r="Q574" s="2" t="str">
        <f>IF(Table1[[#This Row],[temp]]&gt;=0.24,"cold","colder")</f>
        <v>cold</v>
      </c>
      <c r="R574" s="4">
        <v>0</v>
      </c>
      <c r="S574" s="16" t="str" cm="1">
        <f t="array" ref="S574">_xlfn.IFS(Table1[[#This Row],[weathersit]]=1,"clear sky",Table1[[#This Row],[weathersit]]=2,"mist",Table1[[#This Row],[weathersit]]=3,"partially dark",Table1[[#This Row],[weathersit]]=4,"rain")</f>
        <v>mist</v>
      </c>
    </row>
    <row r="575" spans="1:19" ht="15" customHeight="1" x14ac:dyDescent="0.3">
      <c r="A575" s="2">
        <v>574</v>
      </c>
      <c r="B575" s="3">
        <v>41117</v>
      </c>
      <c r="C575" s="2">
        <v>1</v>
      </c>
      <c r="D575" s="2">
        <v>0</v>
      </c>
      <c r="E575" s="2">
        <v>1</v>
      </c>
      <c r="F575" s="2">
        <v>2</v>
      </c>
      <c r="G575" s="2" t="b">
        <v>0</v>
      </c>
      <c r="H575" s="2">
        <v>3</v>
      </c>
      <c r="I575" s="2">
        <v>3</v>
      </c>
      <c r="J575" s="2">
        <v>0.22</v>
      </c>
      <c r="K575" s="4">
        <v>0.2273</v>
      </c>
      <c r="L575" s="4">
        <v>0.69</v>
      </c>
      <c r="M575" s="4">
        <v>0.19400000000000001</v>
      </c>
      <c r="N575" s="4">
        <v>7</v>
      </c>
      <c r="O575" s="2">
        <v>10</v>
      </c>
      <c r="P575" s="2" t="str">
        <f t="shared" si="8"/>
        <v>Friday</v>
      </c>
      <c r="Q575" s="2" t="str">
        <f>IF(Table1[[#This Row],[temp]]&gt;=0.24,"cold","colder")</f>
        <v>colder</v>
      </c>
      <c r="R575" s="4">
        <v>3</v>
      </c>
      <c r="S575" s="16" t="str" cm="1">
        <f t="array" ref="S575">_xlfn.IFS(Table1[[#This Row],[weathersit]]=1,"clear sky",Table1[[#This Row],[weathersit]]=2,"mist",Table1[[#This Row],[weathersit]]=3,"partially dark",Table1[[#This Row],[weathersit]]=4,"rain")</f>
        <v>partially dark</v>
      </c>
    </row>
    <row r="576" spans="1:19" ht="15" customHeight="1" x14ac:dyDescent="0.3">
      <c r="A576" s="2">
        <v>575</v>
      </c>
      <c r="B576" s="3">
        <v>41118</v>
      </c>
      <c r="C576" s="2">
        <v>1</v>
      </c>
      <c r="D576" s="2">
        <v>0</v>
      </c>
      <c r="E576" s="2">
        <v>1</v>
      </c>
      <c r="F576" s="2">
        <v>5</v>
      </c>
      <c r="G576" s="2" t="b">
        <v>0</v>
      </c>
      <c r="H576" s="2">
        <v>3</v>
      </c>
      <c r="I576" s="2">
        <v>3</v>
      </c>
      <c r="J576" s="2">
        <v>0.2</v>
      </c>
      <c r="K576" s="4">
        <v>0.18179999999999999</v>
      </c>
      <c r="L576" s="4">
        <v>0.86</v>
      </c>
      <c r="M576" s="4">
        <v>0.28360000000000002</v>
      </c>
      <c r="N576" s="4">
        <v>1</v>
      </c>
      <c r="O576" s="2">
        <v>1</v>
      </c>
      <c r="P576" s="2" t="str">
        <f t="shared" si="8"/>
        <v>Saturday</v>
      </c>
      <c r="Q576" s="2" t="str">
        <f>IF(Table1[[#This Row],[temp]]&gt;=0.24,"cold","colder")</f>
        <v>colder</v>
      </c>
      <c r="R576" s="4">
        <v>0</v>
      </c>
      <c r="S576" s="16" t="str" cm="1">
        <f t="array" ref="S576">_xlfn.IFS(Table1[[#This Row],[weathersit]]=1,"clear sky",Table1[[#This Row],[weathersit]]=2,"mist",Table1[[#This Row],[weathersit]]=3,"partially dark",Table1[[#This Row],[weathersit]]=4,"rain")</f>
        <v>partially dark</v>
      </c>
    </row>
    <row r="577" spans="1:19" ht="15" customHeight="1" x14ac:dyDescent="0.3">
      <c r="A577" s="2">
        <v>576</v>
      </c>
      <c r="B577" s="3">
        <v>41119</v>
      </c>
      <c r="C577" s="2">
        <v>1</v>
      </c>
      <c r="D577" s="2">
        <v>0</v>
      </c>
      <c r="E577" s="2">
        <v>1</v>
      </c>
      <c r="F577" s="2">
        <v>6</v>
      </c>
      <c r="G577" s="2" t="b">
        <v>0</v>
      </c>
      <c r="H577" s="2">
        <v>3</v>
      </c>
      <c r="I577" s="2">
        <v>3</v>
      </c>
      <c r="J577" s="2">
        <v>0.2</v>
      </c>
      <c r="K577" s="4">
        <v>0.18179999999999999</v>
      </c>
      <c r="L577" s="4">
        <v>0.86</v>
      </c>
      <c r="M577" s="4">
        <v>0.28360000000000002</v>
      </c>
      <c r="N577" s="4">
        <v>8</v>
      </c>
      <c r="O577" s="2">
        <v>8</v>
      </c>
      <c r="P577" s="2" t="str">
        <f t="shared" si="8"/>
        <v>Sunday</v>
      </c>
      <c r="Q577" s="2" t="str">
        <f>IF(Table1[[#This Row],[temp]]&gt;=0.24,"cold","colder")</f>
        <v>colder</v>
      </c>
      <c r="R577" s="4">
        <v>0</v>
      </c>
      <c r="S577" s="16" t="str" cm="1">
        <f t="array" ref="S577">_xlfn.IFS(Table1[[#This Row],[weathersit]]=1,"clear sky",Table1[[#This Row],[weathersit]]=2,"mist",Table1[[#This Row],[weathersit]]=3,"partially dark",Table1[[#This Row],[weathersit]]=4,"rain")</f>
        <v>partially dark</v>
      </c>
    </row>
    <row r="578" spans="1:19" ht="15" customHeight="1" x14ac:dyDescent="0.3">
      <c r="A578" s="2">
        <v>577</v>
      </c>
      <c r="B578" s="3">
        <v>41120</v>
      </c>
      <c r="C578" s="2">
        <v>1</v>
      </c>
      <c r="D578" s="2">
        <v>0</v>
      </c>
      <c r="E578" s="2">
        <v>1</v>
      </c>
      <c r="F578" s="2">
        <v>7</v>
      </c>
      <c r="G578" s="2" t="b">
        <v>0</v>
      </c>
      <c r="H578" s="2">
        <v>3</v>
      </c>
      <c r="I578" s="2">
        <v>3</v>
      </c>
      <c r="J578" s="2">
        <v>0.22</v>
      </c>
      <c r="K578" s="4">
        <v>0.21210000000000001</v>
      </c>
      <c r="L578" s="4">
        <v>0.87</v>
      </c>
      <c r="M578" s="4">
        <v>0.29849999999999999</v>
      </c>
      <c r="N578" s="4">
        <v>29</v>
      </c>
      <c r="O578" s="2">
        <v>30</v>
      </c>
      <c r="P578" s="2" t="str">
        <f t="shared" ref="P578:P641" si="9">TEXT(B578,"dddd")</f>
        <v>Monday</v>
      </c>
      <c r="Q578" s="2" t="str">
        <f>IF(Table1[[#This Row],[temp]]&gt;=0.24,"cold","colder")</f>
        <v>colder</v>
      </c>
      <c r="R578" s="4">
        <v>1</v>
      </c>
      <c r="S578" s="16" t="str" cm="1">
        <f t="array" ref="S578">_xlfn.IFS(Table1[[#This Row],[weathersit]]=1,"clear sky",Table1[[#This Row],[weathersit]]=2,"mist",Table1[[#This Row],[weathersit]]=3,"partially dark",Table1[[#This Row],[weathersit]]=4,"rain")</f>
        <v>partially dark</v>
      </c>
    </row>
    <row r="579" spans="1:19" ht="15" customHeight="1" x14ac:dyDescent="0.3">
      <c r="A579" s="2">
        <v>578</v>
      </c>
      <c r="B579" s="3">
        <v>41121</v>
      </c>
      <c r="C579" s="2">
        <v>1</v>
      </c>
      <c r="D579" s="2">
        <v>0</v>
      </c>
      <c r="E579" s="2">
        <v>1</v>
      </c>
      <c r="F579" s="2">
        <v>8</v>
      </c>
      <c r="G579" s="2" t="b">
        <v>0</v>
      </c>
      <c r="H579" s="2">
        <v>3</v>
      </c>
      <c r="I579" s="2">
        <v>3</v>
      </c>
      <c r="J579" s="2">
        <v>0.22</v>
      </c>
      <c r="K579" s="4">
        <v>0.21210000000000001</v>
      </c>
      <c r="L579" s="4">
        <v>0.87</v>
      </c>
      <c r="M579" s="4">
        <v>0.29849999999999999</v>
      </c>
      <c r="N579" s="4">
        <v>69</v>
      </c>
      <c r="O579" s="2">
        <v>72</v>
      </c>
      <c r="P579" s="2" t="str">
        <f t="shared" si="9"/>
        <v>Tuesday</v>
      </c>
      <c r="Q579" s="2" t="str">
        <f>IF(Table1[[#This Row],[temp]]&gt;=0.24,"cold","colder")</f>
        <v>colder</v>
      </c>
      <c r="R579" s="4">
        <v>3</v>
      </c>
      <c r="S579" s="16" t="str" cm="1">
        <f t="array" ref="S579">_xlfn.IFS(Table1[[#This Row],[weathersit]]=1,"clear sky",Table1[[#This Row],[weathersit]]=2,"mist",Table1[[#This Row],[weathersit]]=3,"partially dark",Table1[[#This Row],[weathersit]]=4,"rain")</f>
        <v>partially dark</v>
      </c>
    </row>
    <row r="580" spans="1:19" ht="15" customHeight="1" x14ac:dyDescent="0.3">
      <c r="A580" s="2">
        <v>579</v>
      </c>
      <c r="B580" s="3">
        <v>41122</v>
      </c>
      <c r="C580" s="2">
        <v>1</v>
      </c>
      <c r="D580" s="2">
        <v>0</v>
      </c>
      <c r="E580" s="2">
        <v>1</v>
      </c>
      <c r="F580" s="2">
        <v>9</v>
      </c>
      <c r="G580" s="2" t="b">
        <v>0</v>
      </c>
      <c r="H580" s="2">
        <v>3</v>
      </c>
      <c r="I580" s="2">
        <v>3</v>
      </c>
      <c r="J580" s="2">
        <v>0.22</v>
      </c>
      <c r="K580" s="4">
        <v>0.21210000000000001</v>
      </c>
      <c r="L580" s="4">
        <v>0.87</v>
      </c>
      <c r="M580" s="4">
        <v>0.29849999999999999</v>
      </c>
      <c r="N580" s="4">
        <v>55</v>
      </c>
      <c r="O580" s="2">
        <v>58</v>
      </c>
      <c r="P580" s="2" t="str">
        <f t="shared" si="9"/>
        <v>Wednesday</v>
      </c>
      <c r="Q580" s="2" t="str">
        <f>IF(Table1[[#This Row],[temp]]&gt;=0.24,"cold","colder")</f>
        <v>colder</v>
      </c>
      <c r="R580" s="4">
        <v>3</v>
      </c>
      <c r="S580" s="16" t="str" cm="1">
        <f t="array" ref="S580">_xlfn.IFS(Table1[[#This Row],[weathersit]]=1,"clear sky",Table1[[#This Row],[weathersit]]=2,"mist",Table1[[#This Row],[weathersit]]=3,"partially dark",Table1[[#This Row],[weathersit]]=4,"rain")</f>
        <v>partially dark</v>
      </c>
    </row>
    <row r="581" spans="1:19" ht="15" customHeight="1" x14ac:dyDescent="0.3">
      <c r="A581" s="2">
        <v>580</v>
      </c>
      <c r="B581" s="3">
        <v>41123</v>
      </c>
      <c r="C581" s="2">
        <v>1</v>
      </c>
      <c r="D581" s="2">
        <v>0</v>
      </c>
      <c r="E581" s="2">
        <v>1</v>
      </c>
      <c r="F581" s="2">
        <v>10</v>
      </c>
      <c r="G581" s="2" t="b">
        <v>0</v>
      </c>
      <c r="H581" s="2">
        <v>3</v>
      </c>
      <c r="I581" s="2">
        <v>3</v>
      </c>
      <c r="J581" s="2">
        <v>0.22</v>
      </c>
      <c r="K581" s="4">
        <v>0.21210000000000001</v>
      </c>
      <c r="L581" s="4">
        <v>0.93</v>
      </c>
      <c r="M581" s="4">
        <v>0.28360000000000002</v>
      </c>
      <c r="N581" s="4">
        <v>26</v>
      </c>
      <c r="O581" s="2">
        <v>28</v>
      </c>
      <c r="P581" s="2" t="str">
        <f t="shared" si="9"/>
        <v>Thursday</v>
      </c>
      <c r="Q581" s="2" t="str">
        <f>IF(Table1[[#This Row],[temp]]&gt;=0.24,"cold","colder")</f>
        <v>colder</v>
      </c>
      <c r="R581" s="4">
        <v>2</v>
      </c>
      <c r="S581" s="16" t="str" cm="1">
        <f t="array" ref="S581">_xlfn.IFS(Table1[[#This Row],[weathersit]]=1,"clear sky",Table1[[#This Row],[weathersit]]=2,"mist",Table1[[#This Row],[weathersit]]=3,"partially dark",Table1[[#This Row],[weathersit]]=4,"rain")</f>
        <v>partially dark</v>
      </c>
    </row>
    <row r="582" spans="1:19" ht="15" customHeight="1" x14ac:dyDescent="0.3">
      <c r="A582" s="2">
        <v>581</v>
      </c>
      <c r="B582" s="3">
        <v>41124</v>
      </c>
      <c r="C582" s="2">
        <v>1</v>
      </c>
      <c r="D582" s="2">
        <v>0</v>
      </c>
      <c r="E582" s="2">
        <v>1</v>
      </c>
      <c r="F582" s="2">
        <v>11</v>
      </c>
      <c r="G582" s="2" t="b">
        <v>0</v>
      </c>
      <c r="H582" s="2">
        <v>3</v>
      </c>
      <c r="I582" s="2">
        <v>3</v>
      </c>
      <c r="J582" s="2">
        <v>0.22</v>
      </c>
      <c r="K582" s="4">
        <v>0.19700000000000001</v>
      </c>
      <c r="L582" s="4">
        <v>0.93</v>
      </c>
      <c r="M582" s="4">
        <v>0.32840000000000003</v>
      </c>
      <c r="N582" s="4">
        <v>35</v>
      </c>
      <c r="O582" s="2">
        <v>41</v>
      </c>
      <c r="P582" s="2" t="str">
        <f t="shared" si="9"/>
        <v>Friday</v>
      </c>
      <c r="Q582" s="2" t="str">
        <f>IF(Table1[[#This Row],[temp]]&gt;=0.24,"cold","colder")</f>
        <v>colder</v>
      </c>
      <c r="R582" s="4">
        <v>6</v>
      </c>
      <c r="S582" s="16" t="str" cm="1">
        <f t="array" ref="S582">_xlfn.IFS(Table1[[#This Row],[weathersit]]=1,"clear sky",Table1[[#This Row],[weathersit]]=2,"mist",Table1[[#This Row],[weathersit]]=3,"partially dark",Table1[[#This Row],[weathersit]]=4,"rain")</f>
        <v>partially dark</v>
      </c>
    </row>
    <row r="583" spans="1:19" ht="15" customHeight="1" x14ac:dyDescent="0.3">
      <c r="A583" s="2">
        <v>582</v>
      </c>
      <c r="B583" s="3">
        <v>41125</v>
      </c>
      <c r="C583" s="2">
        <v>1</v>
      </c>
      <c r="D583" s="2">
        <v>0</v>
      </c>
      <c r="E583" s="2">
        <v>1</v>
      </c>
      <c r="F583" s="2">
        <v>12</v>
      </c>
      <c r="G583" s="2" t="b">
        <v>0</v>
      </c>
      <c r="H583" s="2">
        <v>3</v>
      </c>
      <c r="I583" s="2">
        <v>3</v>
      </c>
      <c r="J583" s="2">
        <v>0.22</v>
      </c>
      <c r="K583" s="4">
        <v>0.19700000000000001</v>
      </c>
      <c r="L583" s="4">
        <v>0.93</v>
      </c>
      <c r="M583" s="4">
        <v>0.32840000000000003</v>
      </c>
      <c r="N583" s="4">
        <v>41</v>
      </c>
      <c r="O583" s="2">
        <v>48</v>
      </c>
      <c r="P583" s="2" t="str">
        <f t="shared" si="9"/>
        <v>Saturday</v>
      </c>
      <c r="Q583" s="2" t="str">
        <f>IF(Table1[[#This Row],[temp]]&gt;=0.24,"cold","colder")</f>
        <v>colder</v>
      </c>
      <c r="R583" s="4">
        <v>7</v>
      </c>
      <c r="S583" s="16" t="str" cm="1">
        <f t="array" ref="S583">_xlfn.IFS(Table1[[#This Row],[weathersit]]=1,"clear sky",Table1[[#This Row],[weathersit]]=2,"mist",Table1[[#This Row],[weathersit]]=3,"partially dark",Table1[[#This Row],[weathersit]]=4,"rain")</f>
        <v>partially dark</v>
      </c>
    </row>
    <row r="584" spans="1:19" ht="15" customHeight="1" x14ac:dyDescent="0.3">
      <c r="A584" s="2">
        <v>583</v>
      </c>
      <c r="B584" s="3">
        <v>41126</v>
      </c>
      <c r="C584" s="2">
        <v>1</v>
      </c>
      <c r="D584" s="2">
        <v>0</v>
      </c>
      <c r="E584" s="2">
        <v>1</v>
      </c>
      <c r="F584" s="2">
        <v>13</v>
      </c>
      <c r="G584" s="2" t="b">
        <v>0</v>
      </c>
      <c r="H584" s="2">
        <v>3</v>
      </c>
      <c r="I584" s="2">
        <v>3</v>
      </c>
      <c r="J584" s="2">
        <v>0.22</v>
      </c>
      <c r="K584" s="4">
        <v>0.19700000000000001</v>
      </c>
      <c r="L584" s="4">
        <v>0.93</v>
      </c>
      <c r="M584" s="4">
        <v>0.32840000000000003</v>
      </c>
      <c r="N584" s="4">
        <v>43</v>
      </c>
      <c r="O584" s="2">
        <v>47</v>
      </c>
      <c r="P584" s="2" t="str">
        <f t="shared" si="9"/>
        <v>Sunday</v>
      </c>
      <c r="Q584" s="2" t="str">
        <f>IF(Table1[[#This Row],[temp]]&gt;=0.24,"cold","colder")</f>
        <v>colder</v>
      </c>
      <c r="R584" s="4">
        <v>4</v>
      </c>
      <c r="S584" s="16" t="str" cm="1">
        <f t="array" ref="S584">_xlfn.IFS(Table1[[#This Row],[weathersit]]=1,"clear sky",Table1[[#This Row],[weathersit]]=2,"mist",Table1[[#This Row],[weathersit]]=3,"partially dark",Table1[[#This Row],[weathersit]]=4,"rain")</f>
        <v>partially dark</v>
      </c>
    </row>
    <row r="585" spans="1:19" ht="15" customHeight="1" x14ac:dyDescent="0.3">
      <c r="A585" s="2">
        <v>584</v>
      </c>
      <c r="B585" s="3">
        <v>41127</v>
      </c>
      <c r="C585" s="2">
        <v>1</v>
      </c>
      <c r="D585" s="2">
        <v>0</v>
      </c>
      <c r="E585" s="2">
        <v>1</v>
      </c>
      <c r="F585" s="2">
        <v>14</v>
      </c>
      <c r="G585" s="2" t="b">
        <v>0</v>
      </c>
      <c r="H585" s="2">
        <v>3</v>
      </c>
      <c r="I585" s="2">
        <v>3</v>
      </c>
      <c r="J585" s="2">
        <v>0.22</v>
      </c>
      <c r="K585" s="4">
        <v>0.19700000000000001</v>
      </c>
      <c r="L585" s="4">
        <v>0.93</v>
      </c>
      <c r="M585" s="4">
        <v>0.35820000000000002</v>
      </c>
      <c r="N585" s="4">
        <v>36</v>
      </c>
      <c r="O585" s="2">
        <v>36</v>
      </c>
      <c r="P585" s="2" t="str">
        <f t="shared" si="9"/>
        <v>Monday</v>
      </c>
      <c r="Q585" s="2" t="str">
        <f>IF(Table1[[#This Row],[temp]]&gt;=0.24,"cold","colder")</f>
        <v>colder</v>
      </c>
      <c r="R585" s="4">
        <v>0</v>
      </c>
      <c r="S585" s="16" t="str" cm="1">
        <f t="array" ref="S585">_xlfn.IFS(Table1[[#This Row],[weathersit]]=1,"clear sky",Table1[[#This Row],[weathersit]]=2,"mist",Table1[[#This Row],[weathersit]]=3,"partially dark",Table1[[#This Row],[weathersit]]=4,"rain")</f>
        <v>partially dark</v>
      </c>
    </row>
    <row r="586" spans="1:19" ht="15" customHeight="1" x14ac:dyDescent="0.3">
      <c r="A586" s="2">
        <v>585</v>
      </c>
      <c r="B586" s="3">
        <v>41128</v>
      </c>
      <c r="C586" s="2">
        <v>1</v>
      </c>
      <c r="D586" s="2">
        <v>0</v>
      </c>
      <c r="E586" s="2">
        <v>1</v>
      </c>
      <c r="F586" s="2">
        <v>15</v>
      </c>
      <c r="G586" s="2" t="b">
        <v>0</v>
      </c>
      <c r="H586" s="2">
        <v>3</v>
      </c>
      <c r="I586" s="2">
        <v>3</v>
      </c>
      <c r="J586" s="2">
        <v>0.22</v>
      </c>
      <c r="K586" s="4">
        <v>0.18179999999999999</v>
      </c>
      <c r="L586" s="4">
        <v>0.93</v>
      </c>
      <c r="M586" s="4">
        <v>0.4627</v>
      </c>
      <c r="N586" s="4">
        <v>42</v>
      </c>
      <c r="O586" s="2">
        <v>43</v>
      </c>
      <c r="P586" s="2" t="str">
        <f t="shared" si="9"/>
        <v>Tuesday</v>
      </c>
      <c r="Q586" s="2" t="str">
        <f>IF(Table1[[#This Row],[temp]]&gt;=0.24,"cold","colder")</f>
        <v>colder</v>
      </c>
      <c r="R586" s="4">
        <v>1</v>
      </c>
      <c r="S586" s="16" t="str" cm="1">
        <f t="array" ref="S586">_xlfn.IFS(Table1[[#This Row],[weathersit]]=1,"clear sky",Table1[[#This Row],[weathersit]]=2,"mist",Table1[[#This Row],[weathersit]]=3,"partially dark",Table1[[#This Row],[weathersit]]=4,"rain")</f>
        <v>partially dark</v>
      </c>
    </row>
    <row r="587" spans="1:19" ht="15" customHeight="1" x14ac:dyDescent="0.3">
      <c r="A587" s="2">
        <v>586</v>
      </c>
      <c r="B587" s="3">
        <v>41129</v>
      </c>
      <c r="C587" s="2">
        <v>1</v>
      </c>
      <c r="D587" s="2">
        <v>0</v>
      </c>
      <c r="E587" s="2">
        <v>1</v>
      </c>
      <c r="F587" s="2">
        <v>16</v>
      </c>
      <c r="G587" s="2" t="b">
        <v>0</v>
      </c>
      <c r="H587" s="2">
        <v>3</v>
      </c>
      <c r="I587" s="2">
        <v>4</v>
      </c>
      <c r="J587" s="2">
        <v>0.22</v>
      </c>
      <c r="K587" s="4">
        <v>0.19700000000000001</v>
      </c>
      <c r="L587" s="4">
        <v>0.93</v>
      </c>
      <c r="M587" s="4">
        <v>0.32840000000000003</v>
      </c>
      <c r="N587" s="4">
        <v>35</v>
      </c>
      <c r="O587" s="2">
        <v>36</v>
      </c>
      <c r="P587" s="2" t="str">
        <f t="shared" si="9"/>
        <v>Wednesday</v>
      </c>
      <c r="Q587" s="2" t="str">
        <f>IF(Table1[[#This Row],[temp]]&gt;=0.24,"cold","colder")</f>
        <v>colder</v>
      </c>
      <c r="R587" s="4">
        <v>1</v>
      </c>
      <c r="S587" s="16" t="str" cm="1">
        <f t="array" ref="S587">_xlfn.IFS(Table1[[#This Row],[weathersit]]=1,"clear sky",Table1[[#This Row],[weathersit]]=2,"mist",Table1[[#This Row],[weathersit]]=3,"partially dark",Table1[[#This Row],[weathersit]]=4,"rain")</f>
        <v>rain</v>
      </c>
    </row>
    <row r="588" spans="1:19" ht="15" customHeight="1" x14ac:dyDescent="0.3">
      <c r="A588" s="2">
        <v>587</v>
      </c>
      <c r="B588" s="3">
        <v>41130</v>
      </c>
      <c r="C588" s="2">
        <v>1</v>
      </c>
      <c r="D588" s="2">
        <v>0</v>
      </c>
      <c r="E588" s="2">
        <v>1</v>
      </c>
      <c r="F588" s="2">
        <v>17</v>
      </c>
      <c r="G588" s="2" t="b">
        <v>0</v>
      </c>
      <c r="H588" s="2">
        <v>3</v>
      </c>
      <c r="I588" s="2">
        <v>3</v>
      </c>
      <c r="J588" s="2">
        <v>0.2</v>
      </c>
      <c r="K588" s="4">
        <v>0.18179999999999999</v>
      </c>
      <c r="L588" s="4">
        <v>0.93</v>
      </c>
      <c r="M588" s="4">
        <v>0.35820000000000002</v>
      </c>
      <c r="N588" s="4">
        <v>26</v>
      </c>
      <c r="O588" s="2">
        <v>26</v>
      </c>
      <c r="P588" s="2" t="str">
        <f t="shared" si="9"/>
        <v>Thursday</v>
      </c>
      <c r="Q588" s="2" t="str">
        <f>IF(Table1[[#This Row],[temp]]&gt;=0.24,"cold","colder")</f>
        <v>colder</v>
      </c>
      <c r="R588" s="4">
        <v>0</v>
      </c>
      <c r="S588" s="16" t="str" cm="1">
        <f t="array" ref="S588">_xlfn.IFS(Table1[[#This Row],[weathersit]]=1,"clear sky",Table1[[#This Row],[weathersit]]=2,"mist",Table1[[#This Row],[weathersit]]=3,"partially dark",Table1[[#This Row],[weathersit]]=4,"rain")</f>
        <v>partially dark</v>
      </c>
    </row>
    <row r="589" spans="1:19" ht="15" customHeight="1" x14ac:dyDescent="0.3">
      <c r="A589" s="2">
        <v>588</v>
      </c>
      <c r="B589" s="3">
        <v>41131</v>
      </c>
      <c r="C589" s="2">
        <v>1</v>
      </c>
      <c r="D589" s="2">
        <v>0</v>
      </c>
      <c r="E589" s="2">
        <v>1</v>
      </c>
      <c r="F589" s="2">
        <v>16</v>
      </c>
      <c r="G589" s="2" t="b">
        <v>0</v>
      </c>
      <c r="H589" s="2">
        <v>4</v>
      </c>
      <c r="I589" s="2">
        <v>1</v>
      </c>
      <c r="J589" s="2">
        <v>0.22</v>
      </c>
      <c r="K589" s="4">
        <v>0.2273</v>
      </c>
      <c r="L589" s="4">
        <v>0.55000000000000004</v>
      </c>
      <c r="M589" s="4">
        <v>0.19400000000000001</v>
      </c>
      <c r="N589" s="4">
        <v>23</v>
      </c>
      <c r="O589" s="2">
        <v>24</v>
      </c>
      <c r="P589" s="2" t="str">
        <f t="shared" si="9"/>
        <v>Friday</v>
      </c>
      <c r="Q589" s="2" t="str">
        <f>IF(Table1[[#This Row],[temp]]&gt;=0.24,"cold","colder")</f>
        <v>colder</v>
      </c>
      <c r="R589" s="4">
        <v>1</v>
      </c>
      <c r="S589" s="16" t="str" cm="1">
        <f t="array" ref="S589">_xlfn.IFS(Table1[[#This Row],[weathersit]]=1,"clear sky",Table1[[#This Row],[weathersit]]=2,"mist",Table1[[#This Row],[weathersit]]=3,"partially dark",Table1[[#This Row],[weathersit]]=4,"rain")</f>
        <v>clear sky</v>
      </c>
    </row>
    <row r="590" spans="1:19" ht="15" customHeight="1" x14ac:dyDescent="0.3">
      <c r="A590" s="2">
        <v>589</v>
      </c>
      <c r="B590" s="3">
        <v>41132</v>
      </c>
      <c r="C590" s="2">
        <v>1</v>
      </c>
      <c r="D590" s="2">
        <v>0</v>
      </c>
      <c r="E590" s="2">
        <v>1</v>
      </c>
      <c r="F590" s="2">
        <v>17</v>
      </c>
      <c r="G590" s="2" t="b">
        <v>0</v>
      </c>
      <c r="H590" s="2">
        <v>4</v>
      </c>
      <c r="I590" s="2">
        <v>1</v>
      </c>
      <c r="J590" s="2">
        <v>0.22</v>
      </c>
      <c r="K590" s="4">
        <v>0.2424</v>
      </c>
      <c r="L590" s="4">
        <v>0.55000000000000004</v>
      </c>
      <c r="M590" s="4">
        <v>0.1045</v>
      </c>
      <c r="N590" s="4">
        <v>82</v>
      </c>
      <c r="O590" s="2">
        <v>84</v>
      </c>
      <c r="P590" s="2" t="str">
        <f t="shared" si="9"/>
        <v>Saturday</v>
      </c>
      <c r="Q590" s="2" t="str">
        <f>IF(Table1[[#This Row],[temp]]&gt;=0.24,"cold","colder")</f>
        <v>colder</v>
      </c>
      <c r="R590" s="4">
        <v>2</v>
      </c>
      <c r="S590" s="16" t="str" cm="1">
        <f t="array" ref="S590">_xlfn.IFS(Table1[[#This Row],[weathersit]]=1,"clear sky",Table1[[#This Row],[weathersit]]=2,"mist",Table1[[#This Row],[weathersit]]=3,"partially dark",Table1[[#This Row],[weathersit]]=4,"rain")</f>
        <v>clear sky</v>
      </c>
    </row>
    <row r="591" spans="1:19" ht="15" customHeight="1" x14ac:dyDescent="0.3">
      <c r="A591" s="2">
        <v>590</v>
      </c>
      <c r="B591" s="3">
        <v>41133</v>
      </c>
      <c r="C591" s="2">
        <v>1</v>
      </c>
      <c r="D591" s="2">
        <v>0</v>
      </c>
      <c r="E591" s="2">
        <v>1</v>
      </c>
      <c r="F591" s="2">
        <v>18</v>
      </c>
      <c r="G591" s="2" t="b">
        <v>0</v>
      </c>
      <c r="H591" s="2">
        <v>4</v>
      </c>
      <c r="I591" s="2">
        <v>1</v>
      </c>
      <c r="J591" s="2">
        <v>0.2</v>
      </c>
      <c r="K591" s="4">
        <v>0.2273</v>
      </c>
      <c r="L591" s="4">
        <v>0.69</v>
      </c>
      <c r="M591" s="4">
        <v>8.9599999999999999E-2</v>
      </c>
      <c r="N591" s="4">
        <v>101</v>
      </c>
      <c r="O591" s="2">
        <v>104</v>
      </c>
      <c r="P591" s="2" t="str">
        <f t="shared" si="9"/>
        <v>Sunday</v>
      </c>
      <c r="Q591" s="2" t="str">
        <f>IF(Table1[[#This Row],[temp]]&gt;=0.24,"cold","colder")</f>
        <v>colder</v>
      </c>
      <c r="R591" s="4">
        <v>3</v>
      </c>
      <c r="S591" s="16" t="str" cm="1">
        <f t="array" ref="S591">_xlfn.IFS(Table1[[#This Row],[weathersit]]=1,"clear sky",Table1[[#This Row],[weathersit]]=2,"mist",Table1[[#This Row],[weathersit]]=3,"partially dark",Table1[[#This Row],[weathersit]]=4,"rain")</f>
        <v>clear sky</v>
      </c>
    </row>
    <row r="592" spans="1:19" ht="15" customHeight="1" x14ac:dyDescent="0.3">
      <c r="A592" s="2">
        <v>591</v>
      </c>
      <c r="B592" s="3">
        <v>41134</v>
      </c>
      <c r="C592" s="2">
        <v>1</v>
      </c>
      <c r="D592" s="2">
        <v>0</v>
      </c>
      <c r="E592" s="2">
        <v>1</v>
      </c>
      <c r="F592" s="2">
        <v>19</v>
      </c>
      <c r="G592" s="2" t="b">
        <v>0</v>
      </c>
      <c r="H592" s="2">
        <v>4</v>
      </c>
      <c r="I592" s="2">
        <v>1</v>
      </c>
      <c r="J592" s="2">
        <v>0.2</v>
      </c>
      <c r="K592" s="4">
        <v>0.2273</v>
      </c>
      <c r="L592" s="4">
        <v>0.69</v>
      </c>
      <c r="M592" s="4">
        <v>8.9599999999999999E-2</v>
      </c>
      <c r="N592" s="4">
        <v>76</v>
      </c>
      <c r="O592" s="2">
        <v>79</v>
      </c>
      <c r="P592" s="2" t="str">
        <f t="shared" si="9"/>
        <v>Monday</v>
      </c>
      <c r="Q592" s="2" t="str">
        <f>IF(Table1[[#This Row],[temp]]&gt;=0.24,"cold","colder")</f>
        <v>colder</v>
      </c>
      <c r="R592" s="4">
        <v>3</v>
      </c>
      <c r="S592" s="16" t="str" cm="1">
        <f t="array" ref="S592">_xlfn.IFS(Table1[[#This Row],[weathersit]]=1,"clear sky",Table1[[#This Row],[weathersit]]=2,"mist",Table1[[#This Row],[weathersit]]=3,"partially dark",Table1[[#This Row],[weathersit]]=4,"rain")</f>
        <v>clear sky</v>
      </c>
    </row>
    <row r="593" spans="1:19" ht="15" customHeight="1" x14ac:dyDescent="0.3">
      <c r="A593" s="2">
        <v>592</v>
      </c>
      <c r="B593" s="3">
        <v>41135</v>
      </c>
      <c r="C593" s="2">
        <v>1</v>
      </c>
      <c r="D593" s="2">
        <v>0</v>
      </c>
      <c r="E593" s="2">
        <v>1</v>
      </c>
      <c r="F593" s="2">
        <v>20</v>
      </c>
      <c r="G593" s="2" t="b">
        <v>0</v>
      </c>
      <c r="H593" s="2">
        <v>4</v>
      </c>
      <c r="I593" s="2">
        <v>1</v>
      </c>
      <c r="J593" s="2">
        <v>0.18</v>
      </c>
      <c r="K593" s="4">
        <v>0.21210000000000001</v>
      </c>
      <c r="L593" s="4">
        <v>0.74</v>
      </c>
      <c r="M593" s="4">
        <v>8.9599999999999999E-2</v>
      </c>
      <c r="N593" s="4">
        <v>55</v>
      </c>
      <c r="O593" s="2">
        <v>59</v>
      </c>
      <c r="P593" s="2" t="str">
        <f t="shared" si="9"/>
        <v>Tuesday</v>
      </c>
      <c r="Q593" s="2" t="str">
        <f>IF(Table1[[#This Row],[temp]]&gt;=0.24,"cold","colder")</f>
        <v>colder</v>
      </c>
      <c r="R593" s="4">
        <v>4</v>
      </c>
      <c r="S593" s="16" t="str" cm="1">
        <f t="array" ref="S593">_xlfn.IFS(Table1[[#This Row],[weathersit]]=1,"clear sky",Table1[[#This Row],[weathersit]]=2,"mist",Table1[[#This Row],[weathersit]]=3,"partially dark",Table1[[#This Row],[weathersit]]=4,"rain")</f>
        <v>clear sky</v>
      </c>
    </row>
    <row r="594" spans="1:19" ht="15" customHeight="1" x14ac:dyDescent="0.3">
      <c r="A594" s="2">
        <v>593</v>
      </c>
      <c r="B594" s="3">
        <v>41136</v>
      </c>
      <c r="C594" s="2">
        <v>1</v>
      </c>
      <c r="D594" s="2">
        <v>0</v>
      </c>
      <c r="E594" s="2">
        <v>1</v>
      </c>
      <c r="F594" s="2">
        <v>21</v>
      </c>
      <c r="G594" s="2" t="b">
        <v>0</v>
      </c>
      <c r="H594" s="2">
        <v>4</v>
      </c>
      <c r="I594" s="2">
        <v>1</v>
      </c>
      <c r="J594" s="2">
        <v>0.18</v>
      </c>
      <c r="K594" s="4">
        <v>0.21210000000000001</v>
      </c>
      <c r="L594" s="4">
        <v>0.74</v>
      </c>
      <c r="M594" s="4">
        <v>8.9599999999999999E-2</v>
      </c>
      <c r="N594" s="4">
        <v>36</v>
      </c>
      <c r="O594" s="2">
        <v>38</v>
      </c>
      <c r="P594" s="2" t="str">
        <f t="shared" si="9"/>
        <v>Wednesday</v>
      </c>
      <c r="Q594" s="2" t="str">
        <f>IF(Table1[[#This Row],[temp]]&gt;=0.24,"cold","colder")</f>
        <v>colder</v>
      </c>
      <c r="R594" s="4">
        <v>2</v>
      </c>
      <c r="S594" s="16" t="str" cm="1">
        <f t="array" ref="S594">_xlfn.IFS(Table1[[#This Row],[weathersit]]=1,"clear sky",Table1[[#This Row],[weathersit]]=2,"mist",Table1[[#This Row],[weathersit]]=3,"partially dark",Table1[[#This Row],[weathersit]]=4,"rain")</f>
        <v>clear sky</v>
      </c>
    </row>
    <row r="595" spans="1:19" ht="15" customHeight="1" x14ac:dyDescent="0.3">
      <c r="A595" s="2">
        <v>594</v>
      </c>
      <c r="B595" s="3">
        <v>41137</v>
      </c>
      <c r="C595" s="2">
        <v>1</v>
      </c>
      <c r="D595" s="2">
        <v>0</v>
      </c>
      <c r="E595" s="2">
        <v>1</v>
      </c>
      <c r="F595" s="2">
        <v>22</v>
      </c>
      <c r="G595" s="2" t="b">
        <v>0</v>
      </c>
      <c r="H595" s="2">
        <v>4</v>
      </c>
      <c r="I595" s="2">
        <v>1</v>
      </c>
      <c r="J595" s="2">
        <v>0.18</v>
      </c>
      <c r="K595" s="4">
        <v>0.21210000000000001</v>
      </c>
      <c r="L595" s="4">
        <v>0.74</v>
      </c>
      <c r="M595" s="4">
        <v>8.9599999999999999E-2</v>
      </c>
      <c r="N595" s="4">
        <v>27</v>
      </c>
      <c r="O595" s="2">
        <v>27</v>
      </c>
      <c r="P595" s="2" t="str">
        <f t="shared" si="9"/>
        <v>Thursday</v>
      </c>
      <c r="Q595" s="2" t="str">
        <f>IF(Table1[[#This Row],[temp]]&gt;=0.24,"cold","colder")</f>
        <v>colder</v>
      </c>
      <c r="R595" s="4">
        <v>0</v>
      </c>
      <c r="S595" s="16" t="str" cm="1">
        <f t="array" ref="S595">_xlfn.IFS(Table1[[#This Row],[weathersit]]=1,"clear sky",Table1[[#This Row],[weathersit]]=2,"mist",Table1[[#This Row],[weathersit]]=3,"partially dark",Table1[[#This Row],[weathersit]]=4,"rain")</f>
        <v>clear sky</v>
      </c>
    </row>
    <row r="596" spans="1:19" ht="15" customHeight="1" x14ac:dyDescent="0.3">
      <c r="A596" s="2">
        <v>595</v>
      </c>
      <c r="B596" s="3">
        <v>41138</v>
      </c>
      <c r="C596" s="2">
        <v>1</v>
      </c>
      <c r="D596" s="2">
        <v>0</v>
      </c>
      <c r="E596" s="2">
        <v>1</v>
      </c>
      <c r="F596" s="2">
        <v>23</v>
      </c>
      <c r="G596" s="2" t="b">
        <v>0</v>
      </c>
      <c r="H596" s="2">
        <v>4</v>
      </c>
      <c r="I596" s="2">
        <v>1</v>
      </c>
      <c r="J596" s="2">
        <v>0.18</v>
      </c>
      <c r="K596" s="4">
        <v>0.19700000000000001</v>
      </c>
      <c r="L596" s="4">
        <v>0.8</v>
      </c>
      <c r="M596" s="4">
        <v>0.16420000000000001</v>
      </c>
      <c r="N596" s="4">
        <v>16</v>
      </c>
      <c r="O596" s="2">
        <v>16</v>
      </c>
      <c r="P596" s="2" t="str">
        <f t="shared" si="9"/>
        <v>Friday</v>
      </c>
      <c r="Q596" s="2" t="str">
        <f>IF(Table1[[#This Row],[temp]]&gt;=0.24,"cold","colder")</f>
        <v>colder</v>
      </c>
      <c r="R596" s="4">
        <v>0</v>
      </c>
      <c r="S596" s="16" t="str" cm="1">
        <f t="array" ref="S596">_xlfn.IFS(Table1[[#This Row],[weathersit]]=1,"clear sky",Table1[[#This Row],[weathersit]]=2,"mist",Table1[[#This Row],[weathersit]]=3,"partially dark",Table1[[#This Row],[weathersit]]=4,"rain")</f>
        <v>clear sky</v>
      </c>
    </row>
    <row r="597" spans="1:19" ht="15" customHeight="1" x14ac:dyDescent="0.3">
      <c r="A597" s="2">
        <v>596</v>
      </c>
      <c r="B597" s="3">
        <v>41139</v>
      </c>
      <c r="C597" s="2">
        <v>1</v>
      </c>
      <c r="D597" s="2">
        <v>0</v>
      </c>
      <c r="E597" s="2">
        <v>1</v>
      </c>
      <c r="F597" s="2">
        <v>0</v>
      </c>
      <c r="G597" s="2" t="b">
        <v>0</v>
      </c>
      <c r="H597" s="2">
        <v>5</v>
      </c>
      <c r="I597" s="2">
        <v>2</v>
      </c>
      <c r="J597" s="2">
        <v>0.2</v>
      </c>
      <c r="K597" s="4">
        <v>0.21210000000000001</v>
      </c>
      <c r="L597" s="4">
        <v>0.75</v>
      </c>
      <c r="M597" s="4">
        <v>0.1343</v>
      </c>
      <c r="N597" s="4">
        <v>9</v>
      </c>
      <c r="O597" s="2">
        <v>9</v>
      </c>
      <c r="P597" s="2" t="str">
        <f t="shared" si="9"/>
        <v>Saturday</v>
      </c>
      <c r="Q597" s="2" t="str">
        <f>IF(Table1[[#This Row],[temp]]&gt;=0.24,"cold","colder")</f>
        <v>colder</v>
      </c>
      <c r="R597" s="4">
        <v>0</v>
      </c>
      <c r="S597" s="16" t="str" cm="1">
        <f t="array" ref="S597">_xlfn.IFS(Table1[[#This Row],[weathersit]]=1,"clear sky",Table1[[#This Row],[weathersit]]=2,"mist",Table1[[#This Row],[weathersit]]=3,"partially dark",Table1[[#This Row],[weathersit]]=4,"rain")</f>
        <v>mist</v>
      </c>
    </row>
    <row r="598" spans="1:19" ht="15" customHeight="1" x14ac:dyDescent="0.3">
      <c r="A598" s="2">
        <v>597</v>
      </c>
      <c r="B598" s="3">
        <v>41140</v>
      </c>
      <c r="C598" s="2">
        <v>1</v>
      </c>
      <c r="D598" s="2">
        <v>0</v>
      </c>
      <c r="E598" s="2">
        <v>1</v>
      </c>
      <c r="F598" s="2">
        <v>1</v>
      </c>
      <c r="G598" s="2" t="b">
        <v>0</v>
      </c>
      <c r="H598" s="2">
        <v>5</v>
      </c>
      <c r="I598" s="2">
        <v>2</v>
      </c>
      <c r="J598" s="2">
        <v>0.2</v>
      </c>
      <c r="K598" s="4">
        <v>0.21210000000000001</v>
      </c>
      <c r="L598" s="4">
        <v>0.75</v>
      </c>
      <c r="M598" s="4">
        <v>0.1343</v>
      </c>
      <c r="N598" s="4">
        <v>2</v>
      </c>
      <c r="O598" s="2">
        <v>3</v>
      </c>
      <c r="P598" s="2" t="str">
        <f t="shared" si="9"/>
        <v>Sunday</v>
      </c>
      <c r="Q598" s="2" t="str">
        <f>IF(Table1[[#This Row],[temp]]&gt;=0.24,"cold","colder")</f>
        <v>colder</v>
      </c>
      <c r="R598" s="4">
        <v>1</v>
      </c>
      <c r="S598" s="16" t="str" cm="1">
        <f t="array" ref="S598">_xlfn.IFS(Table1[[#This Row],[weathersit]]=1,"clear sky",Table1[[#This Row],[weathersit]]=2,"mist",Table1[[#This Row],[weathersit]]=3,"partially dark",Table1[[#This Row],[weathersit]]=4,"rain")</f>
        <v>mist</v>
      </c>
    </row>
    <row r="599" spans="1:19" ht="15" customHeight="1" x14ac:dyDescent="0.3">
      <c r="A599" s="2">
        <v>598</v>
      </c>
      <c r="B599" s="3">
        <v>41141</v>
      </c>
      <c r="C599" s="2">
        <v>1</v>
      </c>
      <c r="D599" s="2">
        <v>0</v>
      </c>
      <c r="E599" s="2">
        <v>1</v>
      </c>
      <c r="F599" s="2">
        <v>2</v>
      </c>
      <c r="G599" s="2" t="b">
        <v>0</v>
      </c>
      <c r="H599" s="2">
        <v>5</v>
      </c>
      <c r="I599" s="2">
        <v>2</v>
      </c>
      <c r="J599" s="2">
        <v>0.2</v>
      </c>
      <c r="K599" s="4">
        <v>0.21210000000000001</v>
      </c>
      <c r="L599" s="4">
        <v>0.75</v>
      </c>
      <c r="M599" s="4">
        <v>0.16420000000000001</v>
      </c>
      <c r="N599" s="4">
        <v>2</v>
      </c>
      <c r="O599" s="2">
        <v>2</v>
      </c>
      <c r="P599" s="2" t="str">
        <f t="shared" si="9"/>
        <v>Monday</v>
      </c>
      <c r="Q599" s="2" t="str">
        <f>IF(Table1[[#This Row],[temp]]&gt;=0.24,"cold","colder")</f>
        <v>colder</v>
      </c>
      <c r="R599" s="4">
        <v>0</v>
      </c>
      <c r="S599" s="16" t="str" cm="1">
        <f t="array" ref="S599">_xlfn.IFS(Table1[[#This Row],[weathersit]]=1,"clear sky",Table1[[#This Row],[weathersit]]=2,"mist",Table1[[#This Row],[weathersit]]=3,"partially dark",Table1[[#This Row],[weathersit]]=4,"rain")</f>
        <v>mist</v>
      </c>
    </row>
    <row r="600" spans="1:19" ht="15" customHeight="1" x14ac:dyDescent="0.3">
      <c r="A600" s="2">
        <v>599</v>
      </c>
      <c r="B600" s="3">
        <v>41142</v>
      </c>
      <c r="C600" s="2">
        <v>1</v>
      </c>
      <c r="D600" s="2">
        <v>0</v>
      </c>
      <c r="E600" s="2">
        <v>1</v>
      </c>
      <c r="F600" s="2">
        <v>3</v>
      </c>
      <c r="G600" s="2" t="b">
        <v>0</v>
      </c>
      <c r="H600" s="2">
        <v>5</v>
      </c>
      <c r="I600" s="2">
        <v>2</v>
      </c>
      <c r="J600" s="2">
        <v>0.2</v>
      </c>
      <c r="K600" s="4">
        <v>0.2273</v>
      </c>
      <c r="L600" s="4">
        <v>0.75</v>
      </c>
      <c r="M600" s="4">
        <v>0.1045</v>
      </c>
      <c r="N600" s="4">
        <v>0</v>
      </c>
      <c r="O600" s="2">
        <v>1</v>
      </c>
      <c r="P600" s="2" t="str">
        <f t="shared" si="9"/>
        <v>Tuesday</v>
      </c>
      <c r="Q600" s="2" t="str">
        <f>IF(Table1[[#This Row],[temp]]&gt;=0.24,"cold","colder")</f>
        <v>colder</v>
      </c>
      <c r="R600" s="4">
        <v>1</v>
      </c>
      <c r="S600" s="16" t="str" cm="1">
        <f t="array" ref="S600">_xlfn.IFS(Table1[[#This Row],[weathersit]]=1,"clear sky",Table1[[#This Row],[weathersit]]=2,"mist",Table1[[#This Row],[weathersit]]=3,"partially dark",Table1[[#This Row],[weathersit]]=4,"rain")</f>
        <v>mist</v>
      </c>
    </row>
    <row r="601" spans="1:19" ht="15" customHeight="1" x14ac:dyDescent="0.3">
      <c r="A601" s="2">
        <v>600</v>
      </c>
      <c r="B601" s="3">
        <v>41143</v>
      </c>
      <c r="C601" s="2">
        <v>1</v>
      </c>
      <c r="D601" s="2">
        <v>0</v>
      </c>
      <c r="E601" s="2">
        <v>1</v>
      </c>
      <c r="F601" s="2">
        <v>5</v>
      </c>
      <c r="G601" s="2" t="b">
        <v>0</v>
      </c>
      <c r="H601" s="2">
        <v>5</v>
      </c>
      <c r="I601" s="2">
        <v>2</v>
      </c>
      <c r="J601" s="2">
        <v>0.18</v>
      </c>
      <c r="K601" s="4">
        <v>0.21210000000000001</v>
      </c>
      <c r="L601" s="4">
        <v>0.8</v>
      </c>
      <c r="M601" s="4">
        <v>0.1045</v>
      </c>
      <c r="N601" s="4">
        <v>4</v>
      </c>
      <c r="O601" s="2">
        <v>4</v>
      </c>
      <c r="P601" s="2" t="str">
        <f t="shared" si="9"/>
        <v>Wednesday</v>
      </c>
      <c r="Q601" s="2" t="str">
        <f>IF(Table1[[#This Row],[temp]]&gt;=0.24,"cold","colder")</f>
        <v>colder</v>
      </c>
      <c r="R601" s="4">
        <v>0</v>
      </c>
      <c r="S601" s="16" t="str" cm="1">
        <f t="array" ref="S601">_xlfn.IFS(Table1[[#This Row],[weathersit]]=1,"clear sky",Table1[[#This Row],[weathersit]]=2,"mist",Table1[[#This Row],[weathersit]]=3,"partially dark",Table1[[#This Row],[weathersit]]=4,"rain")</f>
        <v>mist</v>
      </c>
    </row>
    <row r="602" spans="1:19" ht="15" customHeight="1" x14ac:dyDescent="0.3">
      <c r="A602" s="2">
        <v>601</v>
      </c>
      <c r="B602" s="3">
        <v>41144</v>
      </c>
      <c r="C602" s="2">
        <v>1</v>
      </c>
      <c r="D602" s="2">
        <v>0</v>
      </c>
      <c r="E602" s="2">
        <v>1</v>
      </c>
      <c r="F602" s="2">
        <v>6</v>
      </c>
      <c r="G602" s="2" t="b">
        <v>0</v>
      </c>
      <c r="H602" s="2">
        <v>5</v>
      </c>
      <c r="I602" s="2">
        <v>2</v>
      </c>
      <c r="J602" s="2">
        <v>0.18</v>
      </c>
      <c r="K602" s="4">
        <v>0.19700000000000001</v>
      </c>
      <c r="L602" s="4">
        <v>0.8</v>
      </c>
      <c r="M602" s="4">
        <v>0.1343</v>
      </c>
      <c r="N602" s="4">
        <v>16</v>
      </c>
      <c r="O602" s="2">
        <v>16</v>
      </c>
      <c r="P602" s="2" t="str">
        <f t="shared" si="9"/>
        <v>Thursday</v>
      </c>
      <c r="Q602" s="2" t="str">
        <f>IF(Table1[[#This Row],[temp]]&gt;=0.24,"cold","colder")</f>
        <v>colder</v>
      </c>
      <c r="R602" s="4">
        <v>0</v>
      </c>
      <c r="S602" s="16" t="str" cm="1">
        <f t="array" ref="S602">_xlfn.IFS(Table1[[#This Row],[weathersit]]=1,"clear sky",Table1[[#This Row],[weathersit]]=2,"mist",Table1[[#This Row],[weathersit]]=3,"partially dark",Table1[[#This Row],[weathersit]]=4,"rain")</f>
        <v>mist</v>
      </c>
    </row>
    <row r="603" spans="1:19" ht="15" customHeight="1" x14ac:dyDescent="0.3">
      <c r="A603" s="2">
        <v>602</v>
      </c>
      <c r="B603" s="3">
        <v>41145</v>
      </c>
      <c r="C603" s="2">
        <v>1</v>
      </c>
      <c r="D603" s="2">
        <v>0</v>
      </c>
      <c r="E603" s="2">
        <v>1</v>
      </c>
      <c r="F603" s="2">
        <v>7</v>
      </c>
      <c r="G603" s="2" t="b">
        <v>0</v>
      </c>
      <c r="H603" s="2">
        <v>5</v>
      </c>
      <c r="I603" s="2">
        <v>2</v>
      </c>
      <c r="J603" s="2">
        <v>0.16</v>
      </c>
      <c r="K603" s="4">
        <v>0.19700000000000001</v>
      </c>
      <c r="L603" s="4">
        <v>0.86</v>
      </c>
      <c r="M603" s="4">
        <v>8.9599999999999999E-2</v>
      </c>
      <c r="N603" s="4">
        <v>58</v>
      </c>
      <c r="O603" s="2">
        <v>60</v>
      </c>
      <c r="P603" s="2" t="str">
        <f t="shared" si="9"/>
        <v>Friday</v>
      </c>
      <c r="Q603" s="2" t="str">
        <f>IF(Table1[[#This Row],[temp]]&gt;=0.24,"cold","colder")</f>
        <v>colder</v>
      </c>
      <c r="R603" s="4">
        <v>2</v>
      </c>
      <c r="S603" s="16" t="str" cm="1">
        <f t="array" ref="S603">_xlfn.IFS(Table1[[#This Row],[weathersit]]=1,"clear sky",Table1[[#This Row],[weathersit]]=2,"mist",Table1[[#This Row],[weathersit]]=3,"partially dark",Table1[[#This Row],[weathersit]]=4,"rain")</f>
        <v>mist</v>
      </c>
    </row>
    <row r="604" spans="1:19" ht="15" customHeight="1" x14ac:dyDescent="0.3">
      <c r="A604" s="2">
        <v>603</v>
      </c>
      <c r="B604" s="3">
        <v>41146</v>
      </c>
      <c r="C604" s="2">
        <v>1</v>
      </c>
      <c r="D604" s="2">
        <v>0</v>
      </c>
      <c r="E604" s="2">
        <v>1</v>
      </c>
      <c r="F604" s="2">
        <v>8</v>
      </c>
      <c r="G604" s="2" t="b">
        <v>0</v>
      </c>
      <c r="H604" s="2">
        <v>5</v>
      </c>
      <c r="I604" s="2">
        <v>2</v>
      </c>
      <c r="J604" s="2">
        <v>0.16</v>
      </c>
      <c r="K604" s="4">
        <v>0.19700000000000001</v>
      </c>
      <c r="L604" s="4">
        <v>0.86</v>
      </c>
      <c r="M604" s="4">
        <v>8.9599999999999999E-2</v>
      </c>
      <c r="N604" s="4">
        <v>155</v>
      </c>
      <c r="O604" s="2">
        <v>157</v>
      </c>
      <c r="P604" s="2" t="str">
        <f t="shared" si="9"/>
        <v>Saturday</v>
      </c>
      <c r="Q604" s="2" t="str">
        <f>IF(Table1[[#This Row],[temp]]&gt;=0.24,"cold","colder")</f>
        <v>colder</v>
      </c>
      <c r="R604" s="4">
        <v>2</v>
      </c>
      <c r="S604" s="16" t="str" cm="1">
        <f t="array" ref="S604">_xlfn.IFS(Table1[[#This Row],[weathersit]]=1,"clear sky",Table1[[#This Row],[weathersit]]=2,"mist",Table1[[#This Row],[weathersit]]=3,"partially dark",Table1[[#This Row],[weathersit]]=4,"rain")</f>
        <v>mist</v>
      </c>
    </row>
    <row r="605" spans="1:19" ht="15" customHeight="1" x14ac:dyDescent="0.3">
      <c r="A605" s="2">
        <v>604</v>
      </c>
      <c r="B605" s="3">
        <v>41147</v>
      </c>
      <c r="C605" s="2">
        <v>1</v>
      </c>
      <c r="D605" s="2">
        <v>0</v>
      </c>
      <c r="E605" s="2">
        <v>1</v>
      </c>
      <c r="F605" s="2">
        <v>9</v>
      </c>
      <c r="G605" s="2" t="b">
        <v>0</v>
      </c>
      <c r="H605" s="2">
        <v>5</v>
      </c>
      <c r="I605" s="2">
        <v>3</v>
      </c>
      <c r="J605" s="2">
        <v>0.18</v>
      </c>
      <c r="K605" s="4">
        <v>0.21210000000000001</v>
      </c>
      <c r="L605" s="4">
        <v>0.86</v>
      </c>
      <c r="M605" s="4">
        <v>8.9599999999999999E-2</v>
      </c>
      <c r="N605" s="4">
        <v>95</v>
      </c>
      <c r="O605" s="2">
        <v>101</v>
      </c>
      <c r="P605" s="2" t="str">
        <f t="shared" si="9"/>
        <v>Sunday</v>
      </c>
      <c r="Q605" s="2" t="str">
        <f>IF(Table1[[#This Row],[temp]]&gt;=0.24,"cold","colder")</f>
        <v>colder</v>
      </c>
      <c r="R605" s="4">
        <v>6</v>
      </c>
      <c r="S605" s="16" t="str" cm="1">
        <f t="array" ref="S605">_xlfn.IFS(Table1[[#This Row],[weathersit]]=1,"clear sky",Table1[[#This Row],[weathersit]]=2,"mist",Table1[[#This Row],[weathersit]]=3,"partially dark",Table1[[#This Row],[weathersit]]=4,"rain")</f>
        <v>partially dark</v>
      </c>
    </row>
    <row r="606" spans="1:19" ht="15" customHeight="1" x14ac:dyDescent="0.3">
      <c r="A606" s="2">
        <v>605</v>
      </c>
      <c r="B606" s="3">
        <v>41148</v>
      </c>
      <c r="C606" s="2">
        <v>1</v>
      </c>
      <c r="D606" s="2">
        <v>0</v>
      </c>
      <c r="E606" s="2">
        <v>1</v>
      </c>
      <c r="F606" s="2">
        <v>10</v>
      </c>
      <c r="G606" s="2" t="b">
        <v>0</v>
      </c>
      <c r="H606" s="2">
        <v>5</v>
      </c>
      <c r="I606" s="2">
        <v>3</v>
      </c>
      <c r="J606" s="2">
        <v>0.18</v>
      </c>
      <c r="K606" s="4">
        <v>0.21210000000000001</v>
      </c>
      <c r="L606" s="4">
        <v>0.86</v>
      </c>
      <c r="M606" s="4">
        <v>0.1045</v>
      </c>
      <c r="N606" s="4">
        <v>49</v>
      </c>
      <c r="O606" s="2">
        <v>49</v>
      </c>
      <c r="P606" s="2" t="str">
        <f t="shared" si="9"/>
        <v>Monday</v>
      </c>
      <c r="Q606" s="2" t="str">
        <f>IF(Table1[[#This Row],[temp]]&gt;=0.24,"cold","colder")</f>
        <v>colder</v>
      </c>
      <c r="R606" s="4">
        <v>0</v>
      </c>
      <c r="S606" s="16" t="str" cm="1">
        <f t="array" ref="S606">_xlfn.IFS(Table1[[#This Row],[weathersit]]=1,"clear sky",Table1[[#This Row],[weathersit]]=2,"mist",Table1[[#This Row],[weathersit]]=3,"partially dark",Table1[[#This Row],[weathersit]]=4,"rain")</f>
        <v>partially dark</v>
      </c>
    </row>
    <row r="607" spans="1:19" ht="15" customHeight="1" x14ac:dyDescent="0.3">
      <c r="A607" s="2">
        <v>606</v>
      </c>
      <c r="B607" s="3">
        <v>41149</v>
      </c>
      <c r="C607" s="2">
        <v>1</v>
      </c>
      <c r="D607" s="2">
        <v>0</v>
      </c>
      <c r="E607" s="2">
        <v>1</v>
      </c>
      <c r="F607" s="2">
        <v>11</v>
      </c>
      <c r="G607" s="2" t="b">
        <v>0</v>
      </c>
      <c r="H607" s="2">
        <v>5</v>
      </c>
      <c r="I607" s="2">
        <v>3</v>
      </c>
      <c r="J607" s="2">
        <v>0.18</v>
      </c>
      <c r="K607" s="4">
        <v>0.21210000000000001</v>
      </c>
      <c r="L607" s="4">
        <v>0.93</v>
      </c>
      <c r="M607" s="4">
        <v>0.1045</v>
      </c>
      <c r="N607" s="4">
        <v>30</v>
      </c>
      <c r="O607" s="2">
        <v>30</v>
      </c>
      <c r="P607" s="2" t="str">
        <f t="shared" si="9"/>
        <v>Tuesday</v>
      </c>
      <c r="Q607" s="2" t="str">
        <f>IF(Table1[[#This Row],[temp]]&gt;=0.24,"cold","colder")</f>
        <v>colder</v>
      </c>
      <c r="R607" s="4">
        <v>0</v>
      </c>
      <c r="S607" s="16" t="str" cm="1">
        <f t="array" ref="S607">_xlfn.IFS(Table1[[#This Row],[weathersit]]=1,"clear sky",Table1[[#This Row],[weathersit]]=2,"mist",Table1[[#This Row],[weathersit]]=3,"partially dark",Table1[[#This Row],[weathersit]]=4,"rain")</f>
        <v>partially dark</v>
      </c>
    </row>
    <row r="608" spans="1:19" ht="15" customHeight="1" x14ac:dyDescent="0.3">
      <c r="A608" s="2">
        <v>607</v>
      </c>
      <c r="B608" s="3">
        <v>41150</v>
      </c>
      <c r="C608" s="2">
        <v>1</v>
      </c>
      <c r="D608" s="2">
        <v>0</v>
      </c>
      <c r="E608" s="2">
        <v>1</v>
      </c>
      <c r="F608" s="2">
        <v>12</v>
      </c>
      <c r="G608" s="2" t="b">
        <v>0</v>
      </c>
      <c r="H608" s="2">
        <v>5</v>
      </c>
      <c r="I608" s="2">
        <v>3</v>
      </c>
      <c r="J608" s="2">
        <v>0.18</v>
      </c>
      <c r="K608" s="4">
        <v>0.21210000000000001</v>
      </c>
      <c r="L608" s="4">
        <v>0.93</v>
      </c>
      <c r="M608" s="4">
        <v>0.1045</v>
      </c>
      <c r="N608" s="4">
        <v>28</v>
      </c>
      <c r="O608" s="2">
        <v>29</v>
      </c>
      <c r="P608" s="2" t="str">
        <f t="shared" si="9"/>
        <v>Wednesday</v>
      </c>
      <c r="Q608" s="2" t="str">
        <f>IF(Table1[[#This Row],[temp]]&gt;=0.24,"cold","colder")</f>
        <v>colder</v>
      </c>
      <c r="R608" s="4">
        <v>1</v>
      </c>
      <c r="S608" s="16" t="str" cm="1">
        <f t="array" ref="S608">_xlfn.IFS(Table1[[#This Row],[weathersit]]=1,"clear sky",Table1[[#This Row],[weathersit]]=2,"mist",Table1[[#This Row],[weathersit]]=3,"partially dark",Table1[[#This Row],[weathersit]]=4,"rain")</f>
        <v>partially dark</v>
      </c>
    </row>
    <row r="609" spans="1:19" ht="15" customHeight="1" x14ac:dyDescent="0.3">
      <c r="A609" s="2">
        <v>608</v>
      </c>
      <c r="B609" s="3">
        <v>41151</v>
      </c>
      <c r="C609" s="2">
        <v>1</v>
      </c>
      <c r="D609" s="2">
        <v>0</v>
      </c>
      <c r="E609" s="2">
        <v>1</v>
      </c>
      <c r="F609" s="2">
        <v>13</v>
      </c>
      <c r="G609" s="2" t="b">
        <v>0</v>
      </c>
      <c r="H609" s="2">
        <v>5</v>
      </c>
      <c r="I609" s="2">
        <v>3</v>
      </c>
      <c r="J609" s="2">
        <v>0.18</v>
      </c>
      <c r="K609" s="4">
        <v>0.21210000000000001</v>
      </c>
      <c r="L609" s="4">
        <v>0.93</v>
      </c>
      <c r="M609" s="4">
        <v>0.1045</v>
      </c>
      <c r="N609" s="4">
        <v>31</v>
      </c>
      <c r="O609" s="2">
        <v>31</v>
      </c>
      <c r="P609" s="2" t="str">
        <f t="shared" si="9"/>
        <v>Thursday</v>
      </c>
      <c r="Q609" s="2" t="str">
        <f>IF(Table1[[#This Row],[temp]]&gt;=0.24,"cold","colder")</f>
        <v>colder</v>
      </c>
      <c r="R609" s="4">
        <v>0</v>
      </c>
      <c r="S609" s="16" t="str" cm="1">
        <f t="array" ref="S609">_xlfn.IFS(Table1[[#This Row],[weathersit]]=1,"clear sky",Table1[[#This Row],[weathersit]]=2,"mist",Table1[[#This Row],[weathersit]]=3,"partially dark",Table1[[#This Row],[weathersit]]=4,"rain")</f>
        <v>partially dark</v>
      </c>
    </row>
    <row r="610" spans="1:19" ht="15" customHeight="1" x14ac:dyDescent="0.3">
      <c r="A610" s="2">
        <v>609</v>
      </c>
      <c r="B610" s="3">
        <v>41152</v>
      </c>
      <c r="C610" s="2">
        <v>1</v>
      </c>
      <c r="D610" s="2">
        <v>0</v>
      </c>
      <c r="E610" s="2">
        <v>1</v>
      </c>
      <c r="F610" s="2">
        <v>14</v>
      </c>
      <c r="G610" s="2" t="b">
        <v>0</v>
      </c>
      <c r="H610" s="2">
        <v>5</v>
      </c>
      <c r="I610" s="2">
        <v>3</v>
      </c>
      <c r="J610" s="2">
        <v>0.22</v>
      </c>
      <c r="K610" s="4">
        <v>0.2727</v>
      </c>
      <c r="L610" s="4">
        <v>0.8</v>
      </c>
      <c r="M610" s="4">
        <v>0</v>
      </c>
      <c r="N610" s="4">
        <v>36</v>
      </c>
      <c r="O610" s="2">
        <v>38</v>
      </c>
      <c r="P610" s="2" t="str">
        <f t="shared" si="9"/>
        <v>Friday</v>
      </c>
      <c r="Q610" s="2" t="str">
        <f>IF(Table1[[#This Row],[temp]]&gt;=0.24,"cold","colder")</f>
        <v>colder</v>
      </c>
      <c r="R610" s="4">
        <v>2</v>
      </c>
      <c r="S610" s="16" t="str" cm="1">
        <f t="array" ref="S610">_xlfn.IFS(Table1[[#This Row],[weathersit]]=1,"clear sky",Table1[[#This Row],[weathersit]]=2,"mist",Table1[[#This Row],[weathersit]]=3,"partially dark",Table1[[#This Row],[weathersit]]=4,"rain")</f>
        <v>partially dark</v>
      </c>
    </row>
    <row r="611" spans="1:19" ht="15" customHeight="1" x14ac:dyDescent="0.3">
      <c r="A611" s="2">
        <v>610</v>
      </c>
      <c r="B611" s="3">
        <v>41153</v>
      </c>
      <c r="C611" s="2">
        <v>1</v>
      </c>
      <c r="D611" s="2">
        <v>0</v>
      </c>
      <c r="E611" s="2">
        <v>1</v>
      </c>
      <c r="F611" s="2">
        <v>15</v>
      </c>
      <c r="G611" s="2" t="b">
        <v>0</v>
      </c>
      <c r="H611" s="2">
        <v>5</v>
      </c>
      <c r="I611" s="2">
        <v>2</v>
      </c>
      <c r="J611" s="2">
        <v>0.2</v>
      </c>
      <c r="K611" s="4">
        <v>0.2576</v>
      </c>
      <c r="L611" s="4">
        <v>0.86</v>
      </c>
      <c r="M611" s="4">
        <v>0</v>
      </c>
      <c r="N611" s="4">
        <v>40</v>
      </c>
      <c r="O611" s="2">
        <v>41</v>
      </c>
      <c r="P611" s="2" t="str">
        <f t="shared" si="9"/>
        <v>Saturday</v>
      </c>
      <c r="Q611" s="2" t="str">
        <f>IF(Table1[[#This Row],[temp]]&gt;=0.24,"cold","colder")</f>
        <v>colder</v>
      </c>
      <c r="R611" s="4">
        <v>1</v>
      </c>
      <c r="S611" s="16" t="str" cm="1">
        <f t="array" ref="S611">_xlfn.IFS(Table1[[#This Row],[weathersit]]=1,"clear sky",Table1[[#This Row],[weathersit]]=2,"mist",Table1[[#This Row],[weathersit]]=3,"partially dark",Table1[[#This Row],[weathersit]]=4,"rain")</f>
        <v>mist</v>
      </c>
    </row>
    <row r="612" spans="1:19" ht="13.8" x14ac:dyDescent="0.3">
      <c r="A612" s="2">
        <v>611</v>
      </c>
      <c r="B612" s="3">
        <v>40571</v>
      </c>
      <c r="C612" s="2">
        <v>1</v>
      </c>
      <c r="D612" s="2">
        <v>0</v>
      </c>
      <c r="E612" s="2">
        <v>1</v>
      </c>
      <c r="F612" s="2">
        <v>16</v>
      </c>
      <c r="G612" s="2" t="b">
        <v>0</v>
      </c>
      <c r="H612" s="2">
        <v>5</v>
      </c>
      <c r="I612" s="2">
        <v>1</v>
      </c>
      <c r="J612" s="2">
        <v>0.22</v>
      </c>
      <c r="K612" s="2">
        <v>0.2727</v>
      </c>
      <c r="L612" s="2">
        <v>0.8</v>
      </c>
      <c r="M612" s="2">
        <v>0</v>
      </c>
      <c r="N612" s="2">
        <v>70</v>
      </c>
      <c r="O612" s="2">
        <v>80</v>
      </c>
      <c r="P612" s="2" t="str">
        <f t="shared" si="9"/>
        <v>Friday</v>
      </c>
      <c r="Q612" s="2" t="str">
        <f>IF(Table1[[#This Row],[temp]]&gt;=0.24,"cold","colder")</f>
        <v>colder</v>
      </c>
      <c r="R612" s="2">
        <v>10</v>
      </c>
      <c r="S612" s="16" t="str" cm="1">
        <f t="array" ref="S612">_xlfn.IFS(Table1[[#This Row],[weathersit]]=1,"clear sky",Table1[[#This Row],[weathersit]]=2,"mist",Table1[[#This Row],[weathersit]]=3,"partially dark",Table1[[#This Row],[weathersit]]=4,"rain")</f>
        <v>clear sky</v>
      </c>
    </row>
    <row r="613" spans="1:19" ht="13.8" x14ac:dyDescent="0.3">
      <c r="A613" s="2">
        <v>612</v>
      </c>
      <c r="B613" s="3">
        <v>40571</v>
      </c>
      <c r="C613" s="2">
        <v>1</v>
      </c>
      <c r="D613" s="2">
        <v>0</v>
      </c>
      <c r="E613" s="2">
        <v>1</v>
      </c>
      <c r="F613" s="2">
        <v>17</v>
      </c>
      <c r="G613" s="2" t="b">
        <v>0</v>
      </c>
      <c r="H613" s="2">
        <v>5</v>
      </c>
      <c r="I613" s="2">
        <v>1</v>
      </c>
      <c r="J613" s="2">
        <v>0.24</v>
      </c>
      <c r="K613" s="2">
        <v>0.2424</v>
      </c>
      <c r="L613" s="2">
        <v>0.75</v>
      </c>
      <c r="M613" s="2">
        <v>0.1343</v>
      </c>
      <c r="N613" s="2">
        <v>147</v>
      </c>
      <c r="O613" s="2">
        <v>149</v>
      </c>
      <c r="P613" s="2" t="str">
        <f t="shared" si="9"/>
        <v>Friday</v>
      </c>
      <c r="Q613" s="2" t="str">
        <f>IF(Table1[[#This Row],[temp]]&gt;=0.24,"cold","colder")</f>
        <v>cold</v>
      </c>
      <c r="R613" s="2">
        <v>2</v>
      </c>
      <c r="S613" s="16" t="str" cm="1">
        <f t="array" ref="S613">_xlfn.IFS(Table1[[#This Row],[weathersit]]=1,"clear sky",Table1[[#This Row],[weathersit]]=2,"mist",Table1[[#This Row],[weathersit]]=3,"partially dark",Table1[[#This Row],[weathersit]]=4,"rain")</f>
        <v>clear sky</v>
      </c>
    </row>
    <row r="614" spans="1:19" ht="13.8" x14ac:dyDescent="0.3">
      <c r="A614" s="2">
        <v>613</v>
      </c>
      <c r="B614" s="3">
        <v>40571</v>
      </c>
      <c r="C614" s="2">
        <v>1</v>
      </c>
      <c r="D614" s="2">
        <v>0</v>
      </c>
      <c r="E614" s="2">
        <v>1</v>
      </c>
      <c r="F614" s="2">
        <v>18</v>
      </c>
      <c r="G614" s="2" t="b">
        <v>0</v>
      </c>
      <c r="H614" s="2">
        <v>5</v>
      </c>
      <c r="I614" s="2">
        <v>1</v>
      </c>
      <c r="J614" s="2">
        <v>0.24</v>
      </c>
      <c r="K614" s="2">
        <v>0.2273</v>
      </c>
      <c r="L614" s="2">
        <v>0.75</v>
      </c>
      <c r="M614" s="2">
        <v>0.19400000000000001</v>
      </c>
      <c r="N614" s="2">
        <v>107</v>
      </c>
      <c r="O614" s="2">
        <v>109</v>
      </c>
      <c r="P614" s="2" t="str">
        <f t="shared" si="9"/>
        <v>Friday</v>
      </c>
      <c r="Q614" s="2" t="str">
        <f>IF(Table1[[#This Row],[temp]]&gt;=0.24,"cold","colder")</f>
        <v>cold</v>
      </c>
      <c r="R614" s="2">
        <v>2</v>
      </c>
      <c r="S614" s="16" t="str" cm="1">
        <f t="array" ref="S614">_xlfn.IFS(Table1[[#This Row],[weathersit]]=1,"clear sky",Table1[[#This Row],[weathersit]]=2,"mist",Table1[[#This Row],[weathersit]]=3,"partially dark",Table1[[#This Row],[weathersit]]=4,"rain")</f>
        <v>clear sky</v>
      </c>
    </row>
    <row r="615" spans="1:19" ht="13.8" x14ac:dyDescent="0.3">
      <c r="A615" s="2">
        <v>614</v>
      </c>
      <c r="B615" s="3">
        <v>40571</v>
      </c>
      <c r="C615" s="2">
        <v>1</v>
      </c>
      <c r="D615" s="2">
        <v>0</v>
      </c>
      <c r="E615" s="2">
        <v>1</v>
      </c>
      <c r="F615" s="2">
        <v>19</v>
      </c>
      <c r="G615" s="2" t="b">
        <v>0</v>
      </c>
      <c r="H615" s="2">
        <v>5</v>
      </c>
      <c r="I615" s="2">
        <v>2</v>
      </c>
      <c r="J615" s="2">
        <v>0.24</v>
      </c>
      <c r="K615" s="2">
        <v>0.2424</v>
      </c>
      <c r="L615" s="2">
        <v>0.75</v>
      </c>
      <c r="M615" s="2">
        <v>0.1343</v>
      </c>
      <c r="N615" s="2">
        <v>84</v>
      </c>
      <c r="O615" s="2">
        <v>89</v>
      </c>
      <c r="P615" s="2" t="str">
        <f t="shared" si="9"/>
        <v>Friday</v>
      </c>
      <c r="Q615" s="2" t="str">
        <f>IF(Table1[[#This Row],[temp]]&gt;=0.24,"cold","colder")</f>
        <v>cold</v>
      </c>
      <c r="R615" s="2">
        <v>5</v>
      </c>
      <c r="S615" s="16" t="str" cm="1">
        <f t="array" ref="S615">_xlfn.IFS(Table1[[#This Row],[weathersit]]=1,"clear sky",Table1[[#This Row],[weathersit]]=2,"mist",Table1[[#This Row],[weathersit]]=3,"partially dark",Table1[[#This Row],[weathersit]]=4,"rain")</f>
        <v>mist</v>
      </c>
    </row>
    <row r="616" spans="1:19" ht="13.8" x14ac:dyDescent="0.3">
      <c r="A616" s="2">
        <v>615</v>
      </c>
      <c r="B616" s="3">
        <v>40571</v>
      </c>
      <c r="C616" s="2">
        <v>1</v>
      </c>
      <c r="D616" s="2">
        <v>0</v>
      </c>
      <c r="E616" s="2">
        <v>1</v>
      </c>
      <c r="F616" s="2">
        <v>20</v>
      </c>
      <c r="G616" s="2" t="b">
        <v>0</v>
      </c>
      <c r="H616" s="2">
        <v>5</v>
      </c>
      <c r="I616" s="2">
        <v>2</v>
      </c>
      <c r="J616" s="2">
        <v>0.24</v>
      </c>
      <c r="K616" s="2">
        <v>0.2273</v>
      </c>
      <c r="L616" s="2">
        <v>0.7</v>
      </c>
      <c r="M616" s="2">
        <v>0.19400000000000001</v>
      </c>
      <c r="N616" s="2">
        <v>61</v>
      </c>
      <c r="O616" s="2">
        <v>62</v>
      </c>
      <c r="P616" s="2" t="str">
        <f t="shared" si="9"/>
        <v>Friday</v>
      </c>
      <c r="Q616" s="2" t="str">
        <f>IF(Table1[[#This Row],[temp]]&gt;=0.24,"cold","colder")</f>
        <v>cold</v>
      </c>
      <c r="R616" s="2">
        <v>1</v>
      </c>
      <c r="S616" s="16" t="str" cm="1">
        <f t="array" ref="S616">_xlfn.IFS(Table1[[#This Row],[weathersit]]=1,"clear sky",Table1[[#This Row],[weathersit]]=2,"mist",Table1[[#This Row],[weathersit]]=3,"partially dark",Table1[[#This Row],[weathersit]]=4,"rain")</f>
        <v>mist</v>
      </c>
    </row>
    <row r="617" spans="1:19" ht="13.8" x14ac:dyDescent="0.3">
      <c r="A617" s="2">
        <v>616</v>
      </c>
      <c r="B617" s="3">
        <v>40571</v>
      </c>
      <c r="C617" s="2">
        <v>1</v>
      </c>
      <c r="D617" s="2">
        <v>0</v>
      </c>
      <c r="E617" s="2">
        <v>1</v>
      </c>
      <c r="F617" s="2">
        <v>21</v>
      </c>
      <c r="G617" s="2" t="b">
        <v>0</v>
      </c>
      <c r="H617" s="2">
        <v>5</v>
      </c>
      <c r="I617" s="2">
        <v>2</v>
      </c>
      <c r="J617" s="2">
        <v>0.22</v>
      </c>
      <c r="K617" s="2">
        <v>0.2273</v>
      </c>
      <c r="L617" s="2">
        <v>0.75</v>
      </c>
      <c r="M617" s="2">
        <v>0.1343</v>
      </c>
      <c r="N617" s="2">
        <v>57</v>
      </c>
      <c r="O617" s="2">
        <v>58</v>
      </c>
      <c r="P617" s="2" t="str">
        <f t="shared" si="9"/>
        <v>Friday</v>
      </c>
      <c r="Q617" s="2" t="str">
        <f>IF(Table1[[#This Row],[temp]]&gt;=0.24,"cold","colder")</f>
        <v>colder</v>
      </c>
      <c r="R617" s="2">
        <v>1</v>
      </c>
      <c r="S617" s="16" t="str" cm="1">
        <f t="array" ref="S617">_xlfn.IFS(Table1[[#This Row],[weathersit]]=1,"clear sky",Table1[[#This Row],[weathersit]]=2,"mist",Table1[[#This Row],[weathersit]]=3,"partially dark",Table1[[#This Row],[weathersit]]=4,"rain")</f>
        <v>mist</v>
      </c>
    </row>
    <row r="618" spans="1:19" ht="13.8" x14ac:dyDescent="0.3">
      <c r="A618" s="2">
        <v>617</v>
      </c>
      <c r="B618" s="3">
        <v>40571</v>
      </c>
      <c r="C618" s="2">
        <v>1</v>
      </c>
      <c r="D618" s="2">
        <v>0</v>
      </c>
      <c r="E618" s="2">
        <v>1</v>
      </c>
      <c r="F618" s="2">
        <v>22</v>
      </c>
      <c r="G618" s="2" t="b">
        <v>0</v>
      </c>
      <c r="H618" s="2">
        <v>5</v>
      </c>
      <c r="I618" s="2">
        <v>1</v>
      </c>
      <c r="J618" s="2">
        <v>0.24</v>
      </c>
      <c r="K618" s="2">
        <v>0.21210000000000001</v>
      </c>
      <c r="L618" s="2">
        <v>0.65</v>
      </c>
      <c r="M618" s="2">
        <v>0.35820000000000002</v>
      </c>
      <c r="N618" s="2">
        <v>26</v>
      </c>
      <c r="O618" s="2">
        <v>26</v>
      </c>
      <c r="P618" s="2" t="str">
        <f t="shared" si="9"/>
        <v>Friday</v>
      </c>
      <c r="Q618" s="2" t="str">
        <f>IF(Table1[[#This Row],[temp]]&gt;=0.24,"cold","colder")</f>
        <v>cold</v>
      </c>
      <c r="R618" s="2">
        <v>0</v>
      </c>
      <c r="S618" s="16" t="str" cm="1">
        <f t="array" ref="S618">_xlfn.IFS(Table1[[#This Row],[weathersit]]=1,"clear sky",Table1[[#This Row],[weathersit]]=2,"mist",Table1[[#This Row],[weathersit]]=3,"partially dark",Table1[[#This Row],[weathersit]]=4,"rain")</f>
        <v>clear sky</v>
      </c>
    </row>
    <row r="619" spans="1:19" ht="13.8" x14ac:dyDescent="0.3">
      <c r="A619" s="2">
        <v>618</v>
      </c>
      <c r="B619" s="3">
        <v>40571</v>
      </c>
      <c r="C619" s="2">
        <v>1</v>
      </c>
      <c r="D619" s="2">
        <v>0</v>
      </c>
      <c r="E619" s="2">
        <v>1</v>
      </c>
      <c r="F619" s="2">
        <v>23</v>
      </c>
      <c r="G619" s="2" t="b">
        <v>0</v>
      </c>
      <c r="H619" s="2">
        <v>5</v>
      </c>
      <c r="I619" s="2">
        <v>1</v>
      </c>
      <c r="J619" s="2">
        <v>0.24</v>
      </c>
      <c r="K619" s="2">
        <v>0.2273</v>
      </c>
      <c r="L619" s="2">
        <v>0.6</v>
      </c>
      <c r="M619" s="2">
        <v>0.22389999999999999</v>
      </c>
      <c r="N619" s="2">
        <v>22</v>
      </c>
      <c r="O619" s="2">
        <v>23</v>
      </c>
      <c r="P619" s="2" t="str">
        <f t="shared" si="9"/>
        <v>Friday</v>
      </c>
      <c r="Q619" s="2" t="str">
        <f>IF(Table1[[#This Row],[temp]]&gt;=0.24,"cold","colder")</f>
        <v>cold</v>
      </c>
      <c r="R619" s="2">
        <v>1</v>
      </c>
      <c r="S619" s="16" t="str" cm="1">
        <f t="array" ref="S619">_xlfn.IFS(Table1[[#This Row],[weathersit]]=1,"clear sky",Table1[[#This Row],[weathersit]]=2,"mist",Table1[[#This Row],[weathersit]]=3,"partially dark",Table1[[#This Row],[weathersit]]=4,"rain")</f>
        <v>clear sky</v>
      </c>
    </row>
    <row r="620" spans="1:19" ht="13.8" x14ac:dyDescent="0.3">
      <c r="A620" s="2">
        <v>619</v>
      </c>
      <c r="B620" s="3">
        <v>40572</v>
      </c>
      <c r="C620" s="2">
        <v>1</v>
      </c>
      <c r="D620" s="2">
        <v>0</v>
      </c>
      <c r="E620" s="2">
        <v>1</v>
      </c>
      <c r="F620" s="2">
        <v>0</v>
      </c>
      <c r="G620" s="2" t="b">
        <v>0</v>
      </c>
      <c r="H620" s="2">
        <v>6</v>
      </c>
      <c r="I620" s="2">
        <v>1</v>
      </c>
      <c r="J620" s="2">
        <v>0.22</v>
      </c>
      <c r="K620" s="2">
        <v>0.19700000000000001</v>
      </c>
      <c r="L620" s="2">
        <v>0.64</v>
      </c>
      <c r="M620" s="2">
        <v>0.35820000000000002</v>
      </c>
      <c r="N620" s="2">
        <v>26</v>
      </c>
      <c r="O620" s="2">
        <v>28</v>
      </c>
      <c r="P620" s="2" t="str">
        <f t="shared" si="9"/>
        <v>Saturday</v>
      </c>
      <c r="Q620" s="2" t="str">
        <f>IF(Table1[[#This Row],[temp]]&gt;=0.24,"cold","colder")</f>
        <v>colder</v>
      </c>
      <c r="R620" s="2">
        <v>2</v>
      </c>
      <c r="S620" s="16" t="str" cm="1">
        <f t="array" ref="S620">_xlfn.IFS(Table1[[#This Row],[weathersit]]=1,"clear sky",Table1[[#This Row],[weathersit]]=2,"mist",Table1[[#This Row],[weathersit]]=3,"partially dark",Table1[[#This Row],[weathersit]]=4,"rain")</f>
        <v>clear sky</v>
      </c>
    </row>
    <row r="621" spans="1:19" ht="13.8" x14ac:dyDescent="0.3">
      <c r="A621" s="2">
        <v>620</v>
      </c>
      <c r="B621" s="3">
        <v>40572</v>
      </c>
      <c r="C621" s="2">
        <v>1</v>
      </c>
      <c r="D621" s="2">
        <v>0</v>
      </c>
      <c r="E621" s="2">
        <v>1</v>
      </c>
      <c r="F621" s="2">
        <v>1</v>
      </c>
      <c r="G621" s="2" t="b">
        <v>0</v>
      </c>
      <c r="H621" s="2">
        <v>6</v>
      </c>
      <c r="I621" s="2">
        <v>1</v>
      </c>
      <c r="J621" s="2">
        <v>0.22</v>
      </c>
      <c r="K621" s="2">
        <v>0.2273</v>
      </c>
      <c r="L621" s="2">
        <v>0.64</v>
      </c>
      <c r="M621" s="2">
        <v>0.19400000000000001</v>
      </c>
      <c r="N621" s="2">
        <v>20</v>
      </c>
      <c r="O621" s="2">
        <v>20</v>
      </c>
      <c r="P621" s="2" t="str">
        <f t="shared" si="9"/>
        <v>Saturday</v>
      </c>
      <c r="Q621" s="2" t="str">
        <f>IF(Table1[[#This Row],[temp]]&gt;=0.24,"cold","colder")</f>
        <v>colder</v>
      </c>
      <c r="R621" s="2">
        <v>0</v>
      </c>
      <c r="S621" s="16" t="str" cm="1">
        <f t="array" ref="S621">_xlfn.IFS(Table1[[#This Row],[weathersit]]=1,"clear sky",Table1[[#This Row],[weathersit]]=2,"mist",Table1[[#This Row],[weathersit]]=3,"partially dark",Table1[[#This Row],[weathersit]]=4,"rain")</f>
        <v>clear sky</v>
      </c>
    </row>
    <row r="622" spans="1:19" ht="13.8" x14ac:dyDescent="0.3">
      <c r="A622" s="2">
        <v>621</v>
      </c>
      <c r="B622" s="3">
        <v>40572</v>
      </c>
      <c r="C622" s="2">
        <v>1</v>
      </c>
      <c r="D622" s="2">
        <v>0</v>
      </c>
      <c r="E622" s="2">
        <v>1</v>
      </c>
      <c r="F622" s="2">
        <v>2</v>
      </c>
      <c r="G622" s="2" t="b">
        <v>0</v>
      </c>
      <c r="H622" s="2">
        <v>6</v>
      </c>
      <c r="I622" s="2">
        <v>1</v>
      </c>
      <c r="J622" s="2">
        <v>0.22</v>
      </c>
      <c r="K622" s="2">
        <v>0.2273</v>
      </c>
      <c r="L622" s="2">
        <v>0.64</v>
      </c>
      <c r="M622" s="2">
        <v>0.16420000000000001</v>
      </c>
      <c r="N622" s="2">
        <v>15</v>
      </c>
      <c r="O622" s="2">
        <v>15</v>
      </c>
      <c r="P622" s="2" t="str">
        <f t="shared" si="9"/>
        <v>Saturday</v>
      </c>
      <c r="Q622" s="2" t="str">
        <f>IF(Table1[[#This Row],[temp]]&gt;=0.24,"cold","colder")</f>
        <v>colder</v>
      </c>
      <c r="R622" s="2">
        <v>0</v>
      </c>
      <c r="S622" s="16" t="str" cm="1">
        <f t="array" ref="S622">_xlfn.IFS(Table1[[#This Row],[weathersit]]=1,"clear sky",Table1[[#This Row],[weathersit]]=2,"mist",Table1[[#This Row],[weathersit]]=3,"partially dark",Table1[[#This Row],[weathersit]]=4,"rain")</f>
        <v>clear sky</v>
      </c>
    </row>
    <row r="623" spans="1:19" ht="13.8" x14ac:dyDescent="0.3">
      <c r="A623" s="2">
        <v>622</v>
      </c>
      <c r="B623" s="3">
        <v>40572</v>
      </c>
      <c r="C623" s="2">
        <v>1</v>
      </c>
      <c r="D623" s="2">
        <v>0</v>
      </c>
      <c r="E623" s="2">
        <v>1</v>
      </c>
      <c r="F623" s="2">
        <v>3</v>
      </c>
      <c r="G623" s="2" t="b">
        <v>0</v>
      </c>
      <c r="H623" s="2">
        <v>6</v>
      </c>
      <c r="I623" s="2">
        <v>1</v>
      </c>
      <c r="J623" s="2">
        <v>0.2</v>
      </c>
      <c r="K623" s="2">
        <v>0.21210000000000001</v>
      </c>
      <c r="L623" s="2">
        <v>0.64</v>
      </c>
      <c r="M623" s="2">
        <v>0.1343</v>
      </c>
      <c r="N623" s="2">
        <v>5</v>
      </c>
      <c r="O623" s="2">
        <v>8</v>
      </c>
      <c r="P623" s="2" t="str">
        <f t="shared" si="9"/>
        <v>Saturday</v>
      </c>
      <c r="Q623" s="2" t="str">
        <f>IF(Table1[[#This Row],[temp]]&gt;=0.24,"cold","colder")</f>
        <v>colder</v>
      </c>
      <c r="R623" s="2">
        <v>3</v>
      </c>
      <c r="S623" s="16" t="str" cm="1">
        <f t="array" ref="S623">_xlfn.IFS(Table1[[#This Row],[weathersit]]=1,"clear sky",Table1[[#This Row],[weathersit]]=2,"mist",Table1[[#This Row],[weathersit]]=3,"partially dark",Table1[[#This Row],[weathersit]]=4,"rain")</f>
        <v>clear sky</v>
      </c>
    </row>
    <row r="624" spans="1:19" ht="13.8" x14ac:dyDescent="0.3">
      <c r="A624" s="2">
        <v>623</v>
      </c>
      <c r="B624" s="3">
        <v>40572</v>
      </c>
      <c r="C624" s="2">
        <v>1</v>
      </c>
      <c r="D624" s="2">
        <v>0</v>
      </c>
      <c r="E624" s="2">
        <v>1</v>
      </c>
      <c r="F624" s="2">
        <v>4</v>
      </c>
      <c r="G624" s="2" t="b">
        <v>0</v>
      </c>
      <c r="H624" s="2">
        <v>6</v>
      </c>
      <c r="I624" s="2">
        <v>1</v>
      </c>
      <c r="J624" s="2">
        <v>0.16</v>
      </c>
      <c r="K624" s="2">
        <v>0.18179999999999999</v>
      </c>
      <c r="L624" s="2">
        <v>0.69</v>
      </c>
      <c r="M624" s="2">
        <v>0.1045</v>
      </c>
      <c r="N624" s="2">
        <v>2</v>
      </c>
      <c r="O624" s="2">
        <v>3</v>
      </c>
      <c r="P624" s="2" t="str">
        <f t="shared" si="9"/>
        <v>Saturday</v>
      </c>
      <c r="Q624" s="2" t="str">
        <f>IF(Table1[[#This Row],[temp]]&gt;=0.24,"cold","colder")</f>
        <v>colder</v>
      </c>
      <c r="R624" s="2">
        <v>1</v>
      </c>
      <c r="S624" s="16" t="str" cm="1">
        <f t="array" ref="S624">_xlfn.IFS(Table1[[#This Row],[weathersit]]=1,"clear sky",Table1[[#This Row],[weathersit]]=2,"mist",Table1[[#This Row],[weathersit]]=3,"partially dark",Table1[[#This Row],[weathersit]]=4,"rain")</f>
        <v>clear sky</v>
      </c>
    </row>
    <row r="625" spans="1:19" ht="13.8" x14ac:dyDescent="0.3">
      <c r="A625" s="2">
        <v>624</v>
      </c>
      <c r="B625" s="3">
        <v>40572</v>
      </c>
      <c r="C625" s="2">
        <v>1</v>
      </c>
      <c r="D625" s="2">
        <v>0</v>
      </c>
      <c r="E625" s="2">
        <v>1</v>
      </c>
      <c r="F625" s="2">
        <v>6</v>
      </c>
      <c r="G625" s="2" t="b">
        <v>0</v>
      </c>
      <c r="H625" s="2">
        <v>6</v>
      </c>
      <c r="I625" s="2">
        <v>1</v>
      </c>
      <c r="J625" s="2">
        <v>0.16</v>
      </c>
      <c r="K625" s="2">
        <v>0.18179999999999999</v>
      </c>
      <c r="L625" s="2">
        <v>0.64</v>
      </c>
      <c r="M625" s="2">
        <v>0.1343</v>
      </c>
      <c r="N625" s="2">
        <v>2</v>
      </c>
      <c r="O625" s="2">
        <v>2</v>
      </c>
      <c r="P625" s="2" t="str">
        <f t="shared" si="9"/>
        <v>Saturday</v>
      </c>
      <c r="Q625" s="2" t="str">
        <f>IF(Table1[[#This Row],[temp]]&gt;=0.24,"cold","colder")</f>
        <v>colder</v>
      </c>
      <c r="R625" s="2">
        <v>0</v>
      </c>
      <c r="S625" s="16" t="str" cm="1">
        <f t="array" ref="S625">_xlfn.IFS(Table1[[#This Row],[weathersit]]=1,"clear sky",Table1[[#This Row],[weathersit]]=2,"mist",Table1[[#This Row],[weathersit]]=3,"partially dark",Table1[[#This Row],[weathersit]]=4,"rain")</f>
        <v>clear sky</v>
      </c>
    </row>
    <row r="626" spans="1:19" ht="13.8" x14ac:dyDescent="0.3">
      <c r="A626" s="2">
        <v>625</v>
      </c>
      <c r="B626" s="3">
        <v>40572</v>
      </c>
      <c r="C626" s="2">
        <v>1</v>
      </c>
      <c r="D626" s="2">
        <v>0</v>
      </c>
      <c r="E626" s="2">
        <v>1</v>
      </c>
      <c r="F626" s="2">
        <v>7</v>
      </c>
      <c r="G626" s="2" t="b">
        <v>0</v>
      </c>
      <c r="H626" s="2">
        <v>6</v>
      </c>
      <c r="I626" s="2">
        <v>1</v>
      </c>
      <c r="J626" s="2">
        <v>0.16</v>
      </c>
      <c r="K626" s="2">
        <v>0.18179999999999999</v>
      </c>
      <c r="L626" s="2">
        <v>0.59</v>
      </c>
      <c r="M626" s="2">
        <v>0.1045</v>
      </c>
      <c r="N626" s="2">
        <v>4</v>
      </c>
      <c r="O626" s="2">
        <v>5</v>
      </c>
      <c r="P626" s="2" t="str">
        <f t="shared" si="9"/>
        <v>Saturday</v>
      </c>
      <c r="Q626" s="2" t="str">
        <f>IF(Table1[[#This Row],[temp]]&gt;=0.24,"cold","colder")</f>
        <v>colder</v>
      </c>
      <c r="R626" s="2">
        <v>1</v>
      </c>
      <c r="S626" s="16" t="str" cm="1">
        <f t="array" ref="S626">_xlfn.IFS(Table1[[#This Row],[weathersit]]=1,"clear sky",Table1[[#This Row],[weathersit]]=2,"mist",Table1[[#This Row],[weathersit]]=3,"partially dark",Table1[[#This Row],[weathersit]]=4,"rain")</f>
        <v>clear sky</v>
      </c>
    </row>
    <row r="627" spans="1:19" ht="13.8" x14ac:dyDescent="0.3">
      <c r="A627" s="2">
        <v>626</v>
      </c>
      <c r="B627" s="3">
        <v>40572</v>
      </c>
      <c r="C627" s="2">
        <v>1</v>
      </c>
      <c r="D627" s="2">
        <v>0</v>
      </c>
      <c r="E627" s="2">
        <v>1</v>
      </c>
      <c r="F627" s="2">
        <v>8</v>
      </c>
      <c r="G627" s="2" t="b">
        <v>0</v>
      </c>
      <c r="H627" s="2">
        <v>6</v>
      </c>
      <c r="I627" s="2">
        <v>1</v>
      </c>
      <c r="J627" s="2">
        <v>0.18</v>
      </c>
      <c r="K627" s="2">
        <v>0.19700000000000001</v>
      </c>
      <c r="L627" s="2">
        <v>0.55000000000000004</v>
      </c>
      <c r="M627" s="2">
        <v>0.16420000000000001</v>
      </c>
      <c r="N627" s="2">
        <v>31</v>
      </c>
      <c r="O627" s="2">
        <v>34</v>
      </c>
      <c r="P627" s="2" t="str">
        <f t="shared" si="9"/>
        <v>Saturday</v>
      </c>
      <c r="Q627" s="2" t="str">
        <f>IF(Table1[[#This Row],[temp]]&gt;=0.24,"cold","colder")</f>
        <v>colder</v>
      </c>
      <c r="R627" s="2">
        <v>3</v>
      </c>
      <c r="S627" s="16" t="str" cm="1">
        <f t="array" ref="S627">_xlfn.IFS(Table1[[#This Row],[weathersit]]=1,"clear sky",Table1[[#This Row],[weathersit]]=2,"mist",Table1[[#This Row],[weathersit]]=3,"partially dark",Table1[[#This Row],[weathersit]]=4,"rain")</f>
        <v>clear sky</v>
      </c>
    </row>
    <row r="628" spans="1:19" ht="13.8" x14ac:dyDescent="0.3">
      <c r="A628" s="2">
        <v>627</v>
      </c>
      <c r="B628" s="3">
        <v>40572</v>
      </c>
      <c r="C628" s="2">
        <v>1</v>
      </c>
      <c r="D628" s="2">
        <v>0</v>
      </c>
      <c r="E628" s="2">
        <v>1</v>
      </c>
      <c r="F628" s="2">
        <v>9</v>
      </c>
      <c r="G628" s="2" t="b">
        <v>0</v>
      </c>
      <c r="H628" s="2">
        <v>6</v>
      </c>
      <c r="I628" s="2">
        <v>1</v>
      </c>
      <c r="J628" s="2">
        <v>0.18</v>
      </c>
      <c r="K628" s="2">
        <v>0.21210000000000001</v>
      </c>
      <c r="L628" s="2">
        <v>0.59</v>
      </c>
      <c r="M628" s="2">
        <v>8.9599999999999999E-2</v>
      </c>
      <c r="N628" s="2">
        <v>34</v>
      </c>
      <c r="O628" s="2">
        <v>34</v>
      </c>
      <c r="P628" s="2" t="str">
        <f t="shared" si="9"/>
        <v>Saturday</v>
      </c>
      <c r="Q628" s="2" t="str">
        <f>IF(Table1[[#This Row],[temp]]&gt;=0.24,"cold","colder")</f>
        <v>colder</v>
      </c>
      <c r="R628" s="2">
        <v>0</v>
      </c>
      <c r="S628" s="16" t="str" cm="1">
        <f t="array" ref="S628">_xlfn.IFS(Table1[[#This Row],[weathersit]]=1,"clear sky",Table1[[#This Row],[weathersit]]=2,"mist",Table1[[#This Row],[weathersit]]=3,"partially dark",Table1[[#This Row],[weathersit]]=4,"rain")</f>
        <v>clear sky</v>
      </c>
    </row>
    <row r="629" spans="1:19" ht="13.8" x14ac:dyDescent="0.3">
      <c r="A629" s="2">
        <v>628</v>
      </c>
      <c r="B629" s="3">
        <v>40572</v>
      </c>
      <c r="C629" s="2">
        <v>1</v>
      </c>
      <c r="D629" s="2">
        <v>0</v>
      </c>
      <c r="E629" s="2">
        <v>1</v>
      </c>
      <c r="F629" s="2">
        <v>10</v>
      </c>
      <c r="G629" s="2" t="b">
        <v>0</v>
      </c>
      <c r="H629" s="2">
        <v>6</v>
      </c>
      <c r="I629" s="2">
        <v>2</v>
      </c>
      <c r="J629" s="2">
        <v>0.18</v>
      </c>
      <c r="K629" s="2">
        <v>0.21210000000000001</v>
      </c>
      <c r="L629" s="2">
        <v>0.64</v>
      </c>
      <c r="M629" s="2">
        <v>0.1045</v>
      </c>
      <c r="N629" s="2">
        <v>51</v>
      </c>
      <c r="O629" s="2">
        <v>55</v>
      </c>
      <c r="P629" s="2" t="str">
        <f t="shared" si="9"/>
        <v>Saturday</v>
      </c>
      <c r="Q629" s="2" t="str">
        <f>IF(Table1[[#This Row],[temp]]&gt;=0.24,"cold","colder")</f>
        <v>colder</v>
      </c>
      <c r="R629" s="2">
        <v>4</v>
      </c>
      <c r="S629" s="16" t="str" cm="1">
        <f t="array" ref="S629">_xlfn.IFS(Table1[[#This Row],[weathersit]]=1,"clear sky",Table1[[#This Row],[weathersit]]=2,"mist",Table1[[#This Row],[weathersit]]=3,"partially dark",Table1[[#This Row],[weathersit]]=4,"rain")</f>
        <v>mist</v>
      </c>
    </row>
    <row r="630" spans="1:19" ht="13.8" x14ac:dyDescent="0.3">
      <c r="A630" s="2">
        <v>629</v>
      </c>
      <c r="B630" s="3">
        <v>40572</v>
      </c>
      <c r="C630" s="2">
        <v>1</v>
      </c>
      <c r="D630" s="2">
        <v>0</v>
      </c>
      <c r="E630" s="2">
        <v>1</v>
      </c>
      <c r="F630" s="2">
        <v>11</v>
      </c>
      <c r="G630" s="2" t="b">
        <v>0</v>
      </c>
      <c r="H630" s="2">
        <v>6</v>
      </c>
      <c r="I630" s="2">
        <v>2</v>
      </c>
      <c r="J630" s="2">
        <v>0.18</v>
      </c>
      <c r="K630" s="2">
        <v>0.19700000000000001</v>
      </c>
      <c r="L630" s="2">
        <v>0.64</v>
      </c>
      <c r="M630" s="2">
        <v>0.1343</v>
      </c>
      <c r="N630" s="2">
        <v>60</v>
      </c>
      <c r="O630" s="2">
        <v>64</v>
      </c>
      <c r="P630" s="2" t="str">
        <f t="shared" si="9"/>
        <v>Saturday</v>
      </c>
      <c r="Q630" s="2" t="str">
        <f>IF(Table1[[#This Row],[temp]]&gt;=0.24,"cold","colder")</f>
        <v>colder</v>
      </c>
      <c r="R630" s="2">
        <v>4</v>
      </c>
      <c r="S630" s="16" t="str" cm="1">
        <f t="array" ref="S630">_xlfn.IFS(Table1[[#This Row],[weathersit]]=1,"clear sky",Table1[[#This Row],[weathersit]]=2,"mist",Table1[[#This Row],[weathersit]]=3,"partially dark",Table1[[#This Row],[weathersit]]=4,"rain")</f>
        <v>mist</v>
      </c>
    </row>
    <row r="631" spans="1:19" ht="13.8" x14ac:dyDescent="0.3">
      <c r="A631" s="2">
        <v>630</v>
      </c>
      <c r="B631" s="3">
        <v>40572</v>
      </c>
      <c r="C631" s="2">
        <v>1</v>
      </c>
      <c r="D631" s="2">
        <v>0</v>
      </c>
      <c r="E631" s="2">
        <v>1</v>
      </c>
      <c r="F631" s="2">
        <v>12</v>
      </c>
      <c r="G631" s="2" t="b">
        <v>0</v>
      </c>
      <c r="H631" s="2">
        <v>6</v>
      </c>
      <c r="I631" s="2">
        <v>2</v>
      </c>
      <c r="J631" s="2">
        <v>0.2</v>
      </c>
      <c r="K631" s="2">
        <v>0.19700000000000001</v>
      </c>
      <c r="L631" s="2">
        <v>0.59</v>
      </c>
      <c r="M631" s="2">
        <v>0.19400000000000001</v>
      </c>
      <c r="N631" s="2">
        <v>66</v>
      </c>
      <c r="O631" s="2">
        <v>78</v>
      </c>
      <c r="P631" s="2" t="str">
        <f t="shared" si="9"/>
        <v>Saturday</v>
      </c>
      <c r="Q631" s="2" t="str">
        <f>IF(Table1[[#This Row],[temp]]&gt;=0.24,"cold","colder")</f>
        <v>colder</v>
      </c>
      <c r="R631" s="2">
        <v>12</v>
      </c>
      <c r="S631" s="16" t="str" cm="1">
        <f t="array" ref="S631">_xlfn.IFS(Table1[[#This Row],[weathersit]]=1,"clear sky",Table1[[#This Row],[weathersit]]=2,"mist",Table1[[#This Row],[weathersit]]=3,"partially dark",Table1[[#This Row],[weathersit]]=4,"rain")</f>
        <v>mist</v>
      </c>
    </row>
    <row r="632" spans="1:19" ht="13.8" x14ac:dyDescent="0.3">
      <c r="A632" s="2">
        <v>631</v>
      </c>
      <c r="B632" s="3">
        <v>40572</v>
      </c>
      <c r="C632" s="2">
        <v>1</v>
      </c>
      <c r="D632" s="2">
        <v>0</v>
      </c>
      <c r="E632" s="2">
        <v>1</v>
      </c>
      <c r="F632" s="2">
        <v>13</v>
      </c>
      <c r="G632" s="2" t="b">
        <v>0</v>
      </c>
      <c r="H632" s="2">
        <v>6</v>
      </c>
      <c r="I632" s="2">
        <v>2</v>
      </c>
      <c r="J632" s="2">
        <v>0.22</v>
      </c>
      <c r="K632" s="2">
        <v>0.2273</v>
      </c>
      <c r="L632" s="2">
        <v>0.55000000000000004</v>
      </c>
      <c r="M632" s="2">
        <v>0.16420000000000001</v>
      </c>
      <c r="N632" s="2">
        <v>56</v>
      </c>
      <c r="O632" s="2">
        <v>65</v>
      </c>
      <c r="P632" s="2" t="str">
        <f t="shared" si="9"/>
        <v>Saturday</v>
      </c>
      <c r="Q632" s="2" t="str">
        <f>IF(Table1[[#This Row],[temp]]&gt;=0.24,"cold","colder")</f>
        <v>colder</v>
      </c>
      <c r="R632" s="2">
        <v>9</v>
      </c>
      <c r="S632" s="16" t="str" cm="1">
        <f t="array" ref="S632">_xlfn.IFS(Table1[[#This Row],[weathersit]]=1,"clear sky",Table1[[#This Row],[weathersit]]=2,"mist",Table1[[#This Row],[weathersit]]=3,"partially dark",Table1[[#This Row],[weathersit]]=4,"rain")</f>
        <v>mist</v>
      </c>
    </row>
    <row r="633" spans="1:19" ht="13.8" x14ac:dyDescent="0.3">
      <c r="A633" s="2">
        <v>632</v>
      </c>
      <c r="B633" s="3">
        <v>40572</v>
      </c>
      <c r="C633" s="2">
        <v>1</v>
      </c>
      <c r="D633" s="2">
        <v>0</v>
      </c>
      <c r="E633" s="2">
        <v>1</v>
      </c>
      <c r="F633" s="2">
        <v>14</v>
      </c>
      <c r="G633" s="2" t="b">
        <v>0</v>
      </c>
      <c r="H633" s="2">
        <v>6</v>
      </c>
      <c r="I633" s="2">
        <v>2</v>
      </c>
      <c r="J633" s="2">
        <v>0.22</v>
      </c>
      <c r="K633" s="2">
        <v>0.2273</v>
      </c>
      <c r="L633" s="2">
        <v>0.6</v>
      </c>
      <c r="M633" s="2">
        <v>0.1343</v>
      </c>
      <c r="N633" s="2">
        <v>89</v>
      </c>
      <c r="O633" s="2">
        <v>99</v>
      </c>
      <c r="P633" s="2" t="str">
        <f t="shared" si="9"/>
        <v>Saturday</v>
      </c>
      <c r="Q633" s="2" t="str">
        <f>IF(Table1[[#This Row],[temp]]&gt;=0.24,"cold","colder")</f>
        <v>colder</v>
      </c>
      <c r="R633" s="2">
        <v>10</v>
      </c>
      <c r="S633" s="16" t="str" cm="1">
        <f t="array" ref="S633">_xlfn.IFS(Table1[[#This Row],[weathersit]]=1,"clear sky",Table1[[#This Row],[weathersit]]=2,"mist",Table1[[#This Row],[weathersit]]=3,"partially dark",Table1[[#This Row],[weathersit]]=4,"rain")</f>
        <v>mist</v>
      </c>
    </row>
    <row r="634" spans="1:19" ht="13.8" x14ac:dyDescent="0.3">
      <c r="A634" s="2">
        <v>633</v>
      </c>
      <c r="B634" s="3">
        <v>40572</v>
      </c>
      <c r="C634" s="2">
        <v>1</v>
      </c>
      <c r="D634" s="2">
        <v>0</v>
      </c>
      <c r="E634" s="2">
        <v>1</v>
      </c>
      <c r="F634" s="2">
        <v>15</v>
      </c>
      <c r="G634" s="2" t="b">
        <v>0</v>
      </c>
      <c r="H634" s="2">
        <v>6</v>
      </c>
      <c r="I634" s="2">
        <v>1</v>
      </c>
      <c r="J634" s="2">
        <v>0.22</v>
      </c>
      <c r="K634" s="2">
        <v>0.21210000000000001</v>
      </c>
      <c r="L634" s="2">
        <v>0.69</v>
      </c>
      <c r="M634" s="2">
        <v>0.25369999999999998</v>
      </c>
      <c r="N634" s="2">
        <v>98</v>
      </c>
      <c r="O634" s="2">
        <v>120</v>
      </c>
      <c r="P634" s="2" t="str">
        <f t="shared" si="9"/>
        <v>Saturday</v>
      </c>
      <c r="Q634" s="2" t="str">
        <f>IF(Table1[[#This Row],[temp]]&gt;=0.24,"cold","colder")</f>
        <v>colder</v>
      </c>
      <c r="R634" s="2">
        <v>22</v>
      </c>
      <c r="S634" s="16" t="str" cm="1">
        <f t="array" ref="S634">_xlfn.IFS(Table1[[#This Row],[weathersit]]=1,"clear sky",Table1[[#This Row],[weathersit]]=2,"mist",Table1[[#This Row],[weathersit]]=3,"partially dark",Table1[[#This Row],[weathersit]]=4,"rain")</f>
        <v>clear sky</v>
      </c>
    </row>
    <row r="635" spans="1:19" ht="13.8" x14ac:dyDescent="0.3">
      <c r="A635" s="2">
        <v>634</v>
      </c>
      <c r="B635" s="3">
        <v>40572</v>
      </c>
      <c r="C635" s="2">
        <v>1</v>
      </c>
      <c r="D635" s="2">
        <v>0</v>
      </c>
      <c r="E635" s="2">
        <v>1</v>
      </c>
      <c r="F635" s="2">
        <v>16</v>
      </c>
      <c r="G635" s="2" t="b">
        <v>0</v>
      </c>
      <c r="H635" s="2">
        <v>6</v>
      </c>
      <c r="I635" s="2">
        <v>1</v>
      </c>
      <c r="J635" s="2">
        <v>0.24</v>
      </c>
      <c r="K635" s="2">
        <v>0.2424</v>
      </c>
      <c r="L635" s="2">
        <v>0.6</v>
      </c>
      <c r="M635" s="2">
        <v>0.16420000000000001</v>
      </c>
      <c r="N635" s="2">
        <v>88</v>
      </c>
      <c r="O635" s="2">
        <v>107</v>
      </c>
      <c r="P635" s="2" t="str">
        <f t="shared" si="9"/>
        <v>Saturday</v>
      </c>
      <c r="Q635" s="2" t="str">
        <f>IF(Table1[[#This Row],[temp]]&gt;=0.24,"cold","colder")</f>
        <v>cold</v>
      </c>
      <c r="R635" s="2">
        <v>19</v>
      </c>
      <c r="S635" s="16" t="str" cm="1">
        <f t="array" ref="S635">_xlfn.IFS(Table1[[#This Row],[weathersit]]=1,"clear sky",Table1[[#This Row],[weathersit]]=2,"mist",Table1[[#This Row],[weathersit]]=3,"partially dark",Table1[[#This Row],[weathersit]]=4,"rain")</f>
        <v>clear sky</v>
      </c>
    </row>
    <row r="636" spans="1:19" ht="13.8" x14ac:dyDescent="0.3">
      <c r="A636" s="2">
        <v>635</v>
      </c>
      <c r="B636" s="3">
        <v>40572</v>
      </c>
      <c r="C636" s="2">
        <v>1</v>
      </c>
      <c r="D636" s="2">
        <v>0</v>
      </c>
      <c r="E636" s="2">
        <v>1</v>
      </c>
      <c r="F636" s="2">
        <v>17</v>
      </c>
      <c r="G636" s="2" t="b">
        <v>0</v>
      </c>
      <c r="H636" s="2">
        <v>6</v>
      </c>
      <c r="I636" s="2">
        <v>1</v>
      </c>
      <c r="J636" s="2">
        <v>0.24</v>
      </c>
      <c r="K636" s="2">
        <v>0.28789999999999999</v>
      </c>
      <c r="L636" s="2">
        <v>0.6</v>
      </c>
      <c r="M636" s="2">
        <v>0</v>
      </c>
      <c r="N636" s="2">
        <v>82</v>
      </c>
      <c r="O636" s="2">
        <v>91</v>
      </c>
      <c r="P636" s="2" t="str">
        <f t="shared" si="9"/>
        <v>Saturday</v>
      </c>
      <c r="Q636" s="2" t="str">
        <f>IF(Table1[[#This Row],[temp]]&gt;=0.24,"cold","colder")</f>
        <v>cold</v>
      </c>
      <c r="R636" s="2">
        <v>9</v>
      </c>
      <c r="S636" s="16" t="str" cm="1">
        <f t="array" ref="S636">_xlfn.IFS(Table1[[#This Row],[weathersit]]=1,"clear sky",Table1[[#This Row],[weathersit]]=2,"mist",Table1[[#This Row],[weathersit]]=3,"partially dark",Table1[[#This Row],[weathersit]]=4,"rain")</f>
        <v>clear sky</v>
      </c>
    </row>
    <row r="637" spans="1:19" ht="13.8" x14ac:dyDescent="0.3">
      <c r="A637" s="2">
        <v>636</v>
      </c>
      <c r="B637" s="3">
        <v>40572</v>
      </c>
      <c r="C637" s="2">
        <v>1</v>
      </c>
      <c r="D637" s="2">
        <v>0</v>
      </c>
      <c r="E637" s="2">
        <v>1</v>
      </c>
      <c r="F637" s="2">
        <v>18</v>
      </c>
      <c r="G637" s="2" t="b">
        <v>0</v>
      </c>
      <c r="H637" s="2">
        <v>6</v>
      </c>
      <c r="I637" s="2">
        <v>1</v>
      </c>
      <c r="J637" s="2">
        <v>0.22</v>
      </c>
      <c r="K637" s="2">
        <v>0.2273</v>
      </c>
      <c r="L637" s="2">
        <v>0.69</v>
      </c>
      <c r="M637" s="2">
        <v>0.1343</v>
      </c>
      <c r="N637" s="2">
        <v>59</v>
      </c>
      <c r="O637" s="2">
        <v>68</v>
      </c>
      <c r="P637" s="2" t="str">
        <f t="shared" si="9"/>
        <v>Saturday</v>
      </c>
      <c r="Q637" s="2" t="str">
        <f>IF(Table1[[#This Row],[temp]]&gt;=0.24,"cold","colder")</f>
        <v>colder</v>
      </c>
      <c r="R637" s="2">
        <v>9</v>
      </c>
      <c r="S637" s="16" t="str" cm="1">
        <f t="array" ref="S637">_xlfn.IFS(Table1[[#This Row],[weathersit]]=1,"clear sky",Table1[[#This Row],[weathersit]]=2,"mist",Table1[[#This Row],[weathersit]]=3,"partially dark",Table1[[#This Row],[weathersit]]=4,"rain")</f>
        <v>clear sky</v>
      </c>
    </row>
    <row r="638" spans="1:19" ht="13.8" x14ac:dyDescent="0.3">
      <c r="A638" s="2">
        <v>637</v>
      </c>
      <c r="B638" s="3">
        <v>40572</v>
      </c>
      <c r="C638" s="2">
        <v>1</v>
      </c>
      <c r="D638" s="2">
        <v>0</v>
      </c>
      <c r="E638" s="2">
        <v>1</v>
      </c>
      <c r="F638" s="2">
        <v>19</v>
      </c>
      <c r="G638" s="2" t="b">
        <v>0</v>
      </c>
      <c r="H638" s="2">
        <v>6</v>
      </c>
      <c r="I638" s="2">
        <v>2</v>
      </c>
      <c r="J638" s="2">
        <v>0.22</v>
      </c>
      <c r="K638" s="2">
        <v>0.21210000000000001</v>
      </c>
      <c r="L638" s="2">
        <v>0.69</v>
      </c>
      <c r="M638" s="2">
        <v>0.25369999999999998</v>
      </c>
      <c r="N638" s="2">
        <v>52</v>
      </c>
      <c r="O638" s="2">
        <v>58</v>
      </c>
      <c r="P638" s="2" t="str">
        <f t="shared" si="9"/>
        <v>Saturday</v>
      </c>
      <c r="Q638" s="2" t="str">
        <f>IF(Table1[[#This Row],[temp]]&gt;=0.24,"cold","colder")</f>
        <v>colder</v>
      </c>
      <c r="R638" s="2">
        <v>6</v>
      </c>
      <c r="S638" s="16" t="str" cm="1">
        <f t="array" ref="S638">_xlfn.IFS(Table1[[#This Row],[weathersit]]=1,"clear sky",Table1[[#This Row],[weathersit]]=2,"mist",Table1[[#This Row],[weathersit]]=3,"partially dark",Table1[[#This Row],[weathersit]]=4,"rain")</f>
        <v>mist</v>
      </c>
    </row>
    <row r="639" spans="1:19" ht="13.8" x14ac:dyDescent="0.3">
      <c r="A639" s="2">
        <v>638</v>
      </c>
      <c r="B639" s="3">
        <v>40572</v>
      </c>
      <c r="C639" s="2">
        <v>1</v>
      </c>
      <c r="D639" s="2">
        <v>0</v>
      </c>
      <c r="E639" s="2">
        <v>1</v>
      </c>
      <c r="F639" s="2">
        <v>20</v>
      </c>
      <c r="G639" s="2" t="b">
        <v>0</v>
      </c>
      <c r="H639" s="2">
        <v>6</v>
      </c>
      <c r="I639" s="2">
        <v>1</v>
      </c>
      <c r="J639" s="2">
        <v>0.18</v>
      </c>
      <c r="K639" s="2">
        <v>0.21210000000000001</v>
      </c>
      <c r="L639" s="2">
        <v>0.74</v>
      </c>
      <c r="M639" s="2">
        <v>8.9599999999999999E-2</v>
      </c>
      <c r="N639" s="2">
        <v>42</v>
      </c>
      <c r="O639" s="2">
        <v>43</v>
      </c>
      <c r="P639" s="2" t="str">
        <f t="shared" si="9"/>
        <v>Saturday</v>
      </c>
      <c r="Q639" s="2" t="str">
        <f>IF(Table1[[#This Row],[temp]]&gt;=0.24,"cold","colder")</f>
        <v>colder</v>
      </c>
      <c r="R639" s="2">
        <v>1</v>
      </c>
      <c r="S639" s="16" t="str" cm="1">
        <f t="array" ref="S639">_xlfn.IFS(Table1[[#This Row],[weathersit]]=1,"clear sky",Table1[[#This Row],[weathersit]]=2,"mist",Table1[[#This Row],[weathersit]]=3,"partially dark",Table1[[#This Row],[weathersit]]=4,"rain")</f>
        <v>clear sky</v>
      </c>
    </row>
    <row r="640" spans="1:19" ht="13.8" x14ac:dyDescent="0.3">
      <c r="A640" s="2">
        <v>639</v>
      </c>
      <c r="B640" s="3">
        <v>40572</v>
      </c>
      <c r="C640" s="2">
        <v>1</v>
      </c>
      <c r="D640" s="2">
        <v>0</v>
      </c>
      <c r="E640" s="2">
        <v>1</v>
      </c>
      <c r="F640" s="2">
        <v>21</v>
      </c>
      <c r="G640" s="2" t="b">
        <v>0</v>
      </c>
      <c r="H640" s="2">
        <v>6</v>
      </c>
      <c r="I640" s="2">
        <v>1</v>
      </c>
      <c r="J640" s="2">
        <v>0.18</v>
      </c>
      <c r="K640" s="2">
        <v>0.21210000000000001</v>
      </c>
      <c r="L640" s="2">
        <v>0.74</v>
      </c>
      <c r="M640" s="2">
        <v>8.9599999999999999E-2</v>
      </c>
      <c r="N640" s="2">
        <v>35</v>
      </c>
      <c r="O640" s="2">
        <v>36</v>
      </c>
      <c r="P640" s="2" t="str">
        <f t="shared" si="9"/>
        <v>Saturday</v>
      </c>
      <c r="Q640" s="2" t="str">
        <f>IF(Table1[[#This Row],[temp]]&gt;=0.24,"cold","colder")</f>
        <v>colder</v>
      </c>
      <c r="R640" s="2">
        <v>1</v>
      </c>
      <c r="S640" s="16" t="str" cm="1">
        <f t="array" ref="S640">_xlfn.IFS(Table1[[#This Row],[weathersit]]=1,"clear sky",Table1[[#This Row],[weathersit]]=2,"mist",Table1[[#This Row],[weathersit]]=3,"partially dark",Table1[[#This Row],[weathersit]]=4,"rain")</f>
        <v>clear sky</v>
      </c>
    </row>
    <row r="641" spans="1:19" ht="13.8" x14ac:dyDescent="0.3">
      <c r="A641" s="2">
        <v>640</v>
      </c>
      <c r="B641" s="3">
        <v>40572</v>
      </c>
      <c r="C641" s="2">
        <v>1</v>
      </c>
      <c r="D641" s="2">
        <v>0</v>
      </c>
      <c r="E641" s="2">
        <v>1</v>
      </c>
      <c r="F641" s="2">
        <v>22</v>
      </c>
      <c r="G641" s="2" t="b">
        <v>0</v>
      </c>
      <c r="H641" s="2">
        <v>6</v>
      </c>
      <c r="I641" s="2">
        <v>1</v>
      </c>
      <c r="J641" s="2">
        <v>0.16</v>
      </c>
      <c r="K641" s="2">
        <v>0.19700000000000001</v>
      </c>
      <c r="L641" s="2">
        <v>0.8</v>
      </c>
      <c r="M641" s="2">
        <v>8.9599999999999999E-2</v>
      </c>
      <c r="N641" s="2">
        <v>28</v>
      </c>
      <c r="O641" s="2">
        <v>32</v>
      </c>
      <c r="P641" s="2" t="str">
        <f t="shared" si="9"/>
        <v>Saturday</v>
      </c>
      <c r="Q641" s="2" t="str">
        <f>IF(Table1[[#This Row],[temp]]&gt;=0.24,"cold","colder")</f>
        <v>colder</v>
      </c>
      <c r="R641" s="2">
        <v>4</v>
      </c>
      <c r="S641" s="16" t="str" cm="1">
        <f t="array" ref="S641">_xlfn.IFS(Table1[[#This Row],[weathersit]]=1,"clear sky",Table1[[#This Row],[weathersit]]=2,"mist",Table1[[#This Row],[weathersit]]=3,"partially dark",Table1[[#This Row],[weathersit]]=4,"rain")</f>
        <v>clear sky</v>
      </c>
    </row>
    <row r="642" spans="1:19" ht="13.8" x14ac:dyDescent="0.3">
      <c r="A642" s="2">
        <v>641</v>
      </c>
      <c r="B642" s="3">
        <v>40572</v>
      </c>
      <c r="C642" s="2">
        <v>1</v>
      </c>
      <c r="D642" s="2">
        <v>0</v>
      </c>
      <c r="E642" s="2">
        <v>1</v>
      </c>
      <c r="F642" s="2">
        <v>23</v>
      </c>
      <c r="G642" s="2" t="b">
        <v>0</v>
      </c>
      <c r="H642" s="2">
        <v>6</v>
      </c>
      <c r="I642" s="2">
        <v>1</v>
      </c>
      <c r="J642" s="2">
        <v>0.16</v>
      </c>
      <c r="K642" s="2">
        <v>0.19700000000000001</v>
      </c>
      <c r="L642" s="2">
        <v>0.8</v>
      </c>
      <c r="M642" s="2">
        <v>8.9599999999999999E-2</v>
      </c>
      <c r="N642" s="2">
        <v>30</v>
      </c>
      <c r="O642" s="2">
        <v>33</v>
      </c>
      <c r="P642" s="2" t="str">
        <f t="shared" ref="P642:P705" si="10">TEXT(B642,"dddd")</f>
        <v>Saturday</v>
      </c>
      <c r="Q642" s="2" t="str">
        <f>IF(Table1[[#This Row],[temp]]&gt;=0.24,"cold","colder")</f>
        <v>colder</v>
      </c>
      <c r="R642" s="2">
        <v>3</v>
      </c>
      <c r="S642" s="16" t="str" cm="1">
        <f t="array" ref="S642">_xlfn.IFS(Table1[[#This Row],[weathersit]]=1,"clear sky",Table1[[#This Row],[weathersit]]=2,"mist",Table1[[#This Row],[weathersit]]=3,"partially dark",Table1[[#This Row],[weathersit]]=4,"rain")</f>
        <v>clear sky</v>
      </c>
    </row>
    <row r="643" spans="1:19" ht="13.8" x14ac:dyDescent="0.3">
      <c r="A643" s="2">
        <v>642</v>
      </c>
      <c r="B643" s="3">
        <v>40573</v>
      </c>
      <c r="C643" s="2">
        <v>1</v>
      </c>
      <c r="D643" s="2">
        <v>0</v>
      </c>
      <c r="E643" s="2">
        <v>1</v>
      </c>
      <c r="F643" s="2">
        <v>0</v>
      </c>
      <c r="G643" s="2" t="b">
        <v>0</v>
      </c>
      <c r="H643" s="2">
        <v>0</v>
      </c>
      <c r="I643" s="2">
        <v>1</v>
      </c>
      <c r="J643" s="2">
        <v>0.16</v>
      </c>
      <c r="K643" s="2">
        <v>0.18179999999999999</v>
      </c>
      <c r="L643" s="2">
        <v>0.8</v>
      </c>
      <c r="M643" s="2">
        <v>0.1045</v>
      </c>
      <c r="N643" s="2">
        <v>33</v>
      </c>
      <c r="O643" s="2">
        <v>33</v>
      </c>
      <c r="P643" s="2" t="str">
        <f t="shared" si="10"/>
        <v>Sunday</v>
      </c>
      <c r="Q643" s="2" t="str">
        <f>IF(Table1[[#This Row],[temp]]&gt;=0.24,"cold","colder")</f>
        <v>colder</v>
      </c>
      <c r="R643" s="2">
        <v>0</v>
      </c>
      <c r="S643" s="16" t="str" cm="1">
        <f t="array" ref="S643">_xlfn.IFS(Table1[[#This Row],[weathersit]]=1,"clear sky",Table1[[#This Row],[weathersit]]=2,"mist",Table1[[#This Row],[weathersit]]=3,"partially dark",Table1[[#This Row],[weathersit]]=4,"rain")</f>
        <v>clear sky</v>
      </c>
    </row>
    <row r="644" spans="1:19" ht="13.8" x14ac:dyDescent="0.3">
      <c r="A644" s="2">
        <v>643</v>
      </c>
      <c r="B644" s="3">
        <v>40573</v>
      </c>
      <c r="C644" s="2">
        <v>1</v>
      </c>
      <c r="D644" s="2">
        <v>0</v>
      </c>
      <c r="E644" s="2">
        <v>1</v>
      </c>
      <c r="F644" s="2">
        <v>1</v>
      </c>
      <c r="G644" s="2" t="b">
        <v>0</v>
      </c>
      <c r="H644" s="2">
        <v>0</v>
      </c>
      <c r="I644" s="2">
        <v>1</v>
      </c>
      <c r="J644" s="2">
        <v>0.14000000000000001</v>
      </c>
      <c r="K644" s="2">
        <v>0.21210000000000001</v>
      </c>
      <c r="L644" s="2">
        <v>0.8</v>
      </c>
      <c r="M644" s="2">
        <v>0</v>
      </c>
      <c r="N644" s="2">
        <v>22</v>
      </c>
      <c r="O644" s="2">
        <v>29</v>
      </c>
      <c r="P644" s="2" t="str">
        <f t="shared" si="10"/>
        <v>Sunday</v>
      </c>
      <c r="Q644" s="2" t="str">
        <f>IF(Table1[[#This Row],[temp]]&gt;=0.24,"cold","colder")</f>
        <v>colder</v>
      </c>
      <c r="R644" s="2">
        <v>7</v>
      </c>
      <c r="S644" s="16" t="str" cm="1">
        <f t="array" ref="S644">_xlfn.IFS(Table1[[#This Row],[weathersit]]=1,"clear sky",Table1[[#This Row],[weathersit]]=2,"mist",Table1[[#This Row],[weathersit]]=3,"partially dark",Table1[[#This Row],[weathersit]]=4,"rain")</f>
        <v>clear sky</v>
      </c>
    </row>
    <row r="645" spans="1:19" ht="13.8" x14ac:dyDescent="0.3">
      <c r="A645" s="2">
        <v>644</v>
      </c>
      <c r="B645" s="3">
        <v>40573</v>
      </c>
      <c r="C645" s="2">
        <v>1</v>
      </c>
      <c r="D645" s="2">
        <v>0</v>
      </c>
      <c r="E645" s="2">
        <v>1</v>
      </c>
      <c r="F645" s="2">
        <v>2</v>
      </c>
      <c r="G645" s="2" t="b">
        <v>0</v>
      </c>
      <c r="H645" s="2">
        <v>0</v>
      </c>
      <c r="I645" s="2">
        <v>1</v>
      </c>
      <c r="J645" s="2">
        <v>0.16</v>
      </c>
      <c r="K645" s="2">
        <v>0.2273</v>
      </c>
      <c r="L645" s="2">
        <v>0.8</v>
      </c>
      <c r="M645" s="2">
        <v>0</v>
      </c>
      <c r="N645" s="2">
        <v>10</v>
      </c>
      <c r="O645" s="2">
        <v>11</v>
      </c>
      <c r="P645" s="2" t="str">
        <f t="shared" si="10"/>
        <v>Sunday</v>
      </c>
      <c r="Q645" s="2" t="str">
        <f>IF(Table1[[#This Row],[temp]]&gt;=0.24,"cold","colder")</f>
        <v>colder</v>
      </c>
      <c r="R645" s="2">
        <v>1</v>
      </c>
      <c r="S645" s="16" t="str" cm="1">
        <f t="array" ref="S645">_xlfn.IFS(Table1[[#This Row],[weathersit]]=1,"clear sky",Table1[[#This Row],[weathersit]]=2,"mist",Table1[[#This Row],[weathersit]]=3,"partially dark",Table1[[#This Row],[weathersit]]=4,"rain")</f>
        <v>clear sky</v>
      </c>
    </row>
    <row r="646" spans="1:19" ht="13.8" x14ac:dyDescent="0.3">
      <c r="A646" s="2">
        <v>645</v>
      </c>
      <c r="B646" s="3">
        <v>40573</v>
      </c>
      <c r="C646" s="2">
        <v>1</v>
      </c>
      <c r="D646" s="2">
        <v>0</v>
      </c>
      <c r="E646" s="2">
        <v>1</v>
      </c>
      <c r="F646" s="2">
        <v>3</v>
      </c>
      <c r="G646" s="2" t="b">
        <v>0</v>
      </c>
      <c r="H646" s="2">
        <v>0</v>
      </c>
      <c r="I646" s="2">
        <v>1</v>
      </c>
      <c r="J646" s="2">
        <v>0.14000000000000001</v>
      </c>
      <c r="K646" s="2">
        <v>0.21210000000000001</v>
      </c>
      <c r="L646" s="2">
        <v>0.93</v>
      </c>
      <c r="M646" s="2">
        <v>0</v>
      </c>
      <c r="N646" s="2">
        <v>7</v>
      </c>
      <c r="O646" s="2">
        <v>8</v>
      </c>
      <c r="P646" s="2" t="str">
        <f t="shared" si="10"/>
        <v>Sunday</v>
      </c>
      <c r="Q646" s="2" t="str">
        <f>IF(Table1[[#This Row],[temp]]&gt;=0.24,"cold","colder")</f>
        <v>colder</v>
      </c>
      <c r="R646" s="2">
        <v>1</v>
      </c>
      <c r="S646" s="16" t="str" cm="1">
        <f t="array" ref="S646">_xlfn.IFS(Table1[[#This Row],[weathersit]]=1,"clear sky",Table1[[#This Row],[weathersit]]=2,"mist",Table1[[#This Row],[weathersit]]=3,"partially dark",Table1[[#This Row],[weathersit]]=4,"rain")</f>
        <v>clear sky</v>
      </c>
    </row>
    <row r="647" spans="1:19" ht="13.8" x14ac:dyDescent="0.3">
      <c r="A647" s="2">
        <v>646</v>
      </c>
      <c r="B647" s="3">
        <v>40573</v>
      </c>
      <c r="C647" s="2">
        <v>1</v>
      </c>
      <c r="D647" s="2">
        <v>0</v>
      </c>
      <c r="E647" s="2">
        <v>1</v>
      </c>
      <c r="F647" s="2">
        <v>4</v>
      </c>
      <c r="G647" s="2" t="b">
        <v>0</v>
      </c>
      <c r="H647" s="2">
        <v>0</v>
      </c>
      <c r="I647" s="2">
        <v>1</v>
      </c>
      <c r="J647" s="2">
        <v>0.14000000000000001</v>
      </c>
      <c r="K647" s="2">
        <v>0.21210000000000001</v>
      </c>
      <c r="L647" s="2">
        <v>0.93</v>
      </c>
      <c r="M647" s="2">
        <v>0</v>
      </c>
      <c r="N647" s="2">
        <v>1</v>
      </c>
      <c r="O647" s="2">
        <v>1</v>
      </c>
      <c r="P647" s="2" t="str">
        <f t="shared" si="10"/>
        <v>Sunday</v>
      </c>
      <c r="Q647" s="2" t="str">
        <f>IF(Table1[[#This Row],[temp]]&gt;=0.24,"cold","colder")</f>
        <v>colder</v>
      </c>
      <c r="R647" s="2">
        <v>0</v>
      </c>
      <c r="S647" s="16" t="str" cm="1">
        <f t="array" ref="S647">_xlfn.IFS(Table1[[#This Row],[weathersit]]=1,"clear sky",Table1[[#This Row],[weathersit]]=2,"mist",Table1[[#This Row],[weathersit]]=3,"partially dark",Table1[[#This Row],[weathersit]]=4,"rain")</f>
        <v>clear sky</v>
      </c>
    </row>
    <row r="648" spans="1:19" ht="13.8" x14ac:dyDescent="0.3">
      <c r="A648" s="2">
        <v>647</v>
      </c>
      <c r="B648" s="3">
        <v>40573</v>
      </c>
      <c r="C648" s="2">
        <v>1</v>
      </c>
      <c r="D648" s="2">
        <v>0</v>
      </c>
      <c r="E648" s="2">
        <v>1</v>
      </c>
      <c r="F648" s="2">
        <v>5</v>
      </c>
      <c r="G648" s="2" t="b">
        <v>0</v>
      </c>
      <c r="H648" s="2">
        <v>0</v>
      </c>
      <c r="I648" s="2">
        <v>1</v>
      </c>
      <c r="J648" s="2">
        <v>0.14000000000000001</v>
      </c>
      <c r="K648" s="2">
        <v>0.21210000000000001</v>
      </c>
      <c r="L648" s="2">
        <v>0.86</v>
      </c>
      <c r="M648" s="2">
        <v>0</v>
      </c>
      <c r="N648" s="2">
        <v>3</v>
      </c>
      <c r="O648" s="2">
        <v>3</v>
      </c>
      <c r="P648" s="2" t="str">
        <f t="shared" si="10"/>
        <v>Sunday</v>
      </c>
      <c r="Q648" s="2" t="str">
        <f>IF(Table1[[#This Row],[temp]]&gt;=0.24,"cold","colder")</f>
        <v>colder</v>
      </c>
      <c r="R648" s="2">
        <v>0</v>
      </c>
      <c r="S648" s="16" t="str" cm="1">
        <f t="array" ref="S648">_xlfn.IFS(Table1[[#This Row],[weathersit]]=1,"clear sky",Table1[[#This Row],[weathersit]]=2,"mist",Table1[[#This Row],[weathersit]]=3,"partially dark",Table1[[#This Row],[weathersit]]=4,"rain")</f>
        <v>clear sky</v>
      </c>
    </row>
    <row r="649" spans="1:19" ht="13.8" x14ac:dyDescent="0.3">
      <c r="A649" s="2">
        <v>648</v>
      </c>
      <c r="B649" s="3">
        <v>40573</v>
      </c>
      <c r="C649" s="2">
        <v>1</v>
      </c>
      <c r="D649" s="2">
        <v>0</v>
      </c>
      <c r="E649" s="2">
        <v>1</v>
      </c>
      <c r="F649" s="2">
        <v>7</v>
      </c>
      <c r="G649" s="2" t="b">
        <v>0</v>
      </c>
      <c r="H649" s="2">
        <v>0</v>
      </c>
      <c r="I649" s="2">
        <v>1</v>
      </c>
      <c r="J649" s="2">
        <v>0.14000000000000001</v>
      </c>
      <c r="K649" s="2">
        <v>0.21210000000000001</v>
      </c>
      <c r="L649" s="2">
        <v>0.86</v>
      </c>
      <c r="M649" s="2">
        <v>0</v>
      </c>
      <c r="N649" s="2">
        <v>3</v>
      </c>
      <c r="O649" s="2">
        <v>3</v>
      </c>
      <c r="P649" s="2" t="str">
        <f t="shared" si="10"/>
        <v>Sunday</v>
      </c>
      <c r="Q649" s="2" t="str">
        <f>IF(Table1[[#This Row],[temp]]&gt;=0.24,"cold","colder")</f>
        <v>colder</v>
      </c>
      <c r="R649" s="2">
        <v>0</v>
      </c>
      <c r="S649" s="16" t="str" cm="1">
        <f t="array" ref="S649">_xlfn.IFS(Table1[[#This Row],[weathersit]]=1,"clear sky",Table1[[#This Row],[weathersit]]=2,"mist",Table1[[#This Row],[weathersit]]=3,"partially dark",Table1[[#This Row],[weathersit]]=4,"rain")</f>
        <v>clear sky</v>
      </c>
    </row>
    <row r="650" spans="1:19" ht="13.8" x14ac:dyDescent="0.3">
      <c r="A650" s="2">
        <v>649</v>
      </c>
      <c r="B650" s="3">
        <v>40573</v>
      </c>
      <c r="C650" s="2">
        <v>1</v>
      </c>
      <c r="D650" s="2">
        <v>0</v>
      </c>
      <c r="E650" s="2">
        <v>1</v>
      </c>
      <c r="F650" s="2">
        <v>8</v>
      </c>
      <c r="G650" s="2" t="b">
        <v>0</v>
      </c>
      <c r="H650" s="2">
        <v>0</v>
      </c>
      <c r="I650" s="2">
        <v>2</v>
      </c>
      <c r="J650" s="2">
        <v>0.14000000000000001</v>
      </c>
      <c r="K650" s="2">
        <v>0.21210000000000001</v>
      </c>
      <c r="L650" s="2">
        <v>0.86</v>
      </c>
      <c r="M650" s="2">
        <v>0</v>
      </c>
      <c r="N650" s="2">
        <v>11</v>
      </c>
      <c r="O650" s="2">
        <v>12</v>
      </c>
      <c r="P650" s="2" t="str">
        <f t="shared" si="10"/>
        <v>Sunday</v>
      </c>
      <c r="Q650" s="2" t="str">
        <f>IF(Table1[[#This Row],[temp]]&gt;=0.24,"cold","colder")</f>
        <v>colder</v>
      </c>
      <c r="R650" s="2">
        <v>1</v>
      </c>
      <c r="S650" s="16" t="str" cm="1">
        <f t="array" ref="S650">_xlfn.IFS(Table1[[#This Row],[weathersit]]=1,"clear sky",Table1[[#This Row],[weathersit]]=2,"mist",Table1[[#This Row],[weathersit]]=3,"partially dark",Table1[[#This Row],[weathersit]]=4,"rain")</f>
        <v>mist</v>
      </c>
    </row>
    <row r="651" spans="1:19" ht="13.8" x14ac:dyDescent="0.3">
      <c r="A651" s="2">
        <v>650</v>
      </c>
      <c r="B651" s="3">
        <v>40573</v>
      </c>
      <c r="C651" s="2">
        <v>1</v>
      </c>
      <c r="D651" s="2">
        <v>0</v>
      </c>
      <c r="E651" s="2">
        <v>1</v>
      </c>
      <c r="F651" s="2">
        <v>9</v>
      </c>
      <c r="G651" s="2" t="b">
        <v>0</v>
      </c>
      <c r="H651" s="2">
        <v>0</v>
      </c>
      <c r="I651" s="2">
        <v>2</v>
      </c>
      <c r="J651" s="2">
        <v>0.16</v>
      </c>
      <c r="K651" s="2">
        <v>0.2273</v>
      </c>
      <c r="L651" s="2">
        <v>0.8</v>
      </c>
      <c r="M651" s="2">
        <v>0</v>
      </c>
      <c r="N651" s="2">
        <v>34</v>
      </c>
      <c r="O651" s="2">
        <v>38</v>
      </c>
      <c r="P651" s="2" t="str">
        <f t="shared" si="10"/>
        <v>Sunday</v>
      </c>
      <c r="Q651" s="2" t="str">
        <f>IF(Table1[[#This Row],[temp]]&gt;=0.24,"cold","colder")</f>
        <v>colder</v>
      </c>
      <c r="R651" s="2">
        <v>4</v>
      </c>
      <c r="S651" s="16" t="str" cm="1">
        <f t="array" ref="S651">_xlfn.IFS(Table1[[#This Row],[weathersit]]=1,"clear sky",Table1[[#This Row],[weathersit]]=2,"mist",Table1[[#This Row],[weathersit]]=3,"partially dark",Table1[[#This Row],[weathersit]]=4,"rain")</f>
        <v>mist</v>
      </c>
    </row>
    <row r="652" spans="1:19" ht="13.8" x14ac:dyDescent="0.3">
      <c r="A652" s="2">
        <v>651</v>
      </c>
      <c r="B652" s="3">
        <v>40573</v>
      </c>
      <c r="C652" s="2">
        <v>1</v>
      </c>
      <c r="D652" s="2">
        <v>0</v>
      </c>
      <c r="E652" s="2">
        <v>1</v>
      </c>
      <c r="F652" s="2">
        <v>10</v>
      </c>
      <c r="G652" s="2" t="b">
        <v>0</v>
      </c>
      <c r="H652" s="2">
        <v>0</v>
      </c>
      <c r="I652" s="2">
        <v>2</v>
      </c>
      <c r="J652" s="2">
        <v>0.18</v>
      </c>
      <c r="K652" s="2">
        <v>0.2424</v>
      </c>
      <c r="L652" s="2">
        <v>0.8</v>
      </c>
      <c r="M652" s="2">
        <v>0</v>
      </c>
      <c r="N652" s="2">
        <v>57</v>
      </c>
      <c r="O652" s="2">
        <v>64</v>
      </c>
      <c r="P652" s="2" t="str">
        <f t="shared" si="10"/>
        <v>Sunday</v>
      </c>
      <c r="Q652" s="2" t="str">
        <f>IF(Table1[[#This Row],[temp]]&gt;=0.24,"cold","colder")</f>
        <v>colder</v>
      </c>
      <c r="R652" s="2">
        <v>7</v>
      </c>
      <c r="S652" s="16" t="str" cm="1">
        <f t="array" ref="S652">_xlfn.IFS(Table1[[#This Row],[weathersit]]=1,"clear sky",Table1[[#This Row],[weathersit]]=2,"mist",Table1[[#This Row],[weathersit]]=3,"partially dark",Table1[[#This Row],[weathersit]]=4,"rain")</f>
        <v>mist</v>
      </c>
    </row>
    <row r="653" spans="1:19" ht="13.8" x14ac:dyDescent="0.3">
      <c r="A653" s="2">
        <v>652</v>
      </c>
      <c r="B653" s="3">
        <v>40573</v>
      </c>
      <c r="C653" s="2">
        <v>1</v>
      </c>
      <c r="D653" s="2">
        <v>0</v>
      </c>
      <c r="E653" s="2">
        <v>1</v>
      </c>
      <c r="F653" s="2">
        <v>11</v>
      </c>
      <c r="G653" s="2" t="b">
        <v>0</v>
      </c>
      <c r="H653" s="2">
        <v>0</v>
      </c>
      <c r="I653" s="2">
        <v>1</v>
      </c>
      <c r="J653" s="2">
        <v>0.22</v>
      </c>
      <c r="K653" s="2">
        <v>0.2727</v>
      </c>
      <c r="L653" s="2">
        <v>0.75</v>
      </c>
      <c r="M653" s="2">
        <v>0</v>
      </c>
      <c r="N653" s="2">
        <v>50</v>
      </c>
      <c r="O653" s="2">
        <v>59</v>
      </c>
      <c r="P653" s="2" t="str">
        <f t="shared" si="10"/>
        <v>Sunday</v>
      </c>
      <c r="Q653" s="2" t="str">
        <f>IF(Table1[[#This Row],[temp]]&gt;=0.24,"cold","colder")</f>
        <v>colder</v>
      </c>
      <c r="R653" s="2">
        <v>9</v>
      </c>
      <c r="S653" s="16" t="str" cm="1">
        <f t="array" ref="S653">_xlfn.IFS(Table1[[#This Row],[weathersit]]=1,"clear sky",Table1[[#This Row],[weathersit]]=2,"mist",Table1[[#This Row],[weathersit]]=3,"partially dark",Table1[[#This Row],[weathersit]]=4,"rain")</f>
        <v>clear sky</v>
      </c>
    </row>
    <row r="654" spans="1:19" ht="13.8" x14ac:dyDescent="0.3">
      <c r="A654" s="2">
        <v>653</v>
      </c>
      <c r="B654" s="3">
        <v>40573</v>
      </c>
      <c r="C654" s="2">
        <v>1</v>
      </c>
      <c r="D654" s="2">
        <v>0</v>
      </c>
      <c r="E654" s="2">
        <v>1</v>
      </c>
      <c r="F654" s="2">
        <v>12</v>
      </c>
      <c r="G654" s="2" t="b">
        <v>0</v>
      </c>
      <c r="H654" s="2">
        <v>0</v>
      </c>
      <c r="I654" s="2">
        <v>1</v>
      </c>
      <c r="J654" s="2">
        <v>0.3</v>
      </c>
      <c r="K654" s="2">
        <v>0.31819999999999998</v>
      </c>
      <c r="L654" s="2">
        <v>0.52</v>
      </c>
      <c r="M654" s="2">
        <v>0.1045</v>
      </c>
      <c r="N654" s="2">
        <v>87</v>
      </c>
      <c r="O654" s="2">
        <v>97</v>
      </c>
      <c r="P654" s="2" t="str">
        <f t="shared" si="10"/>
        <v>Sunday</v>
      </c>
      <c r="Q654" s="2" t="str">
        <f>IF(Table1[[#This Row],[temp]]&gt;=0.24,"cold","colder")</f>
        <v>cold</v>
      </c>
      <c r="R654" s="2">
        <v>10</v>
      </c>
      <c r="S654" s="16" t="str" cm="1">
        <f t="array" ref="S654">_xlfn.IFS(Table1[[#This Row],[weathersit]]=1,"clear sky",Table1[[#This Row],[weathersit]]=2,"mist",Table1[[#This Row],[weathersit]]=3,"partially dark",Table1[[#This Row],[weathersit]]=4,"rain")</f>
        <v>clear sky</v>
      </c>
    </row>
    <row r="655" spans="1:19" ht="13.8" x14ac:dyDescent="0.3">
      <c r="A655" s="2">
        <v>654</v>
      </c>
      <c r="B655" s="3">
        <v>40573</v>
      </c>
      <c r="C655" s="2">
        <v>1</v>
      </c>
      <c r="D655" s="2">
        <v>0</v>
      </c>
      <c r="E655" s="2">
        <v>1</v>
      </c>
      <c r="F655" s="2">
        <v>13</v>
      </c>
      <c r="G655" s="2" t="b">
        <v>0</v>
      </c>
      <c r="H655" s="2">
        <v>0</v>
      </c>
      <c r="I655" s="2">
        <v>1</v>
      </c>
      <c r="J655" s="2">
        <v>0.28000000000000003</v>
      </c>
      <c r="K655" s="2">
        <v>0.28789999999999999</v>
      </c>
      <c r="L655" s="2">
        <v>0.61</v>
      </c>
      <c r="M655" s="2">
        <v>0.1045</v>
      </c>
      <c r="N655" s="2">
        <v>71</v>
      </c>
      <c r="O655" s="2">
        <v>84</v>
      </c>
      <c r="P655" s="2" t="str">
        <f t="shared" si="10"/>
        <v>Sunday</v>
      </c>
      <c r="Q655" s="2" t="str">
        <f>IF(Table1[[#This Row],[temp]]&gt;=0.24,"cold","colder")</f>
        <v>cold</v>
      </c>
      <c r="R655" s="2">
        <v>13</v>
      </c>
      <c r="S655" s="16" t="str" cm="1">
        <f t="array" ref="S655">_xlfn.IFS(Table1[[#This Row],[weathersit]]=1,"clear sky",Table1[[#This Row],[weathersit]]=2,"mist",Table1[[#This Row],[weathersit]]=3,"partially dark",Table1[[#This Row],[weathersit]]=4,"rain")</f>
        <v>clear sky</v>
      </c>
    </row>
    <row r="656" spans="1:19" ht="13.8" x14ac:dyDescent="0.3">
      <c r="A656" s="2">
        <v>655</v>
      </c>
      <c r="B656" s="3">
        <v>40573</v>
      </c>
      <c r="C656" s="2">
        <v>1</v>
      </c>
      <c r="D656" s="2">
        <v>0</v>
      </c>
      <c r="E656" s="2">
        <v>1</v>
      </c>
      <c r="F656" s="2">
        <v>14</v>
      </c>
      <c r="G656" s="2" t="b">
        <v>0</v>
      </c>
      <c r="H656" s="2">
        <v>0</v>
      </c>
      <c r="I656" s="2">
        <v>1</v>
      </c>
      <c r="J656" s="2">
        <v>0.28000000000000003</v>
      </c>
      <c r="K656" s="2">
        <v>0.30299999999999999</v>
      </c>
      <c r="L656" s="2">
        <v>0.61</v>
      </c>
      <c r="M656" s="2">
        <v>8.9599999999999999E-2</v>
      </c>
      <c r="N656" s="2">
        <v>104</v>
      </c>
      <c r="O656" s="2">
        <v>122</v>
      </c>
      <c r="P656" s="2" t="str">
        <f t="shared" si="10"/>
        <v>Sunday</v>
      </c>
      <c r="Q656" s="2" t="str">
        <f>IF(Table1[[#This Row],[temp]]&gt;=0.24,"cold","colder")</f>
        <v>cold</v>
      </c>
      <c r="R656" s="2">
        <v>18</v>
      </c>
      <c r="S656" s="16" t="str" cm="1">
        <f t="array" ref="S656">_xlfn.IFS(Table1[[#This Row],[weathersit]]=1,"clear sky",Table1[[#This Row],[weathersit]]=2,"mist",Table1[[#This Row],[weathersit]]=3,"partially dark",Table1[[#This Row],[weathersit]]=4,"rain")</f>
        <v>clear sky</v>
      </c>
    </row>
    <row r="657" spans="1:19" ht="13.8" x14ac:dyDescent="0.3">
      <c r="A657" s="2">
        <v>656</v>
      </c>
      <c r="B657" s="3">
        <v>40573</v>
      </c>
      <c r="C657" s="2">
        <v>1</v>
      </c>
      <c r="D657" s="2">
        <v>0</v>
      </c>
      <c r="E657" s="2">
        <v>1</v>
      </c>
      <c r="F657" s="2">
        <v>15</v>
      </c>
      <c r="G657" s="2" t="b">
        <v>0</v>
      </c>
      <c r="H657" s="2">
        <v>0</v>
      </c>
      <c r="I657" s="2">
        <v>1</v>
      </c>
      <c r="J657" s="2">
        <v>0.3</v>
      </c>
      <c r="K657" s="2">
        <v>0.33329999999999999</v>
      </c>
      <c r="L657" s="2">
        <v>0.56000000000000005</v>
      </c>
      <c r="M657" s="2">
        <v>0</v>
      </c>
      <c r="N657" s="2">
        <v>95</v>
      </c>
      <c r="O657" s="2">
        <v>109</v>
      </c>
      <c r="P657" s="2" t="str">
        <f t="shared" si="10"/>
        <v>Sunday</v>
      </c>
      <c r="Q657" s="2" t="str">
        <f>IF(Table1[[#This Row],[temp]]&gt;=0.24,"cold","colder")</f>
        <v>cold</v>
      </c>
      <c r="R657" s="2">
        <v>14</v>
      </c>
      <c r="S657" s="16" t="str" cm="1">
        <f t="array" ref="S657">_xlfn.IFS(Table1[[#This Row],[weathersit]]=1,"clear sky",Table1[[#This Row],[weathersit]]=2,"mist",Table1[[#This Row],[weathersit]]=3,"partially dark",Table1[[#This Row],[weathersit]]=4,"rain")</f>
        <v>clear sky</v>
      </c>
    </row>
    <row r="658" spans="1:19" ht="13.8" x14ac:dyDescent="0.3">
      <c r="A658" s="2">
        <v>657</v>
      </c>
      <c r="B658" s="3">
        <v>40573</v>
      </c>
      <c r="C658" s="2">
        <v>1</v>
      </c>
      <c r="D658" s="2">
        <v>0</v>
      </c>
      <c r="E658" s="2">
        <v>1</v>
      </c>
      <c r="F658" s="2">
        <v>16</v>
      </c>
      <c r="G658" s="2" t="b">
        <v>0</v>
      </c>
      <c r="H658" s="2">
        <v>0</v>
      </c>
      <c r="I658" s="2">
        <v>1</v>
      </c>
      <c r="J658" s="2">
        <v>0.3</v>
      </c>
      <c r="K658" s="2">
        <v>0.33329999999999999</v>
      </c>
      <c r="L658" s="2">
        <v>0.56000000000000005</v>
      </c>
      <c r="M658" s="2">
        <v>0</v>
      </c>
      <c r="N658" s="2">
        <v>104</v>
      </c>
      <c r="O658" s="2">
        <v>123</v>
      </c>
      <c r="P658" s="2" t="str">
        <f t="shared" si="10"/>
        <v>Sunday</v>
      </c>
      <c r="Q658" s="2" t="str">
        <f>IF(Table1[[#This Row],[temp]]&gt;=0.24,"cold","colder")</f>
        <v>cold</v>
      </c>
      <c r="R658" s="2">
        <v>19</v>
      </c>
      <c r="S658" s="16" t="str" cm="1">
        <f t="array" ref="S658">_xlfn.IFS(Table1[[#This Row],[weathersit]]=1,"clear sky",Table1[[#This Row],[weathersit]]=2,"mist",Table1[[#This Row],[weathersit]]=3,"partially dark",Table1[[#This Row],[weathersit]]=4,"rain")</f>
        <v>clear sky</v>
      </c>
    </row>
    <row r="659" spans="1:19" ht="13.8" x14ac:dyDescent="0.3">
      <c r="A659" s="2">
        <v>658</v>
      </c>
      <c r="B659" s="3">
        <v>40573</v>
      </c>
      <c r="C659" s="2">
        <v>1</v>
      </c>
      <c r="D659" s="2">
        <v>0</v>
      </c>
      <c r="E659" s="2">
        <v>1</v>
      </c>
      <c r="F659" s="2">
        <v>17</v>
      </c>
      <c r="G659" s="2" t="b">
        <v>0</v>
      </c>
      <c r="H659" s="2">
        <v>0</v>
      </c>
      <c r="I659" s="2">
        <v>1</v>
      </c>
      <c r="J659" s="2">
        <v>0.3</v>
      </c>
      <c r="K659" s="2">
        <v>0.28789999999999999</v>
      </c>
      <c r="L659" s="2">
        <v>0.56000000000000005</v>
      </c>
      <c r="M659" s="2">
        <v>0.19400000000000001</v>
      </c>
      <c r="N659" s="2">
        <v>71</v>
      </c>
      <c r="O659" s="2">
        <v>77</v>
      </c>
      <c r="P659" s="2" t="str">
        <f t="shared" si="10"/>
        <v>Sunday</v>
      </c>
      <c r="Q659" s="2" t="str">
        <f>IF(Table1[[#This Row],[temp]]&gt;=0.24,"cold","colder")</f>
        <v>cold</v>
      </c>
      <c r="R659" s="2">
        <v>6</v>
      </c>
      <c r="S659" s="16" t="str" cm="1">
        <f t="array" ref="S659">_xlfn.IFS(Table1[[#This Row],[weathersit]]=1,"clear sky",Table1[[#This Row],[weathersit]]=2,"mist",Table1[[#This Row],[weathersit]]=3,"partially dark",Table1[[#This Row],[weathersit]]=4,"rain")</f>
        <v>clear sky</v>
      </c>
    </row>
    <row r="660" spans="1:19" ht="13.8" x14ac:dyDescent="0.3">
      <c r="A660" s="2">
        <v>659</v>
      </c>
      <c r="B660" s="3">
        <v>40573</v>
      </c>
      <c r="C660" s="2">
        <v>1</v>
      </c>
      <c r="D660" s="2">
        <v>0</v>
      </c>
      <c r="E660" s="2">
        <v>1</v>
      </c>
      <c r="F660" s="2">
        <v>18</v>
      </c>
      <c r="G660" s="2" t="b">
        <v>0</v>
      </c>
      <c r="H660" s="2">
        <v>0</v>
      </c>
      <c r="I660" s="2">
        <v>1</v>
      </c>
      <c r="J660" s="2">
        <v>0.26</v>
      </c>
      <c r="K660" s="2">
        <v>0.2576</v>
      </c>
      <c r="L660" s="2">
        <v>0.65</v>
      </c>
      <c r="M660" s="2">
        <v>0.16420000000000001</v>
      </c>
      <c r="N660" s="2">
        <v>57</v>
      </c>
      <c r="O660" s="2">
        <v>65</v>
      </c>
      <c r="P660" s="2" t="str">
        <f t="shared" si="10"/>
        <v>Sunday</v>
      </c>
      <c r="Q660" s="2" t="str">
        <f>IF(Table1[[#This Row],[temp]]&gt;=0.24,"cold","colder")</f>
        <v>cold</v>
      </c>
      <c r="R660" s="2">
        <v>8</v>
      </c>
      <c r="S660" s="16" t="str" cm="1">
        <f t="array" ref="S660">_xlfn.IFS(Table1[[#This Row],[weathersit]]=1,"clear sky",Table1[[#This Row],[weathersit]]=2,"mist",Table1[[#This Row],[weathersit]]=3,"partially dark",Table1[[#This Row],[weathersit]]=4,"rain")</f>
        <v>clear sky</v>
      </c>
    </row>
    <row r="661" spans="1:19" ht="13.8" x14ac:dyDescent="0.3">
      <c r="A661" s="2">
        <v>660</v>
      </c>
      <c r="B661" s="3">
        <v>40573</v>
      </c>
      <c r="C661" s="2">
        <v>1</v>
      </c>
      <c r="D661" s="2">
        <v>0</v>
      </c>
      <c r="E661" s="2">
        <v>1</v>
      </c>
      <c r="F661" s="2">
        <v>19</v>
      </c>
      <c r="G661" s="2" t="b">
        <v>0</v>
      </c>
      <c r="H661" s="2">
        <v>0</v>
      </c>
      <c r="I661" s="2">
        <v>1</v>
      </c>
      <c r="J661" s="2">
        <v>0.26</v>
      </c>
      <c r="K661" s="2">
        <v>0.2576</v>
      </c>
      <c r="L661" s="2">
        <v>0.65</v>
      </c>
      <c r="M661" s="2">
        <v>0.19400000000000001</v>
      </c>
      <c r="N661" s="2">
        <v>46</v>
      </c>
      <c r="O661" s="2">
        <v>55</v>
      </c>
      <c r="P661" s="2" t="str">
        <f t="shared" si="10"/>
        <v>Sunday</v>
      </c>
      <c r="Q661" s="2" t="str">
        <f>IF(Table1[[#This Row],[temp]]&gt;=0.24,"cold","colder")</f>
        <v>cold</v>
      </c>
      <c r="R661" s="2">
        <v>9</v>
      </c>
      <c r="S661" s="16" t="str" cm="1">
        <f t="array" ref="S661">_xlfn.IFS(Table1[[#This Row],[weathersit]]=1,"clear sky",Table1[[#This Row],[weathersit]]=2,"mist",Table1[[#This Row],[weathersit]]=3,"partially dark",Table1[[#This Row],[weathersit]]=4,"rain")</f>
        <v>clear sky</v>
      </c>
    </row>
    <row r="662" spans="1:19" ht="13.8" x14ac:dyDescent="0.3">
      <c r="A662" s="2">
        <v>661</v>
      </c>
      <c r="B662" s="3">
        <v>40573</v>
      </c>
      <c r="C662" s="2">
        <v>1</v>
      </c>
      <c r="D662" s="2">
        <v>0</v>
      </c>
      <c r="E662" s="2">
        <v>1</v>
      </c>
      <c r="F662" s="2">
        <v>20</v>
      </c>
      <c r="G662" s="2" t="b">
        <v>0</v>
      </c>
      <c r="H662" s="2">
        <v>0</v>
      </c>
      <c r="I662" s="2">
        <v>2</v>
      </c>
      <c r="J662" s="2">
        <v>0.26</v>
      </c>
      <c r="K662" s="2">
        <v>0.2727</v>
      </c>
      <c r="L662" s="2">
        <v>0.65</v>
      </c>
      <c r="M662" s="2">
        <v>0.1045</v>
      </c>
      <c r="N662" s="2">
        <v>30</v>
      </c>
      <c r="O662" s="2">
        <v>33</v>
      </c>
      <c r="P662" s="2" t="str">
        <f t="shared" si="10"/>
        <v>Sunday</v>
      </c>
      <c r="Q662" s="2" t="str">
        <f>IF(Table1[[#This Row],[temp]]&gt;=0.24,"cold","colder")</f>
        <v>cold</v>
      </c>
      <c r="R662" s="2">
        <v>3</v>
      </c>
      <c r="S662" s="16" t="str" cm="1">
        <f t="array" ref="S662">_xlfn.IFS(Table1[[#This Row],[weathersit]]=1,"clear sky",Table1[[#This Row],[weathersit]]=2,"mist",Table1[[#This Row],[weathersit]]=3,"partially dark",Table1[[#This Row],[weathersit]]=4,"rain")</f>
        <v>mist</v>
      </c>
    </row>
    <row r="663" spans="1:19" ht="13.8" x14ac:dyDescent="0.3">
      <c r="A663" s="2">
        <v>662</v>
      </c>
      <c r="B663" s="3">
        <v>40573</v>
      </c>
      <c r="C663" s="2">
        <v>1</v>
      </c>
      <c r="D663" s="2">
        <v>0</v>
      </c>
      <c r="E663" s="2">
        <v>1</v>
      </c>
      <c r="F663" s="2">
        <v>21</v>
      </c>
      <c r="G663" s="2" t="b">
        <v>0</v>
      </c>
      <c r="H663" s="2">
        <v>0</v>
      </c>
      <c r="I663" s="2">
        <v>2</v>
      </c>
      <c r="J663" s="2">
        <v>0.24</v>
      </c>
      <c r="K663" s="2">
        <v>0.2424</v>
      </c>
      <c r="L663" s="2">
        <v>0.7</v>
      </c>
      <c r="M663" s="2">
        <v>0.16420000000000001</v>
      </c>
      <c r="N663" s="2">
        <v>25</v>
      </c>
      <c r="O663" s="2">
        <v>28</v>
      </c>
      <c r="P663" s="2" t="str">
        <f t="shared" si="10"/>
        <v>Sunday</v>
      </c>
      <c r="Q663" s="2" t="str">
        <f>IF(Table1[[#This Row],[temp]]&gt;=0.24,"cold","colder")</f>
        <v>cold</v>
      </c>
      <c r="R663" s="2">
        <v>3</v>
      </c>
      <c r="S663" s="16" t="str" cm="1">
        <f t="array" ref="S663">_xlfn.IFS(Table1[[#This Row],[weathersit]]=1,"clear sky",Table1[[#This Row],[weathersit]]=2,"mist",Table1[[#This Row],[weathersit]]=3,"partially dark",Table1[[#This Row],[weathersit]]=4,"rain")</f>
        <v>mist</v>
      </c>
    </row>
    <row r="664" spans="1:19" ht="13.8" x14ac:dyDescent="0.3">
      <c r="A664" s="2">
        <v>663</v>
      </c>
      <c r="B664" s="3">
        <v>40573</v>
      </c>
      <c r="C664" s="2">
        <v>1</v>
      </c>
      <c r="D664" s="2">
        <v>0</v>
      </c>
      <c r="E664" s="2">
        <v>1</v>
      </c>
      <c r="F664" s="2">
        <v>22</v>
      </c>
      <c r="G664" s="2" t="b">
        <v>0</v>
      </c>
      <c r="H664" s="2">
        <v>0</v>
      </c>
      <c r="I664" s="2">
        <v>2</v>
      </c>
      <c r="J664" s="2">
        <v>0.24</v>
      </c>
      <c r="K664" s="2">
        <v>0.2273</v>
      </c>
      <c r="L664" s="2">
        <v>0.7</v>
      </c>
      <c r="M664" s="2">
        <v>0.19400000000000001</v>
      </c>
      <c r="N664" s="2">
        <v>19</v>
      </c>
      <c r="O664" s="2">
        <v>21</v>
      </c>
      <c r="P664" s="2" t="str">
        <f t="shared" si="10"/>
        <v>Sunday</v>
      </c>
      <c r="Q664" s="2" t="str">
        <f>IF(Table1[[#This Row],[temp]]&gt;=0.24,"cold","colder")</f>
        <v>cold</v>
      </c>
      <c r="R664" s="2">
        <v>2</v>
      </c>
      <c r="S664" s="16" t="str" cm="1">
        <f t="array" ref="S664">_xlfn.IFS(Table1[[#This Row],[weathersit]]=1,"clear sky",Table1[[#This Row],[weathersit]]=2,"mist",Table1[[#This Row],[weathersit]]=3,"partially dark",Table1[[#This Row],[weathersit]]=4,"rain")</f>
        <v>mist</v>
      </c>
    </row>
    <row r="665" spans="1:19" ht="13.8" x14ac:dyDescent="0.3">
      <c r="A665" s="2">
        <v>664</v>
      </c>
      <c r="B665" s="3">
        <v>40573</v>
      </c>
      <c r="C665" s="2">
        <v>1</v>
      </c>
      <c r="D665" s="2">
        <v>0</v>
      </c>
      <c r="E665" s="2">
        <v>1</v>
      </c>
      <c r="F665" s="2">
        <v>23</v>
      </c>
      <c r="G665" s="2" t="b">
        <v>0</v>
      </c>
      <c r="H665" s="2">
        <v>0</v>
      </c>
      <c r="I665" s="2">
        <v>2</v>
      </c>
      <c r="J665" s="2">
        <v>0.24</v>
      </c>
      <c r="K665" s="2">
        <v>0.21210000000000001</v>
      </c>
      <c r="L665" s="2">
        <v>0.65</v>
      </c>
      <c r="M665" s="2">
        <v>0.28360000000000002</v>
      </c>
      <c r="N665" s="2">
        <v>16</v>
      </c>
      <c r="O665" s="2">
        <v>21</v>
      </c>
      <c r="P665" s="2" t="str">
        <f t="shared" si="10"/>
        <v>Sunday</v>
      </c>
      <c r="Q665" s="2" t="str">
        <f>IF(Table1[[#This Row],[temp]]&gt;=0.24,"cold","colder")</f>
        <v>cold</v>
      </c>
      <c r="R665" s="2">
        <v>5</v>
      </c>
      <c r="S665" s="16" t="str" cm="1">
        <f t="array" ref="S665">_xlfn.IFS(Table1[[#This Row],[weathersit]]=1,"clear sky",Table1[[#This Row],[weathersit]]=2,"mist",Table1[[#This Row],[weathersit]]=3,"partially dark",Table1[[#This Row],[weathersit]]=4,"rain")</f>
        <v>mist</v>
      </c>
    </row>
    <row r="666" spans="1:19" ht="13.8" x14ac:dyDescent="0.3">
      <c r="A666" s="2">
        <v>665</v>
      </c>
      <c r="B666" s="3">
        <v>40574</v>
      </c>
      <c r="C666" s="2">
        <v>1</v>
      </c>
      <c r="D666" s="2">
        <v>0</v>
      </c>
      <c r="E666" s="2">
        <v>1</v>
      </c>
      <c r="F666" s="2">
        <v>0</v>
      </c>
      <c r="G666" s="2" t="b">
        <v>0</v>
      </c>
      <c r="H666" s="2">
        <v>1</v>
      </c>
      <c r="I666" s="2">
        <v>2</v>
      </c>
      <c r="J666" s="2">
        <v>0.24</v>
      </c>
      <c r="K666" s="2">
        <v>0.2273</v>
      </c>
      <c r="L666" s="2">
        <v>0.65</v>
      </c>
      <c r="M666" s="2">
        <v>0.22389999999999999</v>
      </c>
      <c r="N666" s="2">
        <v>6</v>
      </c>
      <c r="O666" s="2">
        <v>7</v>
      </c>
      <c r="P666" s="2" t="str">
        <f t="shared" si="10"/>
        <v>Monday</v>
      </c>
      <c r="Q666" s="2" t="str">
        <f>IF(Table1[[#This Row],[temp]]&gt;=0.24,"cold","colder")</f>
        <v>cold</v>
      </c>
      <c r="R666" s="2">
        <v>1</v>
      </c>
      <c r="S666" s="16" t="str" cm="1">
        <f t="array" ref="S666">_xlfn.IFS(Table1[[#This Row],[weathersit]]=1,"clear sky",Table1[[#This Row],[weathersit]]=2,"mist",Table1[[#This Row],[weathersit]]=3,"partially dark",Table1[[#This Row],[weathersit]]=4,"rain")</f>
        <v>mist</v>
      </c>
    </row>
    <row r="667" spans="1:19" ht="13.8" x14ac:dyDescent="0.3">
      <c r="A667" s="2">
        <v>666</v>
      </c>
      <c r="B667" s="3">
        <v>40574</v>
      </c>
      <c r="C667" s="2">
        <v>1</v>
      </c>
      <c r="D667" s="2">
        <v>0</v>
      </c>
      <c r="E667" s="2">
        <v>1</v>
      </c>
      <c r="F667" s="2">
        <v>1</v>
      </c>
      <c r="G667" s="2" t="b">
        <v>0</v>
      </c>
      <c r="H667" s="2">
        <v>1</v>
      </c>
      <c r="I667" s="2">
        <v>1</v>
      </c>
      <c r="J667" s="2">
        <v>0.22</v>
      </c>
      <c r="K667" s="2">
        <v>0.21210000000000001</v>
      </c>
      <c r="L667" s="2">
        <v>0.64</v>
      </c>
      <c r="M667" s="2">
        <v>0.25369999999999998</v>
      </c>
      <c r="N667" s="2">
        <v>5</v>
      </c>
      <c r="O667" s="2">
        <v>7</v>
      </c>
      <c r="P667" s="2" t="str">
        <f t="shared" si="10"/>
        <v>Monday</v>
      </c>
      <c r="Q667" s="2" t="str">
        <f>IF(Table1[[#This Row],[temp]]&gt;=0.24,"cold","colder")</f>
        <v>colder</v>
      </c>
      <c r="R667" s="2">
        <v>2</v>
      </c>
      <c r="S667" s="16" t="str" cm="1">
        <f t="array" ref="S667">_xlfn.IFS(Table1[[#This Row],[weathersit]]=1,"clear sky",Table1[[#This Row],[weathersit]]=2,"mist",Table1[[#This Row],[weathersit]]=3,"partially dark",Table1[[#This Row],[weathersit]]=4,"rain")</f>
        <v>clear sky</v>
      </c>
    </row>
    <row r="668" spans="1:19" ht="13.8" x14ac:dyDescent="0.3">
      <c r="A668" s="2">
        <v>667</v>
      </c>
      <c r="B668" s="3">
        <v>40574</v>
      </c>
      <c r="C668" s="2">
        <v>1</v>
      </c>
      <c r="D668" s="2">
        <v>0</v>
      </c>
      <c r="E668" s="2">
        <v>1</v>
      </c>
      <c r="F668" s="2">
        <v>2</v>
      </c>
      <c r="G668" s="2" t="b">
        <v>0</v>
      </c>
      <c r="H668" s="2">
        <v>1</v>
      </c>
      <c r="I668" s="2">
        <v>1</v>
      </c>
      <c r="J668" s="2">
        <v>0.22</v>
      </c>
      <c r="K668" s="2">
        <v>0.2273</v>
      </c>
      <c r="L668" s="2">
        <v>0.64</v>
      </c>
      <c r="M668" s="2">
        <v>0.19400000000000001</v>
      </c>
      <c r="N668" s="2">
        <v>1</v>
      </c>
      <c r="O668" s="2">
        <v>1</v>
      </c>
      <c r="P668" s="2" t="str">
        <f t="shared" si="10"/>
        <v>Monday</v>
      </c>
      <c r="Q668" s="2" t="str">
        <f>IF(Table1[[#This Row],[temp]]&gt;=0.24,"cold","colder")</f>
        <v>colder</v>
      </c>
      <c r="R668" s="2">
        <v>0</v>
      </c>
      <c r="S668" s="16" t="str" cm="1">
        <f t="array" ref="S668">_xlfn.IFS(Table1[[#This Row],[weathersit]]=1,"clear sky",Table1[[#This Row],[weathersit]]=2,"mist",Table1[[#This Row],[weathersit]]=3,"partially dark",Table1[[#This Row],[weathersit]]=4,"rain")</f>
        <v>clear sky</v>
      </c>
    </row>
    <row r="669" spans="1:19" ht="13.8" x14ac:dyDescent="0.3">
      <c r="A669" s="2">
        <v>668</v>
      </c>
      <c r="B669" s="3">
        <v>40574</v>
      </c>
      <c r="C669" s="2">
        <v>1</v>
      </c>
      <c r="D669" s="2">
        <v>0</v>
      </c>
      <c r="E669" s="2">
        <v>1</v>
      </c>
      <c r="F669" s="2">
        <v>3</v>
      </c>
      <c r="G669" s="2" t="b">
        <v>0</v>
      </c>
      <c r="H669" s="2">
        <v>1</v>
      </c>
      <c r="I669" s="2">
        <v>1</v>
      </c>
      <c r="J669" s="2">
        <v>0.22</v>
      </c>
      <c r="K669" s="2">
        <v>0.2273</v>
      </c>
      <c r="L669" s="2">
        <v>0.64</v>
      </c>
      <c r="M669" s="2">
        <v>0.19400000000000001</v>
      </c>
      <c r="N669" s="2">
        <v>2</v>
      </c>
      <c r="O669" s="2">
        <v>2</v>
      </c>
      <c r="P669" s="2" t="str">
        <f t="shared" si="10"/>
        <v>Monday</v>
      </c>
      <c r="Q669" s="2" t="str">
        <f>IF(Table1[[#This Row],[temp]]&gt;=0.24,"cold","colder")</f>
        <v>colder</v>
      </c>
      <c r="R669" s="2">
        <v>0</v>
      </c>
      <c r="S669" s="16" t="str" cm="1">
        <f t="array" ref="S669">_xlfn.IFS(Table1[[#This Row],[weathersit]]=1,"clear sky",Table1[[#This Row],[weathersit]]=2,"mist",Table1[[#This Row],[weathersit]]=3,"partially dark",Table1[[#This Row],[weathersit]]=4,"rain")</f>
        <v>clear sky</v>
      </c>
    </row>
    <row r="670" spans="1:19" ht="13.8" x14ac:dyDescent="0.3">
      <c r="A670" s="2">
        <v>669</v>
      </c>
      <c r="B670" s="3">
        <v>40574</v>
      </c>
      <c r="C670" s="2">
        <v>1</v>
      </c>
      <c r="D670" s="2">
        <v>0</v>
      </c>
      <c r="E670" s="2">
        <v>1</v>
      </c>
      <c r="F670" s="2">
        <v>4</v>
      </c>
      <c r="G670" s="2" t="b">
        <v>0</v>
      </c>
      <c r="H670" s="2">
        <v>1</v>
      </c>
      <c r="I670" s="2">
        <v>1</v>
      </c>
      <c r="J670" s="2">
        <v>0.2</v>
      </c>
      <c r="K670" s="2">
        <v>0.19700000000000001</v>
      </c>
      <c r="L670" s="2">
        <v>0.59</v>
      </c>
      <c r="M670" s="2">
        <v>0.22389999999999999</v>
      </c>
      <c r="N670" s="2">
        <v>2</v>
      </c>
      <c r="O670" s="2">
        <v>2</v>
      </c>
      <c r="P670" s="2" t="str">
        <f t="shared" si="10"/>
        <v>Monday</v>
      </c>
      <c r="Q670" s="2" t="str">
        <f>IF(Table1[[#This Row],[temp]]&gt;=0.24,"cold","colder")</f>
        <v>colder</v>
      </c>
      <c r="R670" s="2">
        <v>0</v>
      </c>
      <c r="S670" s="16" t="str" cm="1">
        <f t="array" ref="S670">_xlfn.IFS(Table1[[#This Row],[weathersit]]=1,"clear sky",Table1[[#This Row],[weathersit]]=2,"mist",Table1[[#This Row],[weathersit]]=3,"partially dark",Table1[[#This Row],[weathersit]]=4,"rain")</f>
        <v>clear sky</v>
      </c>
    </row>
    <row r="671" spans="1:19" ht="13.8" x14ac:dyDescent="0.3">
      <c r="A671" s="2">
        <v>670</v>
      </c>
      <c r="B671" s="3">
        <v>40574</v>
      </c>
      <c r="C671" s="2">
        <v>1</v>
      </c>
      <c r="D671" s="2">
        <v>0</v>
      </c>
      <c r="E671" s="2">
        <v>1</v>
      </c>
      <c r="F671" s="2">
        <v>5</v>
      </c>
      <c r="G671" s="2" t="b">
        <v>0</v>
      </c>
      <c r="H671" s="2">
        <v>1</v>
      </c>
      <c r="I671" s="2">
        <v>1</v>
      </c>
      <c r="J671" s="2">
        <v>0.18</v>
      </c>
      <c r="K671" s="2">
        <v>0.16669999999999999</v>
      </c>
      <c r="L671" s="2">
        <v>0.64</v>
      </c>
      <c r="M671" s="2">
        <v>0.28360000000000002</v>
      </c>
      <c r="N671" s="2">
        <v>8</v>
      </c>
      <c r="O671" s="2">
        <v>8</v>
      </c>
      <c r="P671" s="2" t="str">
        <f t="shared" si="10"/>
        <v>Monday</v>
      </c>
      <c r="Q671" s="2" t="str">
        <f>IF(Table1[[#This Row],[temp]]&gt;=0.24,"cold","colder")</f>
        <v>colder</v>
      </c>
      <c r="R671" s="2">
        <v>0</v>
      </c>
      <c r="S671" s="16" t="str" cm="1">
        <f t="array" ref="S671">_xlfn.IFS(Table1[[#This Row],[weathersit]]=1,"clear sky",Table1[[#This Row],[weathersit]]=2,"mist",Table1[[#This Row],[weathersit]]=3,"partially dark",Table1[[#This Row],[weathersit]]=4,"rain")</f>
        <v>clear sky</v>
      </c>
    </row>
    <row r="672" spans="1:19" ht="13.8" x14ac:dyDescent="0.3">
      <c r="A672" s="2">
        <v>671</v>
      </c>
      <c r="B672" s="3">
        <v>40574</v>
      </c>
      <c r="C672" s="2">
        <v>1</v>
      </c>
      <c r="D672" s="2">
        <v>0</v>
      </c>
      <c r="E672" s="2">
        <v>1</v>
      </c>
      <c r="F672" s="2">
        <v>6</v>
      </c>
      <c r="G672" s="2" t="b">
        <v>0</v>
      </c>
      <c r="H672" s="2">
        <v>1</v>
      </c>
      <c r="I672" s="2">
        <v>1</v>
      </c>
      <c r="J672" s="2">
        <v>0.16</v>
      </c>
      <c r="K672" s="2">
        <v>0.13639999999999999</v>
      </c>
      <c r="L672" s="2">
        <v>0.69</v>
      </c>
      <c r="M672" s="2">
        <v>0.32840000000000003</v>
      </c>
      <c r="N672" s="2">
        <v>37</v>
      </c>
      <c r="O672" s="2">
        <v>37</v>
      </c>
      <c r="P672" s="2" t="str">
        <f t="shared" si="10"/>
        <v>Monday</v>
      </c>
      <c r="Q672" s="2" t="str">
        <f>IF(Table1[[#This Row],[temp]]&gt;=0.24,"cold","colder")</f>
        <v>colder</v>
      </c>
      <c r="R672" s="2">
        <v>0</v>
      </c>
      <c r="S672" s="16" t="str" cm="1">
        <f t="array" ref="S672">_xlfn.IFS(Table1[[#This Row],[weathersit]]=1,"clear sky",Table1[[#This Row],[weathersit]]=2,"mist",Table1[[#This Row],[weathersit]]=3,"partially dark",Table1[[#This Row],[weathersit]]=4,"rain")</f>
        <v>clear sky</v>
      </c>
    </row>
    <row r="673" spans="1:19" ht="13.8" x14ac:dyDescent="0.3">
      <c r="A673" s="2">
        <v>672</v>
      </c>
      <c r="B673" s="3">
        <v>40574</v>
      </c>
      <c r="C673" s="2">
        <v>1</v>
      </c>
      <c r="D673" s="2">
        <v>0</v>
      </c>
      <c r="E673" s="2">
        <v>1</v>
      </c>
      <c r="F673" s="2">
        <v>7</v>
      </c>
      <c r="G673" s="2" t="b">
        <v>0</v>
      </c>
      <c r="H673" s="2">
        <v>1</v>
      </c>
      <c r="I673" s="2">
        <v>2</v>
      </c>
      <c r="J673" s="2">
        <v>0.16</v>
      </c>
      <c r="K673" s="2">
        <v>0.13639999999999999</v>
      </c>
      <c r="L673" s="2">
        <v>0.64</v>
      </c>
      <c r="M673" s="2">
        <v>0.28360000000000002</v>
      </c>
      <c r="N673" s="2">
        <v>71</v>
      </c>
      <c r="O673" s="2">
        <v>72</v>
      </c>
      <c r="P673" s="2" t="str">
        <f t="shared" si="10"/>
        <v>Monday</v>
      </c>
      <c r="Q673" s="2" t="str">
        <f>IF(Table1[[#This Row],[temp]]&gt;=0.24,"cold","colder")</f>
        <v>colder</v>
      </c>
      <c r="R673" s="2">
        <v>1</v>
      </c>
      <c r="S673" s="16" t="str" cm="1">
        <f t="array" ref="S673">_xlfn.IFS(Table1[[#This Row],[weathersit]]=1,"clear sky",Table1[[#This Row],[weathersit]]=2,"mist",Table1[[#This Row],[weathersit]]=3,"partially dark",Table1[[#This Row],[weathersit]]=4,"rain")</f>
        <v>mist</v>
      </c>
    </row>
    <row r="674" spans="1:19" ht="13.8" x14ac:dyDescent="0.3">
      <c r="A674" s="2">
        <v>673</v>
      </c>
      <c r="B674" s="3">
        <v>40574</v>
      </c>
      <c r="C674" s="2">
        <v>1</v>
      </c>
      <c r="D674" s="2">
        <v>0</v>
      </c>
      <c r="E674" s="2">
        <v>1</v>
      </c>
      <c r="F674" s="2">
        <v>8</v>
      </c>
      <c r="G674" s="2" t="b">
        <v>0</v>
      </c>
      <c r="H674" s="2">
        <v>1</v>
      </c>
      <c r="I674" s="2">
        <v>2</v>
      </c>
      <c r="J674" s="2">
        <v>0.16</v>
      </c>
      <c r="K674" s="2">
        <v>0.13639999999999999</v>
      </c>
      <c r="L674" s="2">
        <v>0.59</v>
      </c>
      <c r="M674" s="2">
        <v>0.28360000000000002</v>
      </c>
      <c r="N674" s="2">
        <v>182</v>
      </c>
      <c r="O674" s="2">
        <v>185</v>
      </c>
      <c r="P674" s="2" t="str">
        <f t="shared" si="10"/>
        <v>Monday</v>
      </c>
      <c r="Q674" s="2" t="str">
        <f>IF(Table1[[#This Row],[temp]]&gt;=0.24,"cold","colder")</f>
        <v>colder</v>
      </c>
      <c r="R674" s="2">
        <v>3</v>
      </c>
      <c r="S674" s="16" t="str" cm="1">
        <f t="array" ref="S674">_xlfn.IFS(Table1[[#This Row],[weathersit]]=1,"clear sky",Table1[[#This Row],[weathersit]]=2,"mist",Table1[[#This Row],[weathersit]]=3,"partially dark",Table1[[#This Row],[weathersit]]=4,"rain")</f>
        <v>mist</v>
      </c>
    </row>
    <row r="675" spans="1:19" ht="13.8" x14ac:dyDescent="0.3">
      <c r="A675" s="2">
        <v>674</v>
      </c>
      <c r="B675" s="3">
        <v>40574</v>
      </c>
      <c r="C675" s="2">
        <v>1</v>
      </c>
      <c r="D675" s="2">
        <v>0</v>
      </c>
      <c r="E675" s="2">
        <v>1</v>
      </c>
      <c r="F675" s="2">
        <v>9</v>
      </c>
      <c r="G675" s="2" t="b">
        <v>0</v>
      </c>
      <c r="H675" s="2">
        <v>1</v>
      </c>
      <c r="I675" s="2">
        <v>2</v>
      </c>
      <c r="J675" s="2">
        <v>0.16</v>
      </c>
      <c r="K675" s="2">
        <v>0.13639999999999999</v>
      </c>
      <c r="L675" s="2">
        <v>0.59</v>
      </c>
      <c r="M675" s="2">
        <v>0.29849999999999999</v>
      </c>
      <c r="N675" s="2">
        <v>112</v>
      </c>
      <c r="O675" s="2">
        <v>112</v>
      </c>
      <c r="P675" s="2" t="str">
        <f t="shared" si="10"/>
        <v>Monday</v>
      </c>
      <c r="Q675" s="2" t="str">
        <f>IF(Table1[[#This Row],[temp]]&gt;=0.24,"cold","colder")</f>
        <v>colder</v>
      </c>
      <c r="R675" s="2">
        <v>0</v>
      </c>
      <c r="S675" s="16" t="str" cm="1">
        <f t="array" ref="S675">_xlfn.IFS(Table1[[#This Row],[weathersit]]=1,"clear sky",Table1[[#This Row],[weathersit]]=2,"mist",Table1[[#This Row],[weathersit]]=3,"partially dark",Table1[[#This Row],[weathersit]]=4,"rain")</f>
        <v>mist</v>
      </c>
    </row>
    <row r="676" spans="1:19" ht="13.8" x14ac:dyDescent="0.3">
      <c r="A676" s="2">
        <v>675</v>
      </c>
      <c r="B676" s="3">
        <v>40574</v>
      </c>
      <c r="C676" s="2">
        <v>1</v>
      </c>
      <c r="D676" s="2">
        <v>0</v>
      </c>
      <c r="E676" s="2">
        <v>1</v>
      </c>
      <c r="F676" s="2">
        <v>10</v>
      </c>
      <c r="G676" s="2" t="b">
        <v>0</v>
      </c>
      <c r="H676" s="2">
        <v>1</v>
      </c>
      <c r="I676" s="2">
        <v>2</v>
      </c>
      <c r="J676" s="2">
        <v>0.16</v>
      </c>
      <c r="K676" s="2">
        <v>0.1515</v>
      </c>
      <c r="L676" s="2">
        <v>0.59</v>
      </c>
      <c r="M676" s="2">
        <v>0.19400000000000001</v>
      </c>
      <c r="N676" s="2">
        <v>68</v>
      </c>
      <c r="O676" s="2">
        <v>69</v>
      </c>
      <c r="P676" s="2" t="str">
        <f t="shared" si="10"/>
        <v>Monday</v>
      </c>
      <c r="Q676" s="2" t="str">
        <f>IF(Table1[[#This Row],[temp]]&gt;=0.24,"cold","colder")</f>
        <v>colder</v>
      </c>
      <c r="R676" s="2">
        <v>1</v>
      </c>
      <c r="S676" s="16" t="str" cm="1">
        <f t="array" ref="S676">_xlfn.IFS(Table1[[#This Row],[weathersit]]=1,"clear sky",Table1[[#This Row],[weathersit]]=2,"mist",Table1[[#This Row],[weathersit]]=3,"partially dark",Table1[[#This Row],[weathersit]]=4,"rain")</f>
        <v>mist</v>
      </c>
    </row>
    <row r="677" spans="1:19" ht="13.8" x14ac:dyDescent="0.3">
      <c r="A677" s="2">
        <v>676</v>
      </c>
      <c r="B677" s="3">
        <v>40574</v>
      </c>
      <c r="C677" s="2">
        <v>1</v>
      </c>
      <c r="D677" s="2">
        <v>0</v>
      </c>
      <c r="E677" s="2">
        <v>1</v>
      </c>
      <c r="F677" s="2">
        <v>11</v>
      </c>
      <c r="G677" s="2" t="b">
        <v>0</v>
      </c>
      <c r="H677" s="2">
        <v>1</v>
      </c>
      <c r="I677" s="2">
        <v>2</v>
      </c>
      <c r="J677" s="2">
        <v>0.16</v>
      </c>
      <c r="K677" s="2">
        <v>0.1515</v>
      </c>
      <c r="L677" s="2">
        <v>0.59</v>
      </c>
      <c r="M677" s="2">
        <v>0.19400000000000001</v>
      </c>
      <c r="N677" s="2">
        <v>46</v>
      </c>
      <c r="O677" s="2">
        <v>48</v>
      </c>
      <c r="P677" s="2" t="str">
        <f t="shared" si="10"/>
        <v>Monday</v>
      </c>
      <c r="Q677" s="2" t="str">
        <f>IF(Table1[[#This Row],[temp]]&gt;=0.24,"cold","colder")</f>
        <v>colder</v>
      </c>
      <c r="R677" s="2">
        <v>2</v>
      </c>
      <c r="S677" s="16" t="str" cm="1">
        <f t="array" ref="S677">_xlfn.IFS(Table1[[#This Row],[weathersit]]=1,"clear sky",Table1[[#This Row],[weathersit]]=2,"mist",Table1[[#This Row],[weathersit]]=3,"partially dark",Table1[[#This Row],[weathersit]]=4,"rain")</f>
        <v>mist</v>
      </c>
    </row>
    <row r="678" spans="1:19" ht="13.8" x14ac:dyDescent="0.3">
      <c r="A678" s="2">
        <v>677</v>
      </c>
      <c r="B678" s="3">
        <v>40574</v>
      </c>
      <c r="C678" s="2">
        <v>1</v>
      </c>
      <c r="D678" s="2">
        <v>0</v>
      </c>
      <c r="E678" s="2">
        <v>1</v>
      </c>
      <c r="F678" s="2">
        <v>12</v>
      </c>
      <c r="G678" s="2" t="b">
        <v>0</v>
      </c>
      <c r="H678" s="2">
        <v>1</v>
      </c>
      <c r="I678" s="2">
        <v>2</v>
      </c>
      <c r="J678" s="2">
        <v>0.18</v>
      </c>
      <c r="K678" s="2">
        <v>0.21210000000000001</v>
      </c>
      <c r="L678" s="2">
        <v>0.55000000000000004</v>
      </c>
      <c r="M678" s="2">
        <v>0.1045</v>
      </c>
      <c r="N678" s="2">
        <v>62</v>
      </c>
      <c r="O678" s="2">
        <v>68</v>
      </c>
      <c r="P678" s="2" t="str">
        <f t="shared" si="10"/>
        <v>Monday</v>
      </c>
      <c r="Q678" s="2" t="str">
        <f>IF(Table1[[#This Row],[temp]]&gt;=0.24,"cold","colder")</f>
        <v>colder</v>
      </c>
      <c r="R678" s="2">
        <v>6</v>
      </c>
      <c r="S678" s="16" t="str" cm="1">
        <f t="array" ref="S678">_xlfn.IFS(Table1[[#This Row],[weathersit]]=1,"clear sky",Table1[[#This Row],[weathersit]]=2,"mist",Table1[[#This Row],[weathersit]]=3,"partially dark",Table1[[#This Row],[weathersit]]=4,"rain")</f>
        <v>mist</v>
      </c>
    </row>
    <row r="679" spans="1:19" ht="13.8" x14ac:dyDescent="0.3">
      <c r="A679" s="2">
        <v>678</v>
      </c>
      <c r="B679" s="3">
        <v>40574</v>
      </c>
      <c r="C679" s="2">
        <v>1</v>
      </c>
      <c r="D679" s="2">
        <v>0</v>
      </c>
      <c r="E679" s="2">
        <v>1</v>
      </c>
      <c r="F679" s="2">
        <v>13</v>
      </c>
      <c r="G679" s="2" t="b">
        <v>0</v>
      </c>
      <c r="H679" s="2">
        <v>1</v>
      </c>
      <c r="I679" s="2">
        <v>2</v>
      </c>
      <c r="J679" s="2">
        <v>0.16</v>
      </c>
      <c r="K679" s="2">
        <v>0.2273</v>
      </c>
      <c r="L679" s="2">
        <v>0.59</v>
      </c>
      <c r="M679" s="2">
        <v>0</v>
      </c>
      <c r="N679" s="2">
        <v>52</v>
      </c>
      <c r="O679" s="2">
        <v>54</v>
      </c>
      <c r="P679" s="2" t="str">
        <f t="shared" si="10"/>
        <v>Monday</v>
      </c>
      <c r="Q679" s="2" t="str">
        <f>IF(Table1[[#This Row],[temp]]&gt;=0.24,"cold","colder")</f>
        <v>colder</v>
      </c>
      <c r="R679" s="2">
        <v>2</v>
      </c>
      <c r="S679" s="16" t="str" cm="1">
        <f t="array" ref="S679">_xlfn.IFS(Table1[[#This Row],[weathersit]]=1,"clear sky",Table1[[#This Row],[weathersit]]=2,"mist",Table1[[#This Row],[weathersit]]=3,"partially dark",Table1[[#This Row],[weathersit]]=4,"rain")</f>
        <v>mist</v>
      </c>
    </row>
    <row r="680" spans="1:19" ht="13.8" x14ac:dyDescent="0.3">
      <c r="A680" s="2">
        <v>679</v>
      </c>
      <c r="B680" s="3">
        <v>40574</v>
      </c>
      <c r="C680" s="2">
        <v>1</v>
      </c>
      <c r="D680" s="2">
        <v>0</v>
      </c>
      <c r="E680" s="2">
        <v>1</v>
      </c>
      <c r="F680" s="2">
        <v>14</v>
      </c>
      <c r="G680" s="2" t="b">
        <v>0</v>
      </c>
      <c r="H680" s="2">
        <v>1</v>
      </c>
      <c r="I680" s="2">
        <v>2</v>
      </c>
      <c r="J680" s="2">
        <v>0.18</v>
      </c>
      <c r="K680" s="2">
        <v>0.19700000000000001</v>
      </c>
      <c r="L680" s="2">
        <v>0.55000000000000004</v>
      </c>
      <c r="M680" s="2">
        <v>0.1343</v>
      </c>
      <c r="N680" s="2">
        <v>85</v>
      </c>
      <c r="O680" s="2">
        <v>86</v>
      </c>
      <c r="P680" s="2" t="str">
        <f t="shared" si="10"/>
        <v>Monday</v>
      </c>
      <c r="Q680" s="2" t="str">
        <f>IF(Table1[[#This Row],[temp]]&gt;=0.24,"cold","colder")</f>
        <v>colder</v>
      </c>
      <c r="R680" s="2">
        <v>1</v>
      </c>
      <c r="S680" s="16" t="str" cm="1">
        <f t="array" ref="S680">_xlfn.IFS(Table1[[#This Row],[weathersit]]=1,"clear sky",Table1[[#This Row],[weathersit]]=2,"mist",Table1[[#This Row],[weathersit]]=3,"partially dark",Table1[[#This Row],[weathersit]]=4,"rain")</f>
        <v>mist</v>
      </c>
    </row>
    <row r="681" spans="1:19" ht="13.8" x14ac:dyDescent="0.3">
      <c r="A681" s="2">
        <v>680</v>
      </c>
      <c r="B681" s="3">
        <v>40574</v>
      </c>
      <c r="C681" s="2">
        <v>1</v>
      </c>
      <c r="D681" s="2">
        <v>0</v>
      </c>
      <c r="E681" s="2">
        <v>1</v>
      </c>
      <c r="F681" s="2">
        <v>15</v>
      </c>
      <c r="G681" s="2" t="b">
        <v>0</v>
      </c>
      <c r="H681" s="2">
        <v>1</v>
      </c>
      <c r="I681" s="2">
        <v>2</v>
      </c>
      <c r="J681" s="2">
        <v>0.16</v>
      </c>
      <c r="K681" s="2">
        <v>0.18179999999999999</v>
      </c>
      <c r="L681" s="2">
        <v>0.59</v>
      </c>
      <c r="M681" s="2">
        <v>0.1343</v>
      </c>
      <c r="N681" s="2">
        <v>41</v>
      </c>
      <c r="O681" s="2">
        <v>44</v>
      </c>
      <c r="P681" s="2" t="str">
        <f t="shared" si="10"/>
        <v>Monday</v>
      </c>
      <c r="Q681" s="2" t="str">
        <f>IF(Table1[[#This Row],[temp]]&gt;=0.24,"cold","colder")</f>
        <v>colder</v>
      </c>
      <c r="R681" s="2">
        <v>3</v>
      </c>
      <c r="S681" s="16" t="str" cm="1">
        <f t="array" ref="S681">_xlfn.IFS(Table1[[#This Row],[weathersit]]=1,"clear sky",Table1[[#This Row],[weathersit]]=2,"mist",Table1[[#This Row],[weathersit]]=3,"partially dark",Table1[[#This Row],[weathersit]]=4,"rain")</f>
        <v>mist</v>
      </c>
    </row>
    <row r="682" spans="1:19" ht="13.8" x14ac:dyDescent="0.3">
      <c r="A682" s="2">
        <v>681</v>
      </c>
      <c r="B682" s="3">
        <v>40574</v>
      </c>
      <c r="C682" s="2">
        <v>1</v>
      </c>
      <c r="D682" s="2">
        <v>0</v>
      </c>
      <c r="E682" s="2">
        <v>1</v>
      </c>
      <c r="F682" s="2">
        <v>16</v>
      </c>
      <c r="G682" s="2" t="b">
        <v>0</v>
      </c>
      <c r="H682" s="2">
        <v>1</v>
      </c>
      <c r="I682" s="2">
        <v>2</v>
      </c>
      <c r="J682" s="2">
        <v>0.16</v>
      </c>
      <c r="K682" s="2">
        <v>0.18179999999999999</v>
      </c>
      <c r="L682" s="2">
        <v>0.56000000000000005</v>
      </c>
      <c r="M682" s="2">
        <v>0.19400000000000001</v>
      </c>
      <c r="N682" s="2">
        <v>83</v>
      </c>
      <c r="O682" s="2">
        <v>86</v>
      </c>
      <c r="P682" s="2" t="str">
        <f t="shared" si="10"/>
        <v>Monday</v>
      </c>
      <c r="Q682" s="2" t="str">
        <f>IF(Table1[[#This Row],[temp]]&gt;=0.24,"cold","colder")</f>
        <v>colder</v>
      </c>
      <c r="R682" s="2">
        <v>3</v>
      </c>
      <c r="S682" s="16" t="str" cm="1">
        <f t="array" ref="S682">_xlfn.IFS(Table1[[#This Row],[weathersit]]=1,"clear sky",Table1[[#This Row],[weathersit]]=2,"mist",Table1[[#This Row],[weathersit]]=3,"partially dark",Table1[[#This Row],[weathersit]]=4,"rain")</f>
        <v>mist</v>
      </c>
    </row>
    <row r="683" spans="1:19" ht="13.8" x14ac:dyDescent="0.3">
      <c r="A683" s="2">
        <v>682</v>
      </c>
      <c r="B683" s="3">
        <v>40574</v>
      </c>
      <c r="C683" s="2">
        <v>1</v>
      </c>
      <c r="D683" s="2">
        <v>0</v>
      </c>
      <c r="E683" s="2">
        <v>1</v>
      </c>
      <c r="F683" s="2">
        <v>17</v>
      </c>
      <c r="G683" s="2" t="b">
        <v>0</v>
      </c>
      <c r="H683" s="2">
        <v>1</v>
      </c>
      <c r="I683" s="2">
        <v>2</v>
      </c>
      <c r="J683" s="2">
        <v>0.16</v>
      </c>
      <c r="K683" s="2">
        <v>0.1515</v>
      </c>
      <c r="L683" s="2">
        <v>0.59</v>
      </c>
      <c r="M683" s="2">
        <v>0.19400000000000001</v>
      </c>
      <c r="N683" s="2">
        <v>155</v>
      </c>
      <c r="O683" s="2">
        <v>161</v>
      </c>
      <c r="P683" s="2" t="str">
        <f t="shared" si="10"/>
        <v>Monday</v>
      </c>
      <c r="Q683" s="2" t="str">
        <f>IF(Table1[[#This Row],[temp]]&gt;=0.24,"cold","colder")</f>
        <v>colder</v>
      </c>
      <c r="R683" s="2">
        <v>6</v>
      </c>
      <c r="S683" s="16" t="str" cm="1">
        <f t="array" ref="S683">_xlfn.IFS(Table1[[#This Row],[weathersit]]=1,"clear sky",Table1[[#This Row],[weathersit]]=2,"mist",Table1[[#This Row],[weathersit]]=3,"partially dark",Table1[[#This Row],[weathersit]]=4,"rain")</f>
        <v>mist</v>
      </c>
    </row>
    <row r="684" spans="1:19" ht="13.8" x14ac:dyDescent="0.3">
      <c r="A684" s="2">
        <v>683</v>
      </c>
      <c r="B684" s="3">
        <v>40574</v>
      </c>
      <c r="C684" s="2">
        <v>1</v>
      </c>
      <c r="D684" s="2">
        <v>0</v>
      </c>
      <c r="E684" s="2">
        <v>1</v>
      </c>
      <c r="F684" s="2">
        <v>18</v>
      </c>
      <c r="G684" s="2" t="b">
        <v>0</v>
      </c>
      <c r="H684" s="2">
        <v>1</v>
      </c>
      <c r="I684" s="2">
        <v>2</v>
      </c>
      <c r="J684" s="2">
        <v>0.16</v>
      </c>
      <c r="K684" s="2">
        <v>0.1515</v>
      </c>
      <c r="L684" s="2">
        <v>0.55000000000000004</v>
      </c>
      <c r="M684" s="2">
        <v>0.22389999999999999</v>
      </c>
      <c r="N684" s="2">
        <v>153</v>
      </c>
      <c r="O684" s="2">
        <v>156</v>
      </c>
      <c r="P684" s="2" t="str">
        <f t="shared" si="10"/>
        <v>Monday</v>
      </c>
      <c r="Q684" s="2" t="str">
        <f>IF(Table1[[#This Row],[temp]]&gt;=0.24,"cold","colder")</f>
        <v>colder</v>
      </c>
      <c r="R684" s="2">
        <v>3</v>
      </c>
      <c r="S684" s="16" t="str" cm="1">
        <f t="array" ref="S684">_xlfn.IFS(Table1[[#This Row],[weathersit]]=1,"clear sky",Table1[[#This Row],[weathersit]]=2,"mist",Table1[[#This Row],[weathersit]]=3,"partially dark",Table1[[#This Row],[weathersit]]=4,"rain")</f>
        <v>mist</v>
      </c>
    </row>
    <row r="685" spans="1:19" ht="13.8" x14ac:dyDescent="0.3">
      <c r="A685" s="2">
        <v>684</v>
      </c>
      <c r="B685" s="3">
        <v>40574</v>
      </c>
      <c r="C685" s="2">
        <v>1</v>
      </c>
      <c r="D685" s="2">
        <v>0</v>
      </c>
      <c r="E685" s="2">
        <v>1</v>
      </c>
      <c r="F685" s="2">
        <v>19</v>
      </c>
      <c r="G685" s="2" t="b">
        <v>0</v>
      </c>
      <c r="H685" s="2">
        <v>1</v>
      </c>
      <c r="I685" s="2">
        <v>1</v>
      </c>
      <c r="J685" s="2">
        <v>0.3</v>
      </c>
      <c r="K685" s="2">
        <v>0.31819999999999998</v>
      </c>
      <c r="L685" s="2">
        <v>0.61</v>
      </c>
      <c r="M685" s="2">
        <v>0.1045</v>
      </c>
      <c r="N685" s="2">
        <v>108</v>
      </c>
      <c r="O685" s="2">
        <v>111</v>
      </c>
      <c r="P685" s="2" t="str">
        <f t="shared" si="10"/>
        <v>Monday</v>
      </c>
      <c r="Q685" s="2" t="str">
        <f>IF(Table1[[#This Row],[temp]]&gt;=0.24,"cold","colder")</f>
        <v>cold</v>
      </c>
      <c r="R685" s="2">
        <v>3</v>
      </c>
      <c r="S685" s="16" t="str" cm="1">
        <f t="array" ref="S685">_xlfn.IFS(Table1[[#This Row],[weathersit]]=1,"clear sky",Table1[[#This Row],[weathersit]]=2,"mist",Table1[[#This Row],[weathersit]]=3,"partially dark",Table1[[#This Row],[weathersit]]=4,"rain")</f>
        <v>clear sky</v>
      </c>
    </row>
    <row r="686" spans="1:19" ht="13.8" x14ac:dyDescent="0.3">
      <c r="A686" s="2">
        <v>685</v>
      </c>
      <c r="B686" s="3">
        <v>40574</v>
      </c>
      <c r="C686" s="2">
        <v>1</v>
      </c>
      <c r="D686" s="2">
        <v>0</v>
      </c>
      <c r="E686" s="2">
        <v>1</v>
      </c>
      <c r="F686" s="2">
        <v>20</v>
      </c>
      <c r="G686" s="2" t="b">
        <v>0</v>
      </c>
      <c r="H686" s="2">
        <v>1</v>
      </c>
      <c r="I686" s="2">
        <v>3</v>
      </c>
      <c r="J686" s="2">
        <v>0.16</v>
      </c>
      <c r="K686" s="2">
        <v>0.16669999999999999</v>
      </c>
      <c r="L686" s="2">
        <v>0.59</v>
      </c>
      <c r="M686" s="2">
        <v>0.16420000000000001</v>
      </c>
      <c r="N686" s="2">
        <v>78</v>
      </c>
      <c r="O686" s="2">
        <v>78</v>
      </c>
      <c r="P686" s="2" t="str">
        <f t="shared" si="10"/>
        <v>Monday</v>
      </c>
      <c r="Q686" s="2" t="str">
        <f>IF(Table1[[#This Row],[temp]]&gt;=0.24,"cold","colder")</f>
        <v>colder</v>
      </c>
      <c r="R686" s="2">
        <v>0</v>
      </c>
      <c r="S686" s="16" t="str" cm="1">
        <f t="array" ref="S686">_xlfn.IFS(Table1[[#This Row],[weathersit]]=1,"clear sky",Table1[[#This Row],[weathersit]]=2,"mist",Table1[[#This Row],[weathersit]]=3,"partially dark",Table1[[#This Row],[weathersit]]=4,"rain")</f>
        <v>partially dark</v>
      </c>
    </row>
    <row r="687" spans="1:19" ht="13.8" x14ac:dyDescent="0.3">
      <c r="A687" s="2">
        <v>686</v>
      </c>
      <c r="B687" s="3">
        <v>40574</v>
      </c>
      <c r="C687" s="2">
        <v>1</v>
      </c>
      <c r="D687" s="2">
        <v>0</v>
      </c>
      <c r="E687" s="2">
        <v>1</v>
      </c>
      <c r="F687" s="2">
        <v>21</v>
      </c>
      <c r="G687" s="2" t="b">
        <v>0</v>
      </c>
      <c r="H687" s="2">
        <v>1</v>
      </c>
      <c r="I687" s="2">
        <v>3</v>
      </c>
      <c r="J687" s="2">
        <v>0.16</v>
      </c>
      <c r="K687" s="2">
        <v>0.19700000000000001</v>
      </c>
      <c r="L687" s="2">
        <v>0.59</v>
      </c>
      <c r="M687" s="2">
        <v>8.9599999999999999E-2</v>
      </c>
      <c r="N687" s="2">
        <v>53</v>
      </c>
      <c r="O687" s="2">
        <v>56</v>
      </c>
      <c r="P687" s="2" t="str">
        <f t="shared" si="10"/>
        <v>Monday</v>
      </c>
      <c r="Q687" s="2" t="str">
        <f>IF(Table1[[#This Row],[temp]]&gt;=0.24,"cold","colder")</f>
        <v>colder</v>
      </c>
      <c r="R687" s="2">
        <v>3</v>
      </c>
      <c r="S687" s="16" t="str" cm="1">
        <f t="array" ref="S687">_xlfn.IFS(Table1[[#This Row],[weathersit]]=1,"clear sky",Table1[[#This Row],[weathersit]]=2,"mist",Table1[[#This Row],[weathersit]]=3,"partially dark",Table1[[#This Row],[weathersit]]=4,"rain")</f>
        <v>partially dark</v>
      </c>
    </row>
    <row r="688" spans="1:19" ht="13.8" x14ac:dyDescent="0.3">
      <c r="A688" s="2">
        <v>687</v>
      </c>
      <c r="B688" s="3">
        <v>40574</v>
      </c>
      <c r="C688" s="2">
        <v>1</v>
      </c>
      <c r="D688" s="2">
        <v>0</v>
      </c>
      <c r="E688" s="2">
        <v>1</v>
      </c>
      <c r="F688" s="2">
        <v>22</v>
      </c>
      <c r="G688" s="2" t="b">
        <v>0</v>
      </c>
      <c r="H688" s="2">
        <v>1</v>
      </c>
      <c r="I688" s="2">
        <v>2</v>
      </c>
      <c r="J688" s="2">
        <v>0.16</v>
      </c>
      <c r="K688" s="2">
        <v>0.18179999999999999</v>
      </c>
      <c r="L688" s="2">
        <v>0.59</v>
      </c>
      <c r="M688" s="2">
        <v>0.1045</v>
      </c>
      <c r="N688" s="2">
        <v>34</v>
      </c>
      <c r="O688" s="2">
        <v>34</v>
      </c>
      <c r="P688" s="2" t="str">
        <f t="shared" si="10"/>
        <v>Monday</v>
      </c>
      <c r="Q688" s="2" t="str">
        <f>IF(Table1[[#This Row],[temp]]&gt;=0.24,"cold","colder")</f>
        <v>colder</v>
      </c>
      <c r="R688" s="2">
        <v>0</v>
      </c>
      <c r="S688" s="16" t="str" cm="1">
        <f t="array" ref="S688">_xlfn.IFS(Table1[[#This Row],[weathersit]]=1,"clear sky",Table1[[#This Row],[weathersit]]=2,"mist",Table1[[#This Row],[weathersit]]=3,"partially dark",Table1[[#This Row],[weathersit]]=4,"rain")</f>
        <v>mist</v>
      </c>
    </row>
    <row r="689" spans="1:19" ht="13.8" x14ac:dyDescent="0.3">
      <c r="A689" s="2">
        <v>688</v>
      </c>
      <c r="B689" s="3">
        <v>40574</v>
      </c>
      <c r="C689" s="2">
        <v>1</v>
      </c>
      <c r="D689" s="2">
        <v>0</v>
      </c>
      <c r="E689" s="2">
        <v>1</v>
      </c>
      <c r="F689" s="2">
        <v>23</v>
      </c>
      <c r="G689" s="2" t="b">
        <v>0</v>
      </c>
      <c r="H689" s="2">
        <v>1</v>
      </c>
      <c r="I689" s="2">
        <v>2</v>
      </c>
      <c r="J689" s="2">
        <v>0.16</v>
      </c>
      <c r="K689" s="2">
        <v>0.19700000000000001</v>
      </c>
      <c r="L689" s="2">
        <v>0.64</v>
      </c>
      <c r="M689" s="2">
        <v>8.9599999999999999E-2</v>
      </c>
      <c r="N689" s="2">
        <v>15</v>
      </c>
      <c r="O689" s="2">
        <v>17</v>
      </c>
      <c r="P689" s="2" t="str">
        <f t="shared" si="10"/>
        <v>Monday</v>
      </c>
      <c r="Q689" s="2" t="str">
        <f>IF(Table1[[#This Row],[temp]]&gt;=0.24,"cold","colder")</f>
        <v>colder</v>
      </c>
      <c r="R689" s="2">
        <v>2</v>
      </c>
      <c r="S689" s="16" t="str" cm="1">
        <f t="array" ref="S689">_xlfn.IFS(Table1[[#This Row],[weathersit]]=1,"clear sky",Table1[[#This Row],[weathersit]]=2,"mist",Table1[[#This Row],[weathersit]]=3,"partially dark",Table1[[#This Row],[weathersit]]=4,"rain")</f>
        <v>mist</v>
      </c>
    </row>
    <row r="690" spans="1:19" ht="13.8" x14ac:dyDescent="0.3">
      <c r="A690" s="2">
        <v>689</v>
      </c>
      <c r="B690" s="3">
        <v>40575</v>
      </c>
      <c r="C690" s="2">
        <v>1</v>
      </c>
      <c r="D690" s="2">
        <v>0</v>
      </c>
      <c r="E690" s="2">
        <v>2</v>
      </c>
      <c r="F690" s="2">
        <v>0</v>
      </c>
      <c r="G690" s="2" t="b">
        <v>0</v>
      </c>
      <c r="H690" s="2">
        <v>2</v>
      </c>
      <c r="I690" s="2">
        <v>2</v>
      </c>
      <c r="J690" s="2">
        <v>0.16</v>
      </c>
      <c r="K690" s="2">
        <v>0.18179999999999999</v>
      </c>
      <c r="L690" s="2">
        <v>0.64</v>
      </c>
      <c r="M690" s="2">
        <v>0.1045</v>
      </c>
      <c r="N690" s="2">
        <v>6</v>
      </c>
      <c r="O690" s="2">
        <v>8</v>
      </c>
      <c r="P690" s="2" t="str">
        <f t="shared" si="10"/>
        <v>Tuesday</v>
      </c>
      <c r="Q690" s="2" t="str">
        <f>IF(Table1[[#This Row],[temp]]&gt;=0.24,"cold","colder")</f>
        <v>colder</v>
      </c>
      <c r="R690" s="2">
        <v>2</v>
      </c>
      <c r="S690" s="16" t="str" cm="1">
        <f t="array" ref="S690">_xlfn.IFS(Table1[[#This Row],[weathersit]]=1,"clear sky",Table1[[#This Row],[weathersit]]=2,"mist",Table1[[#This Row],[weathersit]]=3,"partially dark",Table1[[#This Row],[weathersit]]=4,"rain")</f>
        <v>mist</v>
      </c>
    </row>
    <row r="691" spans="1:19" ht="13.8" x14ac:dyDescent="0.3">
      <c r="A691" s="2">
        <v>690</v>
      </c>
      <c r="B691" s="3">
        <v>40575</v>
      </c>
      <c r="C691" s="2">
        <v>1</v>
      </c>
      <c r="D691" s="2">
        <v>0</v>
      </c>
      <c r="E691" s="2">
        <v>2</v>
      </c>
      <c r="F691" s="2">
        <v>1</v>
      </c>
      <c r="G691" s="2" t="b">
        <v>0</v>
      </c>
      <c r="H691" s="2">
        <v>2</v>
      </c>
      <c r="I691" s="2">
        <v>2</v>
      </c>
      <c r="J691" s="2">
        <v>0.16</v>
      </c>
      <c r="K691" s="2">
        <v>0.18179999999999999</v>
      </c>
      <c r="L691" s="2">
        <v>0.69</v>
      </c>
      <c r="M691" s="2">
        <v>0.1045</v>
      </c>
      <c r="N691" s="2">
        <v>3</v>
      </c>
      <c r="O691" s="2">
        <v>3</v>
      </c>
      <c r="P691" s="2" t="str">
        <f t="shared" si="10"/>
        <v>Tuesday</v>
      </c>
      <c r="Q691" s="2" t="str">
        <f>IF(Table1[[#This Row],[temp]]&gt;=0.24,"cold","colder")</f>
        <v>colder</v>
      </c>
      <c r="R691" s="2">
        <v>0</v>
      </c>
      <c r="S691" s="16" t="str" cm="1">
        <f t="array" ref="S691">_xlfn.IFS(Table1[[#This Row],[weathersit]]=1,"clear sky",Table1[[#This Row],[weathersit]]=2,"mist",Table1[[#This Row],[weathersit]]=3,"partially dark",Table1[[#This Row],[weathersit]]=4,"rain")</f>
        <v>mist</v>
      </c>
    </row>
    <row r="692" spans="1:19" ht="13.8" x14ac:dyDescent="0.3">
      <c r="A692" s="2">
        <v>691</v>
      </c>
      <c r="B692" s="3">
        <v>40575</v>
      </c>
      <c r="C692" s="2">
        <v>1</v>
      </c>
      <c r="D692" s="2">
        <v>0</v>
      </c>
      <c r="E692" s="2">
        <v>2</v>
      </c>
      <c r="F692" s="2">
        <v>2</v>
      </c>
      <c r="G692" s="2" t="b">
        <v>0</v>
      </c>
      <c r="H692" s="2">
        <v>2</v>
      </c>
      <c r="I692" s="2">
        <v>2</v>
      </c>
      <c r="J692" s="2">
        <v>0.16</v>
      </c>
      <c r="K692" s="2">
        <v>0.2273</v>
      </c>
      <c r="L692" s="2">
        <v>0.69</v>
      </c>
      <c r="M692" s="2">
        <v>0</v>
      </c>
      <c r="N692" s="2">
        <v>2</v>
      </c>
      <c r="O692" s="2">
        <v>2</v>
      </c>
      <c r="P692" s="2" t="str">
        <f t="shared" si="10"/>
        <v>Tuesday</v>
      </c>
      <c r="Q692" s="2" t="str">
        <f>IF(Table1[[#This Row],[temp]]&gt;=0.24,"cold","colder")</f>
        <v>colder</v>
      </c>
      <c r="R692" s="2">
        <v>0</v>
      </c>
      <c r="S692" s="16" t="str" cm="1">
        <f t="array" ref="S692">_xlfn.IFS(Table1[[#This Row],[weathersit]]=1,"clear sky",Table1[[#This Row],[weathersit]]=2,"mist",Table1[[#This Row],[weathersit]]=3,"partially dark",Table1[[#This Row],[weathersit]]=4,"rain")</f>
        <v>mist</v>
      </c>
    </row>
    <row r="693" spans="1:19" ht="13.8" x14ac:dyDescent="0.3">
      <c r="A693" s="2">
        <v>692</v>
      </c>
      <c r="B693" s="3">
        <v>40575</v>
      </c>
      <c r="C693" s="2">
        <v>1</v>
      </c>
      <c r="D693" s="2">
        <v>0</v>
      </c>
      <c r="E693" s="2">
        <v>2</v>
      </c>
      <c r="F693" s="2">
        <v>3</v>
      </c>
      <c r="G693" s="2" t="b">
        <v>0</v>
      </c>
      <c r="H693" s="2">
        <v>2</v>
      </c>
      <c r="I693" s="2">
        <v>2</v>
      </c>
      <c r="J693" s="2">
        <v>0.16</v>
      </c>
      <c r="K693" s="2">
        <v>0.2273</v>
      </c>
      <c r="L693" s="2">
        <v>0.69</v>
      </c>
      <c r="M693" s="2">
        <v>0</v>
      </c>
      <c r="N693" s="2">
        <v>2</v>
      </c>
      <c r="O693" s="2">
        <v>2</v>
      </c>
      <c r="P693" s="2" t="str">
        <f t="shared" si="10"/>
        <v>Tuesday</v>
      </c>
      <c r="Q693" s="2" t="str">
        <f>IF(Table1[[#This Row],[temp]]&gt;=0.24,"cold","colder")</f>
        <v>colder</v>
      </c>
      <c r="R693" s="2">
        <v>0</v>
      </c>
      <c r="S693" s="16" t="str" cm="1">
        <f t="array" ref="S693">_xlfn.IFS(Table1[[#This Row],[weathersit]]=1,"clear sky",Table1[[#This Row],[weathersit]]=2,"mist",Table1[[#This Row],[weathersit]]=3,"partially dark",Table1[[#This Row],[weathersit]]=4,"rain")</f>
        <v>mist</v>
      </c>
    </row>
    <row r="694" spans="1:19" ht="13.8" x14ac:dyDescent="0.3">
      <c r="A694" s="2">
        <v>693</v>
      </c>
      <c r="B694" s="3">
        <v>40575</v>
      </c>
      <c r="C694" s="2">
        <v>1</v>
      </c>
      <c r="D694" s="2">
        <v>0</v>
      </c>
      <c r="E694" s="2">
        <v>2</v>
      </c>
      <c r="F694" s="2">
        <v>5</v>
      </c>
      <c r="G694" s="2" t="b">
        <v>0</v>
      </c>
      <c r="H694" s="2">
        <v>2</v>
      </c>
      <c r="I694" s="2">
        <v>3</v>
      </c>
      <c r="J694" s="2">
        <v>0.14000000000000001</v>
      </c>
      <c r="K694" s="2">
        <v>0.21210000000000001</v>
      </c>
      <c r="L694" s="2">
        <v>0.93</v>
      </c>
      <c r="M694" s="2">
        <v>0</v>
      </c>
      <c r="N694" s="2">
        <v>3</v>
      </c>
      <c r="O694" s="2">
        <v>3</v>
      </c>
      <c r="P694" s="2" t="str">
        <f t="shared" si="10"/>
        <v>Tuesday</v>
      </c>
      <c r="Q694" s="2" t="str">
        <f>IF(Table1[[#This Row],[temp]]&gt;=0.24,"cold","colder")</f>
        <v>colder</v>
      </c>
      <c r="R694" s="2">
        <v>0</v>
      </c>
      <c r="S694" s="16" t="str" cm="1">
        <f t="array" ref="S694">_xlfn.IFS(Table1[[#This Row],[weathersit]]=1,"clear sky",Table1[[#This Row],[weathersit]]=2,"mist",Table1[[#This Row],[weathersit]]=3,"partially dark",Table1[[#This Row],[weathersit]]=4,"rain")</f>
        <v>partially dark</v>
      </c>
    </row>
    <row r="695" spans="1:19" ht="13.8" x14ac:dyDescent="0.3">
      <c r="A695" s="2">
        <v>694</v>
      </c>
      <c r="B695" s="3">
        <v>40575</v>
      </c>
      <c r="C695" s="2">
        <v>1</v>
      </c>
      <c r="D695" s="2">
        <v>0</v>
      </c>
      <c r="E695" s="2">
        <v>2</v>
      </c>
      <c r="F695" s="2">
        <v>6</v>
      </c>
      <c r="G695" s="2" t="b">
        <v>0</v>
      </c>
      <c r="H695" s="2">
        <v>2</v>
      </c>
      <c r="I695" s="2">
        <v>3</v>
      </c>
      <c r="J695" s="2">
        <v>0.14000000000000001</v>
      </c>
      <c r="K695" s="2">
        <v>0.21210000000000001</v>
      </c>
      <c r="L695" s="2">
        <v>0.93</v>
      </c>
      <c r="M695" s="2">
        <v>0</v>
      </c>
      <c r="N695" s="2">
        <v>22</v>
      </c>
      <c r="O695" s="2">
        <v>22</v>
      </c>
      <c r="P695" s="2" t="str">
        <f t="shared" si="10"/>
        <v>Tuesday</v>
      </c>
      <c r="Q695" s="2" t="str">
        <f>IF(Table1[[#This Row],[temp]]&gt;=0.24,"cold","colder")</f>
        <v>colder</v>
      </c>
      <c r="R695" s="2">
        <v>0</v>
      </c>
      <c r="S695" s="16" t="str" cm="1">
        <f t="array" ref="S695">_xlfn.IFS(Table1[[#This Row],[weathersit]]=1,"clear sky",Table1[[#This Row],[weathersit]]=2,"mist",Table1[[#This Row],[weathersit]]=3,"partially dark",Table1[[#This Row],[weathersit]]=4,"rain")</f>
        <v>partially dark</v>
      </c>
    </row>
    <row r="696" spans="1:19" ht="13.8" x14ac:dyDescent="0.3">
      <c r="A696" s="2">
        <v>695</v>
      </c>
      <c r="B696" s="3">
        <v>40575</v>
      </c>
      <c r="C696" s="2">
        <v>1</v>
      </c>
      <c r="D696" s="2">
        <v>0</v>
      </c>
      <c r="E696" s="2">
        <v>2</v>
      </c>
      <c r="F696" s="2">
        <v>7</v>
      </c>
      <c r="G696" s="2" t="b">
        <v>0</v>
      </c>
      <c r="H696" s="2">
        <v>2</v>
      </c>
      <c r="I696" s="2">
        <v>3</v>
      </c>
      <c r="J696" s="2">
        <v>0.16</v>
      </c>
      <c r="K696" s="2">
        <v>0.2273</v>
      </c>
      <c r="L696" s="2">
        <v>0.93</v>
      </c>
      <c r="M696" s="2">
        <v>0</v>
      </c>
      <c r="N696" s="2">
        <v>52</v>
      </c>
      <c r="O696" s="2">
        <v>52</v>
      </c>
      <c r="P696" s="2" t="str">
        <f t="shared" si="10"/>
        <v>Tuesday</v>
      </c>
      <c r="Q696" s="2" t="str">
        <f>IF(Table1[[#This Row],[temp]]&gt;=0.24,"cold","colder")</f>
        <v>colder</v>
      </c>
      <c r="R696" s="2">
        <v>0</v>
      </c>
      <c r="S696" s="16" t="str" cm="1">
        <f t="array" ref="S696">_xlfn.IFS(Table1[[#This Row],[weathersit]]=1,"clear sky",Table1[[#This Row],[weathersit]]=2,"mist",Table1[[#This Row],[weathersit]]=3,"partially dark",Table1[[#This Row],[weathersit]]=4,"rain")</f>
        <v>partially dark</v>
      </c>
    </row>
    <row r="697" spans="1:19" ht="13.8" x14ac:dyDescent="0.3">
      <c r="A697" s="2">
        <v>696</v>
      </c>
      <c r="B697" s="3">
        <v>40575</v>
      </c>
      <c r="C697" s="2">
        <v>1</v>
      </c>
      <c r="D697" s="2">
        <v>0</v>
      </c>
      <c r="E697" s="2">
        <v>2</v>
      </c>
      <c r="F697" s="2">
        <v>8</v>
      </c>
      <c r="G697" s="2" t="b">
        <v>0</v>
      </c>
      <c r="H697" s="2">
        <v>2</v>
      </c>
      <c r="I697" s="2">
        <v>3</v>
      </c>
      <c r="J697" s="2">
        <v>0.16</v>
      </c>
      <c r="K697" s="2">
        <v>0.2273</v>
      </c>
      <c r="L697" s="2">
        <v>0.93</v>
      </c>
      <c r="M697" s="2">
        <v>0</v>
      </c>
      <c r="N697" s="2">
        <v>132</v>
      </c>
      <c r="O697" s="2">
        <v>135</v>
      </c>
      <c r="P697" s="2" t="str">
        <f t="shared" si="10"/>
        <v>Tuesday</v>
      </c>
      <c r="Q697" s="2" t="str">
        <f>IF(Table1[[#This Row],[temp]]&gt;=0.24,"cold","colder")</f>
        <v>colder</v>
      </c>
      <c r="R697" s="2">
        <v>3</v>
      </c>
      <c r="S697" s="16" t="str" cm="1">
        <f t="array" ref="S697">_xlfn.IFS(Table1[[#This Row],[weathersit]]=1,"clear sky",Table1[[#This Row],[weathersit]]=2,"mist",Table1[[#This Row],[weathersit]]=3,"partially dark",Table1[[#This Row],[weathersit]]=4,"rain")</f>
        <v>partially dark</v>
      </c>
    </row>
    <row r="698" spans="1:19" ht="13.8" x14ac:dyDescent="0.3">
      <c r="A698" s="2">
        <v>697</v>
      </c>
      <c r="B698" s="3">
        <v>40575</v>
      </c>
      <c r="C698" s="2">
        <v>1</v>
      </c>
      <c r="D698" s="2">
        <v>0</v>
      </c>
      <c r="E698" s="2">
        <v>2</v>
      </c>
      <c r="F698" s="2">
        <v>9</v>
      </c>
      <c r="G698" s="2" t="b">
        <v>0</v>
      </c>
      <c r="H698" s="2">
        <v>2</v>
      </c>
      <c r="I698" s="2">
        <v>2</v>
      </c>
      <c r="J698" s="2">
        <v>0.16</v>
      </c>
      <c r="K698" s="2">
        <v>0.2273</v>
      </c>
      <c r="L698" s="2">
        <v>0.93</v>
      </c>
      <c r="M698" s="2">
        <v>0</v>
      </c>
      <c r="N698" s="2">
        <v>114</v>
      </c>
      <c r="O698" s="2">
        <v>116</v>
      </c>
      <c r="P698" s="2" t="str">
        <f t="shared" si="10"/>
        <v>Tuesday</v>
      </c>
      <c r="Q698" s="2" t="str">
        <f>IF(Table1[[#This Row],[temp]]&gt;=0.24,"cold","colder")</f>
        <v>colder</v>
      </c>
      <c r="R698" s="2">
        <v>2</v>
      </c>
      <c r="S698" s="16" t="str" cm="1">
        <f t="array" ref="S698">_xlfn.IFS(Table1[[#This Row],[weathersit]]=1,"clear sky",Table1[[#This Row],[weathersit]]=2,"mist",Table1[[#This Row],[weathersit]]=3,"partially dark",Table1[[#This Row],[weathersit]]=4,"rain")</f>
        <v>mist</v>
      </c>
    </row>
    <row r="699" spans="1:19" ht="13.8" x14ac:dyDescent="0.3">
      <c r="A699" s="2">
        <v>698</v>
      </c>
      <c r="B699" s="3">
        <v>40575</v>
      </c>
      <c r="C699" s="2">
        <v>1</v>
      </c>
      <c r="D699" s="2">
        <v>0</v>
      </c>
      <c r="E699" s="2">
        <v>2</v>
      </c>
      <c r="F699" s="2">
        <v>10</v>
      </c>
      <c r="G699" s="2" t="b">
        <v>0</v>
      </c>
      <c r="H699" s="2">
        <v>2</v>
      </c>
      <c r="I699" s="2">
        <v>2</v>
      </c>
      <c r="J699" s="2">
        <v>0.16</v>
      </c>
      <c r="K699" s="2">
        <v>0.2273</v>
      </c>
      <c r="L699" s="2">
        <v>0.93</v>
      </c>
      <c r="M699" s="2">
        <v>0</v>
      </c>
      <c r="N699" s="2">
        <v>47</v>
      </c>
      <c r="O699" s="2">
        <v>47</v>
      </c>
      <c r="P699" s="2" t="str">
        <f t="shared" si="10"/>
        <v>Tuesday</v>
      </c>
      <c r="Q699" s="2" t="str">
        <f>IF(Table1[[#This Row],[temp]]&gt;=0.24,"cold","colder")</f>
        <v>colder</v>
      </c>
      <c r="R699" s="2">
        <v>0</v>
      </c>
      <c r="S699" s="16" t="str" cm="1">
        <f t="array" ref="S699">_xlfn.IFS(Table1[[#This Row],[weathersit]]=1,"clear sky",Table1[[#This Row],[weathersit]]=2,"mist",Table1[[#This Row],[weathersit]]=3,"partially dark",Table1[[#This Row],[weathersit]]=4,"rain")</f>
        <v>mist</v>
      </c>
    </row>
    <row r="700" spans="1:19" ht="13.8" x14ac:dyDescent="0.3">
      <c r="A700" s="2">
        <v>699</v>
      </c>
      <c r="B700" s="3">
        <v>40575</v>
      </c>
      <c r="C700" s="2">
        <v>1</v>
      </c>
      <c r="D700" s="2">
        <v>0</v>
      </c>
      <c r="E700" s="2">
        <v>2</v>
      </c>
      <c r="F700" s="2">
        <v>11</v>
      </c>
      <c r="G700" s="2" t="b">
        <v>0</v>
      </c>
      <c r="H700" s="2">
        <v>2</v>
      </c>
      <c r="I700" s="2">
        <v>2</v>
      </c>
      <c r="J700" s="2">
        <v>0.18</v>
      </c>
      <c r="K700" s="2">
        <v>0.2424</v>
      </c>
      <c r="L700" s="2">
        <v>0.86</v>
      </c>
      <c r="M700" s="2">
        <v>0</v>
      </c>
      <c r="N700" s="2">
        <v>49</v>
      </c>
      <c r="O700" s="2">
        <v>51</v>
      </c>
      <c r="P700" s="2" t="str">
        <f t="shared" si="10"/>
        <v>Tuesday</v>
      </c>
      <c r="Q700" s="2" t="str">
        <f>IF(Table1[[#This Row],[temp]]&gt;=0.24,"cold","colder")</f>
        <v>colder</v>
      </c>
      <c r="R700" s="2">
        <v>2</v>
      </c>
      <c r="S700" s="16" t="str" cm="1">
        <f t="array" ref="S700">_xlfn.IFS(Table1[[#This Row],[weathersit]]=1,"clear sky",Table1[[#This Row],[weathersit]]=2,"mist",Table1[[#This Row],[weathersit]]=3,"partially dark",Table1[[#This Row],[weathersit]]=4,"rain")</f>
        <v>mist</v>
      </c>
    </row>
    <row r="701" spans="1:19" ht="13.8" x14ac:dyDescent="0.3">
      <c r="A701" s="2">
        <v>700</v>
      </c>
      <c r="B701" s="3">
        <v>40575</v>
      </c>
      <c r="C701" s="2">
        <v>1</v>
      </c>
      <c r="D701" s="2">
        <v>0</v>
      </c>
      <c r="E701" s="2">
        <v>2</v>
      </c>
      <c r="F701" s="2">
        <v>12</v>
      </c>
      <c r="G701" s="2" t="b">
        <v>0</v>
      </c>
      <c r="H701" s="2">
        <v>2</v>
      </c>
      <c r="I701" s="2">
        <v>2</v>
      </c>
      <c r="J701" s="2">
        <v>0.2</v>
      </c>
      <c r="K701" s="2">
        <v>0.2576</v>
      </c>
      <c r="L701" s="2">
        <v>0.86</v>
      </c>
      <c r="M701" s="2">
        <v>0</v>
      </c>
      <c r="N701" s="2">
        <v>53</v>
      </c>
      <c r="O701" s="2">
        <v>55</v>
      </c>
      <c r="P701" s="2" t="str">
        <f t="shared" si="10"/>
        <v>Tuesday</v>
      </c>
      <c r="Q701" s="2" t="str">
        <f>IF(Table1[[#This Row],[temp]]&gt;=0.24,"cold","colder")</f>
        <v>colder</v>
      </c>
      <c r="R701" s="2">
        <v>2</v>
      </c>
      <c r="S701" s="16" t="str" cm="1">
        <f t="array" ref="S701">_xlfn.IFS(Table1[[#This Row],[weathersit]]=1,"clear sky",Table1[[#This Row],[weathersit]]=2,"mist",Table1[[#This Row],[weathersit]]=3,"partially dark",Table1[[#This Row],[weathersit]]=4,"rain")</f>
        <v>mist</v>
      </c>
    </row>
    <row r="702" spans="1:19" ht="13.8" x14ac:dyDescent="0.3">
      <c r="A702" s="2">
        <v>701</v>
      </c>
      <c r="B702" s="3">
        <v>40575</v>
      </c>
      <c r="C702" s="2">
        <v>1</v>
      </c>
      <c r="D702" s="2">
        <v>0</v>
      </c>
      <c r="E702" s="2">
        <v>2</v>
      </c>
      <c r="F702" s="2">
        <v>13</v>
      </c>
      <c r="G702" s="2" t="b">
        <v>0</v>
      </c>
      <c r="H702" s="2">
        <v>2</v>
      </c>
      <c r="I702" s="2">
        <v>2</v>
      </c>
      <c r="J702" s="2">
        <v>0.2</v>
      </c>
      <c r="K702" s="2">
        <v>0.2576</v>
      </c>
      <c r="L702" s="2">
        <v>0.86</v>
      </c>
      <c r="M702" s="2">
        <v>0</v>
      </c>
      <c r="N702" s="2">
        <v>49</v>
      </c>
      <c r="O702" s="2">
        <v>52</v>
      </c>
      <c r="P702" s="2" t="str">
        <f t="shared" si="10"/>
        <v>Tuesday</v>
      </c>
      <c r="Q702" s="2" t="str">
        <f>IF(Table1[[#This Row],[temp]]&gt;=0.24,"cold","colder")</f>
        <v>colder</v>
      </c>
      <c r="R702" s="2">
        <v>3</v>
      </c>
      <c r="S702" s="16" t="str" cm="1">
        <f t="array" ref="S702">_xlfn.IFS(Table1[[#This Row],[weathersit]]=1,"clear sky",Table1[[#This Row],[weathersit]]=2,"mist",Table1[[#This Row],[weathersit]]=3,"partially dark",Table1[[#This Row],[weathersit]]=4,"rain")</f>
        <v>mist</v>
      </c>
    </row>
    <row r="703" spans="1:19" ht="13.8" x14ac:dyDescent="0.3">
      <c r="A703" s="2">
        <v>702</v>
      </c>
      <c r="B703" s="3">
        <v>40575</v>
      </c>
      <c r="C703" s="2">
        <v>1</v>
      </c>
      <c r="D703" s="2">
        <v>0</v>
      </c>
      <c r="E703" s="2">
        <v>2</v>
      </c>
      <c r="F703" s="2">
        <v>14</v>
      </c>
      <c r="G703" s="2" t="b">
        <v>0</v>
      </c>
      <c r="H703" s="2">
        <v>2</v>
      </c>
      <c r="I703" s="2">
        <v>2</v>
      </c>
      <c r="J703" s="2">
        <v>0.22</v>
      </c>
      <c r="K703" s="2">
        <v>0.2576</v>
      </c>
      <c r="L703" s="2">
        <v>0.8</v>
      </c>
      <c r="M703" s="2">
        <v>8.9599999999999999E-2</v>
      </c>
      <c r="N703" s="2">
        <v>49</v>
      </c>
      <c r="O703" s="2">
        <v>54</v>
      </c>
      <c r="P703" s="2" t="str">
        <f t="shared" si="10"/>
        <v>Tuesday</v>
      </c>
      <c r="Q703" s="2" t="str">
        <f>IF(Table1[[#This Row],[temp]]&gt;=0.24,"cold","colder")</f>
        <v>colder</v>
      </c>
      <c r="R703" s="2">
        <v>5</v>
      </c>
      <c r="S703" s="16" t="str" cm="1">
        <f t="array" ref="S703">_xlfn.IFS(Table1[[#This Row],[weathersit]]=1,"clear sky",Table1[[#This Row],[weathersit]]=2,"mist",Table1[[#This Row],[weathersit]]=3,"partially dark",Table1[[#This Row],[weathersit]]=4,"rain")</f>
        <v>mist</v>
      </c>
    </row>
    <row r="704" spans="1:19" ht="13.8" x14ac:dyDescent="0.3">
      <c r="A704" s="2">
        <v>703</v>
      </c>
      <c r="B704" s="3">
        <v>40575</v>
      </c>
      <c r="C704" s="2">
        <v>1</v>
      </c>
      <c r="D704" s="2">
        <v>0</v>
      </c>
      <c r="E704" s="2">
        <v>2</v>
      </c>
      <c r="F704" s="2">
        <v>15</v>
      </c>
      <c r="G704" s="2" t="b">
        <v>0</v>
      </c>
      <c r="H704" s="2">
        <v>2</v>
      </c>
      <c r="I704" s="2">
        <v>2</v>
      </c>
      <c r="J704" s="2">
        <v>0.24</v>
      </c>
      <c r="K704" s="2">
        <v>0.28789999999999999</v>
      </c>
      <c r="L704" s="2">
        <v>0.75</v>
      </c>
      <c r="M704" s="2">
        <v>0</v>
      </c>
      <c r="N704" s="2">
        <v>45</v>
      </c>
      <c r="O704" s="2">
        <v>52</v>
      </c>
      <c r="P704" s="2" t="str">
        <f t="shared" si="10"/>
        <v>Tuesday</v>
      </c>
      <c r="Q704" s="2" t="str">
        <f>IF(Table1[[#This Row],[temp]]&gt;=0.24,"cold","colder")</f>
        <v>cold</v>
      </c>
      <c r="R704" s="2">
        <v>7</v>
      </c>
      <c r="S704" s="16" t="str" cm="1">
        <f t="array" ref="S704">_xlfn.IFS(Table1[[#This Row],[weathersit]]=1,"clear sky",Table1[[#This Row],[weathersit]]=2,"mist",Table1[[#This Row],[weathersit]]=3,"partially dark",Table1[[#This Row],[weathersit]]=4,"rain")</f>
        <v>mist</v>
      </c>
    </row>
    <row r="705" spans="1:19" ht="13.8" x14ac:dyDescent="0.3">
      <c r="A705" s="2">
        <v>704</v>
      </c>
      <c r="B705" s="3">
        <v>40575</v>
      </c>
      <c r="C705" s="2">
        <v>1</v>
      </c>
      <c r="D705" s="2">
        <v>0</v>
      </c>
      <c r="E705" s="2">
        <v>2</v>
      </c>
      <c r="F705" s="2">
        <v>16</v>
      </c>
      <c r="G705" s="2" t="b">
        <v>0</v>
      </c>
      <c r="H705" s="2">
        <v>2</v>
      </c>
      <c r="I705" s="2">
        <v>2</v>
      </c>
      <c r="J705" s="2">
        <v>0.24</v>
      </c>
      <c r="K705" s="2">
        <v>0.2424</v>
      </c>
      <c r="L705" s="2">
        <v>0.75</v>
      </c>
      <c r="M705" s="2">
        <v>0.1343</v>
      </c>
      <c r="N705" s="2">
        <v>61</v>
      </c>
      <c r="O705" s="2">
        <v>64</v>
      </c>
      <c r="P705" s="2" t="str">
        <f t="shared" si="10"/>
        <v>Tuesday</v>
      </c>
      <c r="Q705" s="2" t="str">
        <f>IF(Table1[[#This Row],[temp]]&gt;=0.24,"cold","colder")</f>
        <v>cold</v>
      </c>
      <c r="R705" s="2">
        <v>3</v>
      </c>
      <c r="S705" s="16" t="str" cm="1">
        <f t="array" ref="S705">_xlfn.IFS(Table1[[#This Row],[weathersit]]=1,"clear sky",Table1[[#This Row],[weathersit]]=2,"mist",Table1[[#This Row],[weathersit]]=3,"partially dark",Table1[[#This Row],[weathersit]]=4,"rain")</f>
        <v>mist</v>
      </c>
    </row>
    <row r="706" spans="1:19" ht="13.8" x14ac:dyDescent="0.3">
      <c r="A706" s="2">
        <v>705</v>
      </c>
      <c r="B706" s="3">
        <v>40575</v>
      </c>
      <c r="C706" s="2">
        <v>1</v>
      </c>
      <c r="D706" s="2">
        <v>0</v>
      </c>
      <c r="E706" s="2">
        <v>2</v>
      </c>
      <c r="F706" s="2">
        <v>17</v>
      </c>
      <c r="G706" s="2" t="b">
        <v>0</v>
      </c>
      <c r="H706" s="2">
        <v>2</v>
      </c>
      <c r="I706" s="2">
        <v>2</v>
      </c>
      <c r="J706" s="2">
        <v>0.24</v>
      </c>
      <c r="K706" s="2">
        <v>0.28789999999999999</v>
      </c>
      <c r="L706" s="2">
        <v>0.75</v>
      </c>
      <c r="M706" s="2">
        <v>0</v>
      </c>
      <c r="N706" s="2">
        <v>172</v>
      </c>
      <c r="O706" s="2">
        <v>176</v>
      </c>
      <c r="P706" s="2" t="str">
        <f t="shared" ref="P706:P769" si="11">TEXT(B706,"dddd")</f>
        <v>Tuesday</v>
      </c>
      <c r="Q706" s="2" t="str">
        <f>IF(Table1[[#This Row],[temp]]&gt;=0.24,"cold","colder")</f>
        <v>cold</v>
      </c>
      <c r="R706" s="2">
        <v>4</v>
      </c>
      <c r="S706" s="16" t="str" cm="1">
        <f t="array" ref="S706">_xlfn.IFS(Table1[[#This Row],[weathersit]]=1,"clear sky",Table1[[#This Row],[weathersit]]=2,"mist",Table1[[#This Row],[weathersit]]=3,"partially dark",Table1[[#This Row],[weathersit]]=4,"rain")</f>
        <v>mist</v>
      </c>
    </row>
    <row r="707" spans="1:19" ht="13.8" x14ac:dyDescent="0.3">
      <c r="A707" s="2">
        <v>706</v>
      </c>
      <c r="B707" s="3">
        <v>40575</v>
      </c>
      <c r="C707" s="2">
        <v>1</v>
      </c>
      <c r="D707" s="2">
        <v>0</v>
      </c>
      <c r="E707" s="2">
        <v>2</v>
      </c>
      <c r="F707" s="2">
        <v>18</v>
      </c>
      <c r="G707" s="2" t="b">
        <v>0</v>
      </c>
      <c r="H707" s="2">
        <v>2</v>
      </c>
      <c r="I707" s="2">
        <v>2</v>
      </c>
      <c r="J707" s="2">
        <v>0.24</v>
      </c>
      <c r="K707" s="2">
        <v>0.2576</v>
      </c>
      <c r="L707" s="2">
        <v>0.81</v>
      </c>
      <c r="M707" s="2">
        <v>0.1045</v>
      </c>
      <c r="N707" s="2">
        <v>165</v>
      </c>
      <c r="O707" s="2">
        <v>168</v>
      </c>
      <c r="P707" s="2" t="str">
        <f t="shared" si="11"/>
        <v>Tuesday</v>
      </c>
      <c r="Q707" s="2" t="str">
        <f>IF(Table1[[#This Row],[temp]]&gt;=0.24,"cold","colder")</f>
        <v>cold</v>
      </c>
      <c r="R707" s="2">
        <v>3</v>
      </c>
      <c r="S707" s="16" t="str" cm="1">
        <f t="array" ref="S707">_xlfn.IFS(Table1[[#This Row],[weathersit]]=1,"clear sky",Table1[[#This Row],[weathersit]]=2,"mist",Table1[[#This Row],[weathersit]]=3,"partially dark",Table1[[#This Row],[weathersit]]=4,"rain")</f>
        <v>mist</v>
      </c>
    </row>
    <row r="708" spans="1:19" ht="13.8" x14ac:dyDescent="0.3">
      <c r="A708" s="2">
        <v>707</v>
      </c>
      <c r="B708" s="3">
        <v>40575</v>
      </c>
      <c r="C708" s="2">
        <v>1</v>
      </c>
      <c r="D708" s="2">
        <v>0</v>
      </c>
      <c r="E708" s="2">
        <v>2</v>
      </c>
      <c r="F708" s="2">
        <v>19</v>
      </c>
      <c r="G708" s="2" t="b">
        <v>0</v>
      </c>
      <c r="H708" s="2">
        <v>2</v>
      </c>
      <c r="I708" s="2">
        <v>2</v>
      </c>
      <c r="J708" s="2">
        <v>0.24</v>
      </c>
      <c r="K708" s="2">
        <v>0.2424</v>
      </c>
      <c r="L708" s="2">
        <v>0.81</v>
      </c>
      <c r="M708" s="2">
        <v>0.1343</v>
      </c>
      <c r="N708" s="2">
        <v>105</v>
      </c>
      <c r="O708" s="2">
        <v>108</v>
      </c>
      <c r="P708" s="2" t="str">
        <f t="shared" si="11"/>
        <v>Tuesday</v>
      </c>
      <c r="Q708" s="2" t="str">
        <f>IF(Table1[[#This Row],[temp]]&gt;=0.24,"cold","colder")</f>
        <v>cold</v>
      </c>
      <c r="R708" s="2">
        <v>3</v>
      </c>
      <c r="S708" s="16" t="str" cm="1">
        <f t="array" ref="S708">_xlfn.IFS(Table1[[#This Row],[weathersit]]=1,"clear sky",Table1[[#This Row],[weathersit]]=2,"mist",Table1[[#This Row],[weathersit]]=3,"partially dark",Table1[[#This Row],[weathersit]]=4,"rain")</f>
        <v>mist</v>
      </c>
    </row>
    <row r="709" spans="1:19" ht="13.8" x14ac:dyDescent="0.3">
      <c r="A709" s="2">
        <v>708</v>
      </c>
      <c r="B709" s="3">
        <v>40575</v>
      </c>
      <c r="C709" s="2">
        <v>1</v>
      </c>
      <c r="D709" s="2">
        <v>0</v>
      </c>
      <c r="E709" s="2">
        <v>2</v>
      </c>
      <c r="F709" s="2">
        <v>20</v>
      </c>
      <c r="G709" s="2" t="b">
        <v>0</v>
      </c>
      <c r="H709" s="2">
        <v>2</v>
      </c>
      <c r="I709" s="2">
        <v>2</v>
      </c>
      <c r="J709" s="2">
        <v>0.22</v>
      </c>
      <c r="K709" s="2">
        <v>0.2273</v>
      </c>
      <c r="L709" s="2">
        <v>0.87</v>
      </c>
      <c r="M709" s="2">
        <v>0.1343</v>
      </c>
      <c r="N709" s="2">
        <v>69</v>
      </c>
      <c r="O709" s="2">
        <v>74</v>
      </c>
      <c r="P709" s="2" t="str">
        <f t="shared" si="11"/>
        <v>Tuesday</v>
      </c>
      <c r="Q709" s="2" t="str">
        <f>IF(Table1[[#This Row],[temp]]&gt;=0.24,"cold","colder")</f>
        <v>colder</v>
      </c>
      <c r="R709" s="2">
        <v>5</v>
      </c>
      <c r="S709" s="16" t="str" cm="1">
        <f t="array" ref="S709">_xlfn.IFS(Table1[[#This Row],[weathersit]]=1,"clear sky",Table1[[#This Row],[weathersit]]=2,"mist",Table1[[#This Row],[weathersit]]=3,"partially dark",Table1[[#This Row],[weathersit]]=4,"rain")</f>
        <v>mist</v>
      </c>
    </row>
    <row r="710" spans="1:19" ht="13.8" x14ac:dyDescent="0.3">
      <c r="A710" s="2">
        <v>709</v>
      </c>
      <c r="B710" s="3">
        <v>40575</v>
      </c>
      <c r="C710" s="2">
        <v>1</v>
      </c>
      <c r="D710" s="2">
        <v>0</v>
      </c>
      <c r="E710" s="2">
        <v>2</v>
      </c>
      <c r="F710" s="2">
        <v>21</v>
      </c>
      <c r="G710" s="2" t="b">
        <v>0</v>
      </c>
      <c r="H710" s="2">
        <v>2</v>
      </c>
      <c r="I710" s="2">
        <v>2</v>
      </c>
      <c r="J710" s="2">
        <v>0.22</v>
      </c>
      <c r="K710" s="2">
        <v>0.2273</v>
      </c>
      <c r="L710" s="2">
        <v>0.87</v>
      </c>
      <c r="M710" s="2">
        <v>0.1343</v>
      </c>
      <c r="N710" s="2">
        <v>64</v>
      </c>
      <c r="O710" s="2">
        <v>64</v>
      </c>
      <c r="P710" s="2" t="str">
        <f t="shared" si="11"/>
        <v>Tuesday</v>
      </c>
      <c r="Q710" s="2" t="str">
        <f>IF(Table1[[#This Row],[temp]]&gt;=0.24,"cold","colder")</f>
        <v>colder</v>
      </c>
      <c r="R710" s="2">
        <v>0</v>
      </c>
      <c r="S710" s="16" t="str" cm="1">
        <f t="array" ref="S710">_xlfn.IFS(Table1[[#This Row],[weathersit]]=1,"clear sky",Table1[[#This Row],[weathersit]]=2,"mist",Table1[[#This Row],[weathersit]]=3,"partially dark",Table1[[#This Row],[weathersit]]=4,"rain")</f>
        <v>mist</v>
      </c>
    </row>
    <row r="711" spans="1:19" ht="13.8" x14ac:dyDescent="0.3">
      <c r="A711" s="2">
        <v>710</v>
      </c>
      <c r="B711" s="3">
        <v>40575</v>
      </c>
      <c r="C711" s="2">
        <v>1</v>
      </c>
      <c r="D711" s="2">
        <v>0</v>
      </c>
      <c r="E711" s="2">
        <v>2</v>
      </c>
      <c r="F711" s="2">
        <v>22</v>
      </c>
      <c r="G711" s="2" t="b">
        <v>0</v>
      </c>
      <c r="H711" s="2">
        <v>2</v>
      </c>
      <c r="I711" s="2">
        <v>2</v>
      </c>
      <c r="J711" s="2">
        <v>0.22</v>
      </c>
      <c r="K711" s="2">
        <v>0.2576</v>
      </c>
      <c r="L711" s="2">
        <v>0.87</v>
      </c>
      <c r="M711" s="2">
        <v>8.9599999999999999E-2</v>
      </c>
      <c r="N711" s="2">
        <v>34</v>
      </c>
      <c r="O711" s="2">
        <v>36</v>
      </c>
      <c r="P711" s="2" t="str">
        <f t="shared" si="11"/>
        <v>Tuesday</v>
      </c>
      <c r="Q711" s="2" t="str">
        <f>IF(Table1[[#This Row],[temp]]&gt;=0.24,"cold","colder")</f>
        <v>colder</v>
      </c>
      <c r="R711" s="2">
        <v>2</v>
      </c>
      <c r="S711" s="16" t="str" cm="1">
        <f t="array" ref="S711">_xlfn.IFS(Table1[[#This Row],[weathersit]]=1,"clear sky",Table1[[#This Row],[weathersit]]=2,"mist",Table1[[#This Row],[weathersit]]=3,"partially dark",Table1[[#This Row],[weathersit]]=4,"rain")</f>
        <v>mist</v>
      </c>
    </row>
    <row r="712" spans="1:19" ht="13.8" x14ac:dyDescent="0.3">
      <c r="A712" s="2">
        <v>711</v>
      </c>
      <c r="B712" s="3">
        <v>40575</v>
      </c>
      <c r="C712" s="2">
        <v>1</v>
      </c>
      <c r="D712" s="2">
        <v>0</v>
      </c>
      <c r="E712" s="2">
        <v>2</v>
      </c>
      <c r="F712" s="2">
        <v>23</v>
      </c>
      <c r="G712" s="2" t="b">
        <v>0</v>
      </c>
      <c r="H712" s="2">
        <v>2</v>
      </c>
      <c r="I712" s="2">
        <v>3</v>
      </c>
      <c r="J712" s="2">
        <v>0.2</v>
      </c>
      <c r="K712" s="2">
        <v>0.19700000000000001</v>
      </c>
      <c r="L712" s="2">
        <v>0.93</v>
      </c>
      <c r="M712" s="2">
        <v>0.19400000000000001</v>
      </c>
      <c r="N712" s="2">
        <v>15</v>
      </c>
      <c r="O712" s="2">
        <v>16</v>
      </c>
      <c r="P712" s="2" t="str">
        <f t="shared" si="11"/>
        <v>Tuesday</v>
      </c>
      <c r="Q712" s="2" t="str">
        <f>IF(Table1[[#This Row],[temp]]&gt;=0.24,"cold","colder")</f>
        <v>colder</v>
      </c>
      <c r="R712" s="2">
        <v>1</v>
      </c>
      <c r="S712" s="16" t="str" cm="1">
        <f t="array" ref="S712">_xlfn.IFS(Table1[[#This Row],[weathersit]]=1,"clear sky",Table1[[#This Row],[weathersit]]=2,"mist",Table1[[#This Row],[weathersit]]=3,"partially dark",Table1[[#This Row],[weathersit]]=4,"rain")</f>
        <v>partially dark</v>
      </c>
    </row>
    <row r="713" spans="1:19" ht="13.8" x14ac:dyDescent="0.3">
      <c r="A713" s="2">
        <v>712</v>
      </c>
      <c r="B713" s="3">
        <v>40576</v>
      </c>
      <c r="C713" s="2">
        <v>1</v>
      </c>
      <c r="D713" s="2">
        <v>0</v>
      </c>
      <c r="E713" s="2">
        <v>2</v>
      </c>
      <c r="F713" s="2">
        <v>0</v>
      </c>
      <c r="G713" s="2" t="b">
        <v>0</v>
      </c>
      <c r="H713" s="2">
        <v>3</v>
      </c>
      <c r="I713" s="2">
        <v>3</v>
      </c>
      <c r="J713" s="2">
        <v>0.22</v>
      </c>
      <c r="K713" s="2">
        <v>0.2424</v>
      </c>
      <c r="L713" s="2">
        <v>0.93</v>
      </c>
      <c r="M713" s="2">
        <v>0.1045</v>
      </c>
      <c r="N713" s="2">
        <v>2</v>
      </c>
      <c r="O713" s="2">
        <v>2</v>
      </c>
      <c r="P713" s="2" t="str">
        <f t="shared" si="11"/>
        <v>Wednesday</v>
      </c>
      <c r="Q713" s="2" t="str">
        <f>IF(Table1[[#This Row],[temp]]&gt;=0.24,"cold","colder")</f>
        <v>colder</v>
      </c>
      <c r="R713" s="2">
        <v>0</v>
      </c>
      <c r="S713" s="16" t="str" cm="1">
        <f t="array" ref="S713">_xlfn.IFS(Table1[[#This Row],[weathersit]]=1,"clear sky",Table1[[#This Row],[weathersit]]=2,"mist",Table1[[#This Row],[weathersit]]=3,"partially dark",Table1[[#This Row],[weathersit]]=4,"rain")</f>
        <v>partially dark</v>
      </c>
    </row>
    <row r="714" spans="1:19" ht="13.8" x14ac:dyDescent="0.3">
      <c r="A714" s="2">
        <v>713</v>
      </c>
      <c r="B714" s="3">
        <v>40576</v>
      </c>
      <c r="C714" s="2">
        <v>1</v>
      </c>
      <c r="D714" s="2">
        <v>0</v>
      </c>
      <c r="E714" s="2">
        <v>2</v>
      </c>
      <c r="F714" s="2">
        <v>1</v>
      </c>
      <c r="G714" s="2" t="b">
        <v>0</v>
      </c>
      <c r="H714" s="2">
        <v>3</v>
      </c>
      <c r="I714" s="2">
        <v>3</v>
      </c>
      <c r="J714" s="2">
        <v>0.22</v>
      </c>
      <c r="K714" s="2">
        <v>0.2273</v>
      </c>
      <c r="L714" s="2">
        <v>0.93</v>
      </c>
      <c r="M714" s="2">
        <v>0.19400000000000001</v>
      </c>
      <c r="N714" s="2">
        <v>3</v>
      </c>
      <c r="O714" s="2">
        <v>3</v>
      </c>
      <c r="P714" s="2" t="str">
        <f t="shared" si="11"/>
        <v>Wednesday</v>
      </c>
      <c r="Q714" s="2" t="str">
        <f>IF(Table1[[#This Row],[temp]]&gt;=0.24,"cold","colder")</f>
        <v>colder</v>
      </c>
      <c r="R714" s="2">
        <v>0</v>
      </c>
      <c r="S714" s="16" t="str" cm="1">
        <f t="array" ref="S714">_xlfn.IFS(Table1[[#This Row],[weathersit]]=1,"clear sky",Table1[[#This Row],[weathersit]]=2,"mist",Table1[[#This Row],[weathersit]]=3,"partially dark",Table1[[#This Row],[weathersit]]=4,"rain")</f>
        <v>partially dark</v>
      </c>
    </row>
    <row r="715" spans="1:19" ht="13.8" x14ac:dyDescent="0.3">
      <c r="A715" s="2">
        <v>714</v>
      </c>
      <c r="B715" s="3">
        <v>40576</v>
      </c>
      <c r="C715" s="2">
        <v>1</v>
      </c>
      <c r="D715" s="2">
        <v>0</v>
      </c>
      <c r="E715" s="2">
        <v>2</v>
      </c>
      <c r="F715" s="2">
        <v>2</v>
      </c>
      <c r="G715" s="2" t="b">
        <v>0</v>
      </c>
      <c r="H715" s="2">
        <v>3</v>
      </c>
      <c r="I715" s="2">
        <v>3</v>
      </c>
      <c r="J715" s="2">
        <v>0.22</v>
      </c>
      <c r="K715" s="2">
        <v>0.2273</v>
      </c>
      <c r="L715" s="2">
        <v>0.93</v>
      </c>
      <c r="M715" s="2">
        <v>0.1343</v>
      </c>
      <c r="N715" s="2">
        <v>0</v>
      </c>
      <c r="O715" s="2">
        <v>4</v>
      </c>
      <c r="P715" s="2" t="str">
        <f t="shared" si="11"/>
        <v>Wednesday</v>
      </c>
      <c r="Q715" s="2" t="str">
        <f>IF(Table1[[#This Row],[temp]]&gt;=0.24,"cold","colder")</f>
        <v>colder</v>
      </c>
      <c r="R715" s="2">
        <v>4</v>
      </c>
      <c r="S715" s="16" t="str" cm="1">
        <f t="array" ref="S715">_xlfn.IFS(Table1[[#This Row],[weathersit]]=1,"clear sky",Table1[[#This Row],[weathersit]]=2,"mist",Table1[[#This Row],[weathersit]]=3,"partially dark",Table1[[#This Row],[weathersit]]=4,"rain")</f>
        <v>partially dark</v>
      </c>
    </row>
    <row r="716" spans="1:19" ht="13.8" x14ac:dyDescent="0.3">
      <c r="A716" s="2">
        <v>715</v>
      </c>
      <c r="B716" s="3">
        <v>40576</v>
      </c>
      <c r="C716" s="2">
        <v>1</v>
      </c>
      <c r="D716" s="2">
        <v>0</v>
      </c>
      <c r="E716" s="2">
        <v>2</v>
      </c>
      <c r="F716" s="2">
        <v>3</v>
      </c>
      <c r="G716" s="2" t="b">
        <v>0</v>
      </c>
      <c r="H716" s="2">
        <v>3</v>
      </c>
      <c r="I716" s="2">
        <v>3</v>
      </c>
      <c r="J716" s="2">
        <v>0.22</v>
      </c>
      <c r="K716" s="2">
        <v>0.2273</v>
      </c>
      <c r="L716" s="2">
        <v>0.93</v>
      </c>
      <c r="M716" s="2">
        <v>0.1343</v>
      </c>
      <c r="N716" s="2">
        <v>1</v>
      </c>
      <c r="O716" s="2">
        <v>1</v>
      </c>
      <c r="P716" s="2" t="str">
        <f t="shared" si="11"/>
        <v>Wednesday</v>
      </c>
      <c r="Q716" s="2" t="str">
        <f>IF(Table1[[#This Row],[temp]]&gt;=0.24,"cold","colder")</f>
        <v>colder</v>
      </c>
      <c r="R716" s="2">
        <v>0</v>
      </c>
      <c r="S716" s="16" t="str" cm="1">
        <f t="array" ref="S716">_xlfn.IFS(Table1[[#This Row],[weathersit]]=1,"clear sky",Table1[[#This Row],[weathersit]]=2,"mist",Table1[[#This Row],[weathersit]]=3,"partially dark",Table1[[#This Row],[weathersit]]=4,"rain")</f>
        <v>partially dark</v>
      </c>
    </row>
    <row r="717" spans="1:19" ht="13.8" x14ac:dyDescent="0.3">
      <c r="A717" s="2">
        <v>716</v>
      </c>
      <c r="B717" s="3">
        <v>40576</v>
      </c>
      <c r="C717" s="2">
        <v>1</v>
      </c>
      <c r="D717" s="2">
        <v>0</v>
      </c>
      <c r="E717" s="2">
        <v>2</v>
      </c>
      <c r="F717" s="2">
        <v>4</v>
      </c>
      <c r="G717" s="2" t="b">
        <v>0</v>
      </c>
      <c r="H717" s="2">
        <v>3</v>
      </c>
      <c r="I717" s="2">
        <v>3</v>
      </c>
      <c r="J717" s="2">
        <v>0.22</v>
      </c>
      <c r="K717" s="2">
        <v>0.21210000000000001</v>
      </c>
      <c r="L717" s="2">
        <v>0.93</v>
      </c>
      <c r="M717" s="2">
        <v>0.28360000000000002</v>
      </c>
      <c r="N717" s="2">
        <v>1</v>
      </c>
      <c r="O717" s="2">
        <v>1</v>
      </c>
      <c r="P717" s="2" t="str">
        <f t="shared" si="11"/>
        <v>Wednesday</v>
      </c>
      <c r="Q717" s="2" t="str">
        <f>IF(Table1[[#This Row],[temp]]&gt;=0.24,"cold","colder")</f>
        <v>colder</v>
      </c>
      <c r="R717" s="2">
        <v>0</v>
      </c>
      <c r="S717" s="16" t="str" cm="1">
        <f t="array" ref="S717">_xlfn.IFS(Table1[[#This Row],[weathersit]]=1,"clear sky",Table1[[#This Row],[weathersit]]=2,"mist",Table1[[#This Row],[weathersit]]=3,"partially dark",Table1[[#This Row],[weathersit]]=4,"rain")</f>
        <v>partially dark</v>
      </c>
    </row>
    <row r="718" spans="1:19" ht="13.8" x14ac:dyDescent="0.3">
      <c r="A718" s="2">
        <v>717</v>
      </c>
      <c r="B718" s="3">
        <v>40576</v>
      </c>
      <c r="C718" s="2">
        <v>1</v>
      </c>
      <c r="D718" s="2">
        <v>0</v>
      </c>
      <c r="E718" s="2">
        <v>2</v>
      </c>
      <c r="F718" s="2">
        <v>5</v>
      </c>
      <c r="G718" s="2" t="b">
        <v>0</v>
      </c>
      <c r="H718" s="2">
        <v>3</v>
      </c>
      <c r="I718" s="2">
        <v>3</v>
      </c>
      <c r="J718" s="2">
        <v>0.22</v>
      </c>
      <c r="K718" s="2">
        <v>0.2424</v>
      </c>
      <c r="L718" s="2">
        <v>0.93</v>
      </c>
      <c r="M718" s="2">
        <v>0.1045</v>
      </c>
      <c r="N718" s="2">
        <v>3</v>
      </c>
      <c r="O718" s="2">
        <v>3</v>
      </c>
      <c r="P718" s="2" t="str">
        <f t="shared" si="11"/>
        <v>Wednesday</v>
      </c>
      <c r="Q718" s="2" t="str">
        <f>IF(Table1[[#This Row],[temp]]&gt;=0.24,"cold","colder")</f>
        <v>colder</v>
      </c>
      <c r="R718" s="2">
        <v>0</v>
      </c>
      <c r="S718" s="16" t="str" cm="1">
        <f t="array" ref="S718">_xlfn.IFS(Table1[[#This Row],[weathersit]]=1,"clear sky",Table1[[#This Row],[weathersit]]=2,"mist",Table1[[#This Row],[weathersit]]=3,"partially dark",Table1[[#This Row],[weathersit]]=4,"rain")</f>
        <v>partially dark</v>
      </c>
    </row>
    <row r="719" spans="1:19" ht="13.8" x14ac:dyDescent="0.3">
      <c r="A719" s="2">
        <v>718</v>
      </c>
      <c r="B719" s="3">
        <v>40576</v>
      </c>
      <c r="C719" s="2">
        <v>1</v>
      </c>
      <c r="D719" s="2">
        <v>0</v>
      </c>
      <c r="E719" s="2">
        <v>2</v>
      </c>
      <c r="F719" s="2">
        <v>6</v>
      </c>
      <c r="G719" s="2" t="b">
        <v>0</v>
      </c>
      <c r="H719" s="2">
        <v>3</v>
      </c>
      <c r="I719" s="2">
        <v>3</v>
      </c>
      <c r="J719" s="2">
        <v>0.22</v>
      </c>
      <c r="K719" s="2">
        <v>0.2424</v>
      </c>
      <c r="L719" s="2">
        <v>0.93</v>
      </c>
      <c r="M719" s="2">
        <v>0.1045</v>
      </c>
      <c r="N719" s="2">
        <v>17</v>
      </c>
      <c r="O719" s="2">
        <v>18</v>
      </c>
      <c r="P719" s="2" t="str">
        <f t="shared" si="11"/>
        <v>Wednesday</v>
      </c>
      <c r="Q719" s="2" t="str">
        <f>IF(Table1[[#This Row],[temp]]&gt;=0.24,"cold","colder")</f>
        <v>colder</v>
      </c>
      <c r="R719" s="2">
        <v>1</v>
      </c>
      <c r="S719" s="16" t="str" cm="1">
        <f t="array" ref="S719">_xlfn.IFS(Table1[[#This Row],[weathersit]]=1,"clear sky",Table1[[#This Row],[weathersit]]=2,"mist",Table1[[#This Row],[weathersit]]=3,"partially dark",Table1[[#This Row],[weathersit]]=4,"rain")</f>
        <v>partially dark</v>
      </c>
    </row>
    <row r="720" spans="1:19" ht="13.8" x14ac:dyDescent="0.3">
      <c r="A720" s="2">
        <v>719</v>
      </c>
      <c r="B720" s="3">
        <v>40576</v>
      </c>
      <c r="C720" s="2">
        <v>1</v>
      </c>
      <c r="D720" s="2">
        <v>0</v>
      </c>
      <c r="E720" s="2">
        <v>2</v>
      </c>
      <c r="F720" s="2">
        <v>7</v>
      </c>
      <c r="G720" s="2" t="b">
        <v>0</v>
      </c>
      <c r="H720" s="2">
        <v>3</v>
      </c>
      <c r="I720" s="2">
        <v>3</v>
      </c>
      <c r="J720" s="2">
        <v>0.22</v>
      </c>
      <c r="K720" s="2">
        <v>0.21210000000000001</v>
      </c>
      <c r="L720" s="2">
        <v>0.93</v>
      </c>
      <c r="M720" s="2">
        <v>0.22389999999999999</v>
      </c>
      <c r="N720" s="2">
        <v>48</v>
      </c>
      <c r="O720" s="2">
        <v>49</v>
      </c>
      <c r="P720" s="2" t="str">
        <f t="shared" si="11"/>
        <v>Wednesday</v>
      </c>
      <c r="Q720" s="2" t="str">
        <f>IF(Table1[[#This Row],[temp]]&gt;=0.24,"cold","colder")</f>
        <v>colder</v>
      </c>
      <c r="R720" s="2">
        <v>1</v>
      </c>
      <c r="S720" s="16" t="str" cm="1">
        <f t="array" ref="S720">_xlfn.IFS(Table1[[#This Row],[weathersit]]=1,"clear sky",Table1[[#This Row],[weathersit]]=2,"mist",Table1[[#This Row],[weathersit]]=3,"partially dark",Table1[[#This Row],[weathersit]]=4,"rain")</f>
        <v>partially dark</v>
      </c>
    </row>
    <row r="721" spans="1:19" ht="13.8" x14ac:dyDescent="0.3">
      <c r="A721" s="2">
        <v>720</v>
      </c>
      <c r="B721" s="3">
        <v>40576</v>
      </c>
      <c r="C721" s="2">
        <v>1</v>
      </c>
      <c r="D721" s="2">
        <v>0</v>
      </c>
      <c r="E721" s="2">
        <v>2</v>
      </c>
      <c r="F721" s="2">
        <v>8</v>
      </c>
      <c r="G721" s="2" t="b">
        <v>0</v>
      </c>
      <c r="H721" s="2">
        <v>3</v>
      </c>
      <c r="I721" s="2">
        <v>3</v>
      </c>
      <c r="J721" s="2">
        <v>0.22</v>
      </c>
      <c r="K721" s="2">
        <v>0.21210000000000001</v>
      </c>
      <c r="L721" s="2">
        <v>0.93</v>
      </c>
      <c r="M721" s="2">
        <v>0.22389999999999999</v>
      </c>
      <c r="N721" s="2">
        <v>154</v>
      </c>
      <c r="O721" s="2">
        <v>155</v>
      </c>
      <c r="P721" s="2" t="str">
        <f t="shared" si="11"/>
        <v>Wednesday</v>
      </c>
      <c r="Q721" s="2" t="str">
        <f>IF(Table1[[#This Row],[temp]]&gt;=0.24,"cold","colder")</f>
        <v>colder</v>
      </c>
      <c r="R721" s="2">
        <v>1</v>
      </c>
      <c r="S721" s="16" t="str" cm="1">
        <f t="array" ref="S721">_xlfn.IFS(Table1[[#This Row],[weathersit]]=1,"clear sky",Table1[[#This Row],[weathersit]]=2,"mist",Table1[[#This Row],[weathersit]]=3,"partially dark",Table1[[#This Row],[weathersit]]=4,"rain")</f>
        <v>partially dark</v>
      </c>
    </row>
    <row r="722" spans="1:19" ht="13.8" x14ac:dyDescent="0.3">
      <c r="A722" s="2">
        <v>721</v>
      </c>
      <c r="B722" s="3">
        <v>40576</v>
      </c>
      <c r="C722" s="2">
        <v>1</v>
      </c>
      <c r="D722" s="2">
        <v>0</v>
      </c>
      <c r="E722" s="2">
        <v>2</v>
      </c>
      <c r="F722" s="2">
        <v>9</v>
      </c>
      <c r="G722" s="2" t="b">
        <v>0</v>
      </c>
      <c r="H722" s="2">
        <v>3</v>
      </c>
      <c r="I722" s="2">
        <v>2</v>
      </c>
      <c r="J722" s="2">
        <v>0.24</v>
      </c>
      <c r="K722" s="2">
        <v>0.2576</v>
      </c>
      <c r="L722" s="2">
        <v>0.93</v>
      </c>
      <c r="M722" s="2">
        <v>8.9599999999999999E-2</v>
      </c>
      <c r="N722" s="2">
        <v>119</v>
      </c>
      <c r="O722" s="2">
        <v>123</v>
      </c>
      <c r="P722" s="2" t="str">
        <f t="shared" si="11"/>
        <v>Wednesday</v>
      </c>
      <c r="Q722" s="2" t="str">
        <f>IF(Table1[[#This Row],[temp]]&gt;=0.24,"cold","colder")</f>
        <v>cold</v>
      </c>
      <c r="R722" s="2">
        <v>4</v>
      </c>
      <c r="S722" s="16" t="str" cm="1">
        <f t="array" ref="S722">_xlfn.IFS(Table1[[#This Row],[weathersit]]=1,"clear sky",Table1[[#This Row],[weathersit]]=2,"mist",Table1[[#This Row],[weathersit]]=3,"partially dark",Table1[[#This Row],[weathersit]]=4,"rain")</f>
        <v>mist</v>
      </c>
    </row>
    <row r="723" spans="1:19" ht="13.8" x14ac:dyDescent="0.3">
      <c r="A723" s="2">
        <v>722</v>
      </c>
      <c r="B723" s="3">
        <v>40576</v>
      </c>
      <c r="C723" s="2">
        <v>1</v>
      </c>
      <c r="D723" s="2">
        <v>0</v>
      </c>
      <c r="E723" s="2">
        <v>2</v>
      </c>
      <c r="F723" s="2">
        <v>10</v>
      </c>
      <c r="G723" s="2" t="b">
        <v>0</v>
      </c>
      <c r="H723" s="2">
        <v>3</v>
      </c>
      <c r="I723" s="2">
        <v>2</v>
      </c>
      <c r="J723" s="2">
        <v>0.22</v>
      </c>
      <c r="K723" s="2">
        <v>0.2727</v>
      </c>
      <c r="L723" s="2">
        <v>1</v>
      </c>
      <c r="M723" s="2">
        <v>0</v>
      </c>
      <c r="N723" s="2">
        <v>59</v>
      </c>
      <c r="O723" s="2">
        <v>61</v>
      </c>
      <c r="P723" s="2" t="str">
        <f t="shared" si="11"/>
        <v>Wednesday</v>
      </c>
      <c r="Q723" s="2" t="str">
        <f>IF(Table1[[#This Row],[temp]]&gt;=0.24,"cold","colder")</f>
        <v>colder</v>
      </c>
      <c r="R723" s="2">
        <v>2</v>
      </c>
      <c r="S723" s="16" t="str" cm="1">
        <f t="array" ref="S723">_xlfn.IFS(Table1[[#This Row],[weathersit]]=1,"clear sky",Table1[[#This Row],[weathersit]]=2,"mist",Table1[[#This Row],[weathersit]]=3,"partially dark",Table1[[#This Row],[weathersit]]=4,"rain")</f>
        <v>mist</v>
      </c>
    </row>
    <row r="724" spans="1:19" ht="13.8" x14ac:dyDescent="0.3">
      <c r="A724" s="2">
        <v>723</v>
      </c>
      <c r="B724" s="3">
        <v>40576</v>
      </c>
      <c r="C724" s="2">
        <v>1</v>
      </c>
      <c r="D724" s="2">
        <v>0</v>
      </c>
      <c r="E724" s="2">
        <v>2</v>
      </c>
      <c r="F724" s="2">
        <v>11</v>
      </c>
      <c r="G724" s="2" t="b">
        <v>0</v>
      </c>
      <c r="H724" s="2">
        <v>3</v>
      </c>
      <c r="I724" s="2">
        <v>2</v>
      </c>
      <c r="J724" s="2">
        <v>0.24</v>
      </c>
      <c r="K724" s="2">
        <v>0.2273</v>
      </c>
      <c r="L724" s="2">
        <v>0.93</v>
      </c>
      <c r="M724" s="2">
        <v>0.19400000000000001</v>
      </c>
      <c r="N724" s="2">
        <v>47</v>
      </c>
      <c r="O724" s="2">
        <v>52</v>
      </c>
      <c r="P724" s="2" t="str">
        <f t="shared" si="11"/>
        <v>Wednesday</v>
      </c>
      <c r="Q724" s="2" t="str">
        <f>IF(Table1[[#This Row],[temp]]&gt;=0.24,"cold","colder")</f>
        <v>cold</v>
      </c>
      <c r="R724" s="2">
        <v>5</v>
      </c>
      <c r="S724" s="16" t="str" cm="1">
        <f t="array" ref="S724">_xlfn.IFS(Table1[[#This Row],[weathersit]]=1,"clear sky",Table1[[#This Row],[weathersit]]=2,"mist",Table1[[#This Row],[weathersit]]=3,"partially dark",Table1[[#This Row],[weathersit]]=4,"rain")</f>
        <v>mist</v>
      </c>
    </row>
    <row r="725" spans="1:19" ht="13.8" x14ac:dyDescent="0.3">
      <c r="A725" s="2">
        <v>724</v>
      </c>
      <c r="B725" s="3">
        <v>40576</v>
      </c>
      <c r="C725" s="2">
        <v>1</v>
      </c>
      <c r="D725" s="2">
        <v>0</v>
      </c>
      <c r="E725" s="2">
        <v>2</v>
      </c>
      <c r="F725" s="2">
        <v>12</v>
      </c>
      <c r="G725" s="2" t="b">
        <v>0</v>
      </c>
      <c r="H725" s="2">
        <v>3</v>
      </c>
      <c r="I725" s="2">
        <v>2</v>
      </c>
      <c r="J725" s="2">
        <v>0.24</v>
      </c>
      <c r="K725" s="2">
        <v>0.2273</v>
      </c>
      <c r="L725" s="2">
        <v>0.93</v>
      </c>
      <c r="M725" s="2">
        <v>0.22389999999999999</v>
      </c>
      <c r="N725" s="2">
        <v>61</v>
      </c>
      <c r="O725" s="2">
        <v>64</v>
      </c>
      <c r="P725" s="2" t="str">
        <f t="shared" si="11"/>
        <v>Wednesday</v>
      </c>
      <c r="Q725" s="2" t="str">
        <f>IF(Table1[[#This Row],[temp]]&gt;=0.24,"cold","colder")</f>
        <v>cold</v>
      </c>
      <c r="R725" s="2">
        <v>3</v>
      </c>
      <c r="S725" s="16" t="str" cm="1">
        <f t="array" ref="S725">_xlfn.IFS(Table1[[#This Row],[weathersit]]=1,"clear sky",Table1[[#This Row],[weathersit]]=2,"mist",Table1[[#This Row],[weathersit]]=3,"partially dark",Table1[[#This Row],[weathersit]]=4,"rain")</f>
        <v>mist</v>
      </c>
    </row>
    <row r="726" spans="1:19" ht="13.8" x14ac:dyDescent="0.3">
      <c r="A726" s="2">
        <v>725</v>
      </c>
      <c r="B726" s="3">
        <v>40576</v>
      </c>
      <c r="C726" s="2">
        <v>1</v>
      </c>
      <c r="D726" s="2">
        <v>0</v>
      </c>
      <c r="E726" s="2">
        <v>2</v>
      </c>
      <c r="F726" s="2">
        <v>13</v>
      </c>
      <c r="G726" s="2" t="b">
        <v>0</v>
      </c>
      <c r="H726" s="2">
        <v>3</v>
      </c>
      <c r="I726" s="2">
        <v>1</v>
      </c>
      <c r="J726" s="2">
        <v>0.34</v>
      </c>
      <c r="K726" s="2">
        <v>0.33329999999999999</v>
      </c>
      <c r="L726" s="2">
        <v>0.93</v>
      </c>
      <c r="M726" s="2">
        <v>0.16420000000000001</v>
      </c>
      <c r="N726" s="2">
        <v>74</v>
      </c>
      <c r="O726" s="2">
        <v>75</v>
      </c>
      <c r="P726" s="2" t="str">
        <f t="shared" si="11"/>
        <v>Wednesday</v>
      </c>
      <c r="Q726" s="2" t="str">
        <f>IF(Table1[[#This Row],[temp]]&gt;=0.24,"cold","colder")</f>
        <v>cold</v>
      </c>
      <c r="R726" s="2">
        <v>1</v>
      </c>
      <c r="S726" s="16" t="str" cm="1">
        <f t="array" ref="S726">_xlfn.IFS(Table1[[#This Row],[weathersit]]=1,"clear sky",Table1[[#This Row],[weathersit]]=2,"mist",Table1[[#This Row],[weathersit]]=3,"partially dark",Table1[[#This Row],[weathersit]]=4,"rain")</f>
        <v>clear sky</v>
      </c>
    </row>
    <row r="727" spans="1:19" ht="13.8" x14ac:dyDescent="0.3">
      <c r="A727" s="2">
        <v>726</v>
      </c>
      <c r="B727" s="3">
        <v>40576</v>
      </c>
      <c r="C727" s="2">
        <v>1</v>
      </c>
      <c r="D727" s="2">
        <v>0</v>
      </c>
      <c r="E727" s="2">
        <v>2</v>
      </c>
      <c r="F727" s="2">
        <v>14</v>
      </c>
      <c r="G727" s="2" t="b">
        <v>0</v>
      </c>
      <c r="H727" s="2">
        <v>3</v>
      </c>
      <c r="I727" s="2">
        <v>1</v>
      </c>
      <c r="J727" s="2">
        <v>0.38</v>
      </c>
      <c r="K727" s="2">
        <v>0.39389999999999997</v>
      </c>
      <c r="L727" s="2">
        <v>0.82</v>
      </c>
      <c r="M727" s="2">
        <v>0.3881</v>
      </c>
      <c r="N727" s="2">
        <v>61</v>
      </c>
      <c r="O727" s="2">
        <v>63</v>
      </c>
      <c r="P727" s="2" t="str">
        <f t="shared" si="11"/>
        <v>Wednesday</v>
      </c>
      <c r="Q727" s="2" t="str">
        <f>IF(Table1[[#This Row],[temp]]&gt;=0.24,"cold","colder")</f>
        <v>cold</v>
      </c>
      <c r="R727" s="2">
        <v>2</v>
      </c>
      <c r="S727" s="16" t="str" cm="1">
        <f t="array" ref="S727">_xlfn.IFS(Table1[[#This Row],[weathersit]]=1,"clear sky",Table1[[#This Row],[weathersit]]=2,"mist",Table1[[#This Row],[weathersit]]=3,"partially dark",Table1[[#This Row],[weathersit]]=4,"rain")</f>
        <v>clear sky</v>
      </c>
    </row>
    <row r="728" spans="1:19" ht="13.8" x14ac:dyDescent="0.3">
      <c r="A728" s="2">
        <v>727</v>
      </c>
      <c r="B728" s="3">
        <v>40576</v>
      </c>
      <c r="C728" s="2">
        <v>1</v>
      </c>
      <c r="D728" s="2">
        <v>0</v>
      </c>
      <c r="E728" s="2">
        <v>2</v>
      </c>
      <c r="F728" s="2">
        <v>15</v>
      </c>
      <c r="G728" s="2" t="b">
        <v>0</v>
      </c>
      <c r="H728" s="2">
        <v>3</v>
      </c>
      <c r="I728" s="2">
        <v>1</v>
      </c>
      <c r="J728" s="2">
        <v>0.38</v>
      </c>
      <c r="K728" s="2">
        <v>0.39389999999999997</v>
      </c>
      <c r="L728" s="2">
        <v>0.76</v>
      </c>
      <c r="M728" s="2">
        <v>0.32840000000000003</v>
      </c>
      <c r="N728" s="2">
        <v>66</v>
      </c>
      <c r="O728" s="2">
        <v>76</v>
      </c>
      <c r="P728" s="2" t="str">
        <f t="shared" si="11"/>
        <v>Wednesday</v>
      </c>
      <c r="Q728" s="2" t="str">
        <f>IF(Table1[[#This Row],[temp]]&gt;=0.24,"cold","colder")</f>
        <v>cold</v>
      </c>
      <c r="R728" s="2">
        <v>10</v>
      </c>
      <c r="S728" s="16" t="str" cm="1">
        <f t="array" ref="S728">_xlfn.IFS(Table1[[#This Row],[weathersit]]=1,"clear sky",Table1[[#This Row],[weathersit]]=2,"mist",Table1[[#This Row],[weathersit]]=3,"partially dark",Table1[[#This Row],[weathersit]]=4,"rain")</f>
        <v>clear sky</v>
      </c>
    </row>
    <row r="729" spans="1:19" ht="13.8" x14ac:dyDescent="0.3">
      <c r="A729" s="2">
        <v>728</v>
      </c>
      <c r="B729" s="3">
        <v>40576</v>
      </c>
      <c r="C729" s="2">
        <v>1</v>
      </c>
      <c r="D729" s="2">
        <v>0</v>
      </c>
      <c r="E729" s="2">
        <v>2</v>
      </c>
      <c r="F729" s="2">
        <v>16</v>
      </c>
      <c r="G729" s="2" t="b">
        <v>0</v>
      </c>
      <c r="H729" s="2">
        <v>3</v>
      </c>
      <c r="I729" s="2">
        <v>1</v>
      </c>
      <c r="J729" s="2">
        <v>0.36</v>
      </c>
      <c r="K729" s="2">
        <v>0.33329999999999999</v>
      </c>
      <c r="L729" s="2">
        <v>0.71</v>
      </c>
      <c r="M729" s="2">
        <v>0.29849999999999999</v>
      </c>
      <c r="N729" s="2">
        <v>95</v>
      </c>
      <c r="O729" s="2">
        <v>103</v>
      </c>
      <c r="P729" s="2" t="str">
        <f t="shared" si="11"/>
        <v>Wednesday</v>
      </c>
      <c r="Q729" s="2" t="str">
        <f>IF(Table1[[#This Row],[temp]]&gt;=0.24,"cold","colder")</f>
        <v>cold</v>
      </c>
      <c r="R729" s="2">
        <v>8</v>
      </c>
      <c r="S729" s="16" t="str" cm="1">
        <f t="array" ref="S729">_xlfn.IFS(Table1[[#This Row],[weathersit]]=1,"clear sky",Table1[[#This Row],[weathersit]]=2,"mist",Table1[[#This Row],[weathersit]]=3,"partially dark",Table1[[#This Row],[weathersit]]=4,"rain")</f>
        <v>clear sky</v>
      </c>
    </row>
    <row r="730" spans="1:19" ht="13.8" x14ac:dyDescent="0.3">
      <c r="A730" s="2">
        <v>729</v>
      </c>
      <c r="B730" s="3">
        <v>40576</v>
      </c>
      <c r="C730" s="2">
        <v>1</v>
      </c>
      <c r="D730" s="2">
        <v>0</v>
      </c>
      <c r="E730" s="2">
        <v>2</v>
      </c>
      <c r="F730" s="2">
        <v>17</v>
      </c>
      <c r="G730" s="2" t="b">
        <v>0</v>
      </c>
      <c r="H730" s="2">
        <v>3</v>
      </c>
      <c r="I730" s="2">
        <v>1</v>
      </c>
      <c r="J730" s="2">
        <v>0.36</v>
      </c>
      <c r="K730" s="2">
        <v>0.31819999999999998</v>
      </c>
      <c r="L730" s="2">
        <v>0.53</v>
      </c>
      <c r="M730" s="2">
        <v>0.52239999999999998</v>
      </c>
      <c r="N730" s="2">
        <v>183</v>
      </c>
      <c r="O730" s="2">
        <v>190</v>
      </c>
      <c r="P730" s="2" t="str">
        <f t="shared" si="11"/>
        <v>Wednesday</v>
      </c>
      <c r="Q730" s="2" t="str">
        <f>IF(Table1[[#This Row],[temp]]&gt;=0.24,"cold","colder")</f>
        <v>cold</v>
      </c>
      <c r="R730" s="2">
        <v>7</v>
      </c>
      <c r="S730" s="16" t="str" cm="1">
        <f t="array" ref="S730">_xlfn.IFS(Table1[[#This Row],[weathersit]]=1,"clear sky",Table1[[#This Row],[weathersit]]=2,"mist",Table1[[#This Row],[weathersit]]=3,"partially dark",Table1[[#This Row],[weathersit]]=4,"rain")</f>
        <v>clear sky</v>
      </c>
    </row>
    <row r="731" spans="1:19" ht="13.8" x14ac:dyDescent="0.3">
      <c r="A731" s="2">
        <v>730</v>
      </c>
      <c r="B731" s="3">
        <v>40576</v>
      </c>
      <c r="C731" s="2">
        <v>1</v>
      </c>
      <c r="D731" s="2">
        <v>0</v>
      </c>
      <c r="E731" s="2">
        <v>2</v>
      </c>
      <c r="F731" s="2">
        <v>18</v>
      </c>
      <c r="G731" s="2" t="b">
        <v>0</v>
      </c>
      <c r="H731" s="2">
        <v>3</v>
      </c>
      <c r="I731" s="2">
        <v>1</v>
      </c>
      <c r="J731" s="2">
        <v>0.34</v>
      </c>
      <c r="K731" s="2">
        <v>0.28789999999999999</v>
      </c>
      <c r="L731" s="2">
        <v>0.42</v>
      </c>
      <c r="M731" s="2">
        <v>0.55220000000000002</v>
      </c>
      <c r="N731" s="2">
        <v>175</v>
      </c>
      <c r="O731" s="2">
        <v>182</v>
      </c>
      <c r="P731" s="2" t="str">
        <f t="shared" si="11"/>
        <v>Wednesday</v>
      </c>
      <c r="Q731" s="2" t="str">
        <f>IF(Table1[[#This Row],[temp]]&gt;=0.24,"cold","colder")</f>
        <v>cold</v>
      </c>
      <c r="R731" s="2">
        <v>7</v>
      </c>
      <c r="S731" s="16" t="str" cm="1">
        <f t="array" ref="S731">_xlfn.IFS(Table1[[#This Row],[weathersit]]=1,"clear sky",Table1[[#This Row],[weathersit]]=2,"mist",Table1[[#This Row],[weathersit]]=3,"partially dark",Table1[[#This Row],[weathersit]]=4,"rain")</f>
        <v>clear sky</v>
      </c>
    </row>
    <row r="732" spans="1:19" ht="13.8" x14ac:dyDescent="0.3">
      <c r="A732" s="2">
        <v>731</v>
      </c>
      <c r="B732" s="3">
        <v>40576</v>
      </c>
      <c r="C732" s="2">
        <v>1</v>
      </c>
      <c r="D732" s="2">
        <v>0</v>
      </c>
      <c r="E732" s="2">
        <v>2</v>
      </c>
      <c r="F732" s="2">
        <v>19</v>
      </c>
      <c r="G732" s="2" t="b">
        <v>0</v>
      </c>
      <c r="H732" s="2">
        <v>3</v>
      </c>
      <c r="I732" s="2">
        <v>1</v>
      </c>
      <c r="J732" s="2">
        <v>0.28000000000000003</v>
      </c>
      <c r="K732" s="2">
        <v>0.2424</v>
      </c>
      <c r="L732" s="2">
        <v>0.45</v>
      </c>
      <c r="M732" s="2">
        <v>0.49249999999999999</v>
      </c>
      <c r="N732" s="2">
        <v>88</v>
      </c>
      <c r="O732" s="2">
        <v>91</v>
      </c>
      <c r="P732" s="2" t="str">
        <f t="shared" si="11"/>
        <v>Wednesday</v>
      </c>
      <c r="Q732" s="2" t="str">
        <f>IF(Table1[[#This Row],[temp]]&gt;=0.24,"cold","colder")</f>
        <v>cold</v>
      </c>
      <c r="R732" s="2">
        <v>3</v>
      </c>
      <c r="S732" s="16" t="str" cm="1">
        <f t="array" ref="S732">_xlfn.IFS(Table1[[#This Row],[weathersit]]=1,"clear sky",Table1[[#This Row],[weathersit]]=2,"mist",Table1[[#This Row],[weathersit]]=3,"partially dark",Table1[[#This Row],[weathersit]]=4,"rain")</f>
        <v>clear sky</v>
      </c>
    </row>
    <row r="733" spans="1:19" ht="13.8" x14ac:dyDescent="0.3">
      <c r="A733" s="2">
        <v>732</v>
      </c>
      <c r="B733" s="3">
        <v>40576</v>
      </c>
      <c r="C733" s="2">
        <v>1</v>
      </c>
      <c r="D733" s="2">
        <v>0</v>
      </c>
      <c r="E733" s="2">
        <v>2</v>
      </c>
      <c r="F733" s="2">
        <v>20</v>
      </c>
      <c r="G733" s="2" t="b">
        <v>0</v>
      </c>
      <c r="H733" s="2">
        <v>3</v>
      </c>
      <c r="I733" s="2">
        <v>1</v>
      </c>
      <c r="J733" s="2">
        <v>0.24</v>
      </c>
      <c r="K733" s="2">
        <v>0.19700000000000001</v>
      </c>
      <c r="L733" s="2">
        <v>0.48</v>
      </c>
      <c r="M733" s="2">
        <v>0.55220000000000002</v>
      </c>
      <c r="N733" s="2">
        <v>71</v>
      </c>
      <c r="O733" s="2">
        <v>75</v>
      </c>
      <c r="P733" s="2" t="str">
        <f t="shared" si="11"/>
        <v>Wednesday</v>
      </c>
      <c r="Q733" s="2" t="str">
        <f>IF(Table1[[#This Row],[temp]]&gt;=0.24,"cold","colder")</f>
        <v>cold</v>
      </c>
      <c r="R733" s="2">
        <v>4</v>
      </c>
      <c r="S733" s="16" t="str" cm="1">
        <f t="array" ref="S733">_xlfn.IFS(Table1[[#This Row],[weathersit]]=1,"clear sky",Table1[[#This Row],[weathersit]]=2,"mist",Table1[[#This Row],[weathersit]]=3,"partially dark",Table1[[#This Row],[weathersit]]=4,"rain")</f>
        <v>clear sky</v>
      </c>
    </row>
    <row r="734" spans="1:19" ht="13.8" x14ac:dyDescent="0.3">
      <c r="A734" s="2">
        <v>733</v>
      </c>
      <c r="B734" s="3">
        <v>40576</v>
      </c>
      <c r="C734" s="2">
        <v>1</v>
      </c>
      <c r="D734" s="2">
        <v>0</v>
      </c>
      <c r="E734" s="2">
        <v>2</v>
      </c>
      <c r="F734" s="2">
        <v>21</v>
      </c>
      <c r="G734" s="2" t="b">
        <v>0</v>
      </c>
      <c r="H734" s="2">
        <v>3</v>
      </c>
      <c r="I734" s="2">
        <v>1</v>
      </c>
      <c r="J734" s="2">
        <v>0.22</v>
      </c>
      <c r="K734" s="2">
        <v>0.19700000000000001</v>
      </c>
      <c r="L734" s="2">
        <v>0.47</v>
      </c>
      <c r="M734" s="2">
        <v>0.32840000000000003</v>
      </c>
      <c r="N734" s="2">
        <v>62</v>
      </c>
      <c r="O734" s="2">
        <v>63</v>
      </c>
      <c r="P734" s="2" t="str">
        <f t="shared" si="11"/>
        <v>Wednesday</v>
      </c>
      <c r="Q734" s="2" t="str">
        <f>IF(Table1[[#This Row],[temp]]&gt;=0.24,"cold","colder")</f>
        <v>colder</v>
      </c>
      <c r="R734" s="2">
        <v>1</v>
      </c>
      <c r="S734" s="16" t="str" cm="1">
        <f t="array" ref="S734">_xlfn.IFS(Table1[[#This Row],[weathersit]]=1,"clear sky",Table1[[#This Row],[weathersit]]=2,"mist",Table1[[#This Row],[weathersit]]=3,"partially dark",Table1[[#This Row],[weathersit]]=4,"rain")</f>
        <v>clear sky</v>
      </c>
    </row>
    <row r="735" spans="1:19" ht="13.8" x14ac:dyDescent="0.3">
      <c r="A735" s="2">
        <v>734</v>
      </c>
      <c r="B735" s="3">
        <v>40576</v>
      </c>
      <c r="C735" s="2">
        <v>1</v>
      </c>
      <c r="D735" s="2">
        <v>0</v>
      </c>
      <c r="E735" s="2">
        <v>2</v>
      </c>
      <c r="F735" s="2">
        <v>22</v>
      </c>
      <c r="G735" s="2" t="b">
        <v>0</v>
      </c>
      <c r="H735" s="2">
        <v>3</v>
      </c>
      <c r="I735" s="2">
        <v>1</v>
      </c>
      <c r="J735" s="2">
        <v>0.22</v>
      </c>
      <c r="K735" s="2">
        <v>0.21210000000000001</v>
      </c>
      <c r="L735" s="2">
        <v>0.44</v>
      </c>
      <c r="M735" s="2">
        <v>0.25369999999999998</v>
      </c>
      <c r="N735" s="2">
        <v>35</v>
      </c>
      <c r="O735" s="2">
        <v>40</v>
      </c>
      <c r="P735" s="2" t="str">
        <f t="shared" si="11"/>
        <v>Wednesday</v>
      </c>
      <c r="Q735" s="2" t="str">
        <f>IF(Table1[[#This Row],[temp]]&gt;=0.24,"cold","colder")</f>
        <v>colder</v>
      </c>
      <c r="R735" s="2">
        <v>5</v>
      </c>
      <c r="S735" s="16" t="str" cm="1">
        <f t="array" ref="S735">_xlfn.IFS(Table1[[#This Row],[weathersit]]=1,"clear sky",Table1[[#This Row],[weathersit]]=2,"mist",Table1[[#This Row],[weathersit]]=3,"partially dark",Table1[[#This Row],[weathersit]]=4,"rain")</f>
        <v>clear sky</v>
      </c>
    </row>
    <row r="736" spans="1:19" ht="13.8" x14ac:dyDescent="0.3">
      <c r="A736" s="2">
        <v>735</v>
      </c>
      <c r="B736" s="3">
        <v>40576</v>
      </c>
      <c r="C736" s="2">
        <v>1</v>
      </c>
      <c r="D736" s="2">
        <v>0</v>
      </c>
      <c r="E736" s="2">
        <v>2</v>
      </c>
      <c r="F736" s="2">
        <v>23</v>
      </c>
      <c r="G736" s="2" t="b">
        <v>0</v>
      </c>
      <c r="H736" s="2">
        <v>3</v>
      </c>
      <c r="I736" s="2">
        <v>1</v>
      </c>
      <c r="J736" s="2">
        <v>0.2</v>
      </c>
      <c r="K736" s="2">
        <v>0.16669999999999999</v>
      </c>
      <c r="L736" s="2">
        <v>0.44</v>
      </c>
      <c r="M736" s="2">
        <v>0.44779999999999998</v>
      </c>
      <c r="N736" s="2">
        <v>29</v>
      </c>
      <c r="O736" s="2">
        <v>32</v>
      </c>
      <c r="P736" s="2" t="str">
        <f t="shared" si="11"/>
        <v>Wednesday</v>
      </c>
      <c r="Q736" s="2" t="str">
        <f>IF(Table1[[#This Row],[temp]]&gt;=0.24,"cold","colder")</f>
        <v>colder</v>
      </c>
      <c r="R736" s="2">
        <v>3</v>
      </c>
      <c r="S736" s="16" t="str" cm="1">
        <f t="array" ref="S736">_xlfn.IFS(Table1[[#This Row],[weathersit]]=1,"clear sky",Table1[[#This Row],[weathersit]]=2,"mist",Table1[[#This Row],[weathersit]]=3,"partially dark",Table1[[#This Row],[weathersit]]=4,"rain")</f>
        <v>clear sky</v>
      </c>
    </row>
    <row r="737" spans="1:19" ht="13.8" x14ac:dyDescent="0.3">
      <c r="A737" s="2">
        <v>736</v>
      </c>
      <c r="B737" s="3">
        <v>40577</v>
      </c>
      <c r="C737" s="2">
        <v>1</v>
      </c>
      <c r="D737" s="2">
        <v>0</v>
      </c>
      <c r="E737" s="2">
        <v>2</v>
      </c>
      <c r="F737" s="2">
        <v>0</v>
      </c>
      <c r="G737" s="2" t="b">
        <v>0</v>
      </c>
      <c r="H737" s="2">
        <v>4</v>
      </c>
      <c r="I737" s="2">
        <v>1</v>
      </c>
      <c r="J737" s="2">
        <v>0.2</v>
      </c>
      <c r="K737" s="2">
        <v>0.16669999999999999</v>
      </c>
      <c r="L737" s="2">
        <v>0.4</v>
      </c>
      <c r="M737" s="2">
        <v>0.44779999999999998</v>
      </c>
      <c r="N737" s="2">
        <v>11</v>
      </c>
      <c r="O737" s="2">
        <v>12</v>
      </c>
      <c r="P737" s="2" t="str">
        <f t="shared" si="11"/>
        <v>Thursday</v>
      </c>
      <c r="Q737" s="2" t="str">
        <f>IF(Table1[[#This Row],[temp]]&gt;=0.24,"cold","colder")</f>
        <v>colder</v>
      </c>
      <c r="R737" s="2">
        <v>1</v>
      </c>
      <c r="S737" s="16" t="str" cm="1">
        <f t="array" ref="S737">_xlfn.IFS(Table1[[#This Row],[weathersit]]=1,"clear sky",Table1[[#This Row],[weathersit]]=2,"mist",Table1[[#This Row],[weathersit]]=3,"partially dark",Table1[[#This Row],[weathersit]]=4,"rain")</f>
        <v>clear sky</v>
      </c>
    </row>
    <row r="738" spans="1:19" ht="13.8" x14ac:dyDescent="0.3">
      <c r="A738" s="2">
        <v>737</v>
      </c>
      <c r="B738" s="3">
        <v>40577</v>
      </c>
      <c r="C738" s="2">
        <v>1</v>
      </c>
      <c r="D738" s="2">
        <v>0</v>
      </c>
      <c r="E738" s="2">
        <v>2</v>
      </c>
      <c r="F738" s="2">
        <v>1</v>
      </c>
      <c r="G738" s="2" t="b">
        <v>0</v>
      </c>
      <c r="H738" s="2">
        <v>4</v>
      </c>
      <c r="I738" s="2">
        <v>1</v>
      </c>
      <c r="J738" s="2">
        <v>0.2</v>
      </c>
      <c r="K738" s="2">
        <v>0.1515</v>
      </c>
      <c r="L738" s="2">
        <v>0.44</v>
      </c>
      <c r="M738" s="2">
        <v>0.52239999999999998</v>
      </c>
      <c r="N738" s="2">
        <v>5</v>
      </c>
      <c r="O738" s="2">
        <v>5</v>
      </c>
      <c r="P738" s="2" t="str">
        <f t="shared" si="11"/>
        <v>Thursday</v>
      </c>
      <c r="Q738" s="2" t="str">
        <f>IF(Table1[[#This Row],[temp]]&gt;=0.24,"cold","colder")</f>
        <v>colder</v>
      </c>
      <c r="R738" s="2">
        <v>0</v>
      </c>
      <c r="S738" s="16" t="str" cm="1">
        <f t="array" ref="S738">_xlfn.IFS(Table1[[#This Row],[weathersit]]=1,"clear sky",Table1[[#This Row],[weathersit]]=2,"mist",Table1[[#This Row],[weathersit]]=3,"partially dark",Table1[[#This Row],[weathersit]]=4,"rain")</f>
        <v>clear sky</v>
      </c>
    </row>
    <row r="739" spans="1:19" ht="13.8" x14ac:dyDescent="0.3">
      <c r="A739" s="2">
        <v>738</v>
      </c>
      <c r="B739" s="3">
        <v>40577</v>
      </c>
      <c r="C739" s="2">
        <v>1</v>
      </c>
      <c r="D739" s="2">
        <v>0</v>
      </c>
      <c r="E739" s="2">
        <v>2</v>
      </c>
      <c r="F739" s="2">
        <v>2</v>
      </c>
      <c r="G739" s="2" t="b">
        <v>0</v>
      </c>
      <c r="H739" s="2">
        <v>4</v>
      </c>
      <c r="I739" s="2">
        <v>1</v>
      </c>
      <c r="J739" s="2">
        <v>0.18</v>
      </c>
      <c r="K739" s="2">
        <v>0.16669999999999999</v>
      </c>
      <c r="L739" s="2">
        <v>0.43</v>
      </c>
      <c r="M739" s="2">
        <v>0.25369999999999998</v>
      </c>
      <c r="N739" s="2">
        <v>2</v>
      </c>
      <c r="O739" s="2">
        <v>2</v>
      </c>
      <c r="P739" s="2" t="str">
        <f t="shared" si="11"/>
        <v>Thursday</v>
      </c>
      <c r="Q739" s="2" t="str">
        <f>IF(Table1[[#This Row],[temp]]&gt;=0.24,"cold","colder")</f>
        <v>colder</v>
      </c>
      <c r="R739" s="2">
        <v>0</v>
      </c>
      <c r="S739" s="16" t="str" cm="1">
        <f t="array" ref="S739">_xlfn.IFS(Table1[[#This Row],[weathersit]]=1,"clear sky",Table1[[#This Row],[weathersit]]=2,"mist",Table1[[#This Row],[weathersit]]=3,"partially dark",Table1[[#This Row],[weathersit]]=4,"rain")</f>
        <v>clear sky</v>
      </c>
    </row>
    <row r="740" spans="1:19" ht="13.8" x14ac:dyDescent="0.3">
      <c r="A740" s="2">
        <v>739</v>
      </c>
      <c r="B740" s="3">
        <v>40577</v>
      </c>
      <c r="C740" s="2">
        <v>1</v>
      </c>
      <c r="D740" s="2">
        <v>0</v>
      </c>
      <c r="E740" s="2">
        <v>2</v>
      </c>
      <c r="F740" s="2">
        <v>3</v>
      </c>
      <c r="G740" s="2" t="b">
        <v>0</v>
      </c>
      <c r="H740" s="2">
        <v>4</v>
      </c>
      <c r="I740" s="2">
        <v>1</v>
      </c>
      <c r="J740" s="2">
        <v>0.18</v>
      </c>
      <c r="K740" s="2">
        <v>0.16669999999999999</v>
      </c>
      <c r="L740" s="2">
        <v>0.43</v>
      </c>
      <c r="M740" s="2">
        <v>0.25369999999999998</v>
      </c>
      <c r="N740" s="2">
        <v>1</v>
      </c>
      <c r="O740" s="2">
        <v>1</v>
      </c>
      <c r="P740" s="2" t="str">
        <f t="shared" si="11"/>
        <v>Thursday</v>
      </c>
      <c r="Q740" s="2" t="str">
        <f>IF(Table1[[#This Row],[temp]]&gt;=0.24,"cold","colder")</f>
        <v>colder</v>
      </c>
      <c r="R740" s="2">
        <v>0</v>
      </c>
      <c r="S740" s="16" t="str" cm="1">
        <f t="array" ref="S740">_xlfn.IFS(Table1[[#This Row],[weathersit]]=1,"clear sky",Table1[[#This Row],[weathersit]]=2,"mist",Table1[[#This Row],[weathersit]]=3,"partially dark",Table1[[#This Row],[weathersit]]=4,"rain")</f>
        <v>clear sky</v>
      </c>
    </row>
    <row r="741" spans="1:19" ht="13.8" x14ac:dyDescent="0.3">
      <c r="A741" s="2">
        <v>740</v>
      </c>
      <c r="B741" s="3">
        <v>40577</v>
      </c>
      <c r="C741" s="2">
        <v>1</v>
      </c>
      <c r="D741" s="2">
        <v>0</v>
      </c>
      <c r="E741" s="2">
        <v>2</v>
      </c>
      <c r="F741" s="2">
        <v>5</v>
      </c>
      <c r="G741" s="2" t="b">
        <v>0</v>
      </c>
      <c r="H741" s="2">
        <v>4</v>
      </c>
      <c r="I741" s="2">
        <v>1</v>
      </c>
      <c r="J741" s="2">
        <v>0.16</v>
      </c>
      <c r="K741" s="2">
        <v>0.13639999999999999</v>
      </c>
      <c r="L741" s="2">
        <v>0.5</v>
      </c>
      <c r="M741" s="2">
        <v>0.29849999999999999</v>
      </c>
      <c r="N741" s="2">
        <v>2</v>
      </c>
      <c r="O741" s="2">
        <v>2</v>
      </c>
      <c r="P741" s="2" t="str">
        <f t="shared" si="11"/>
        <v>Thursday</v>
      </c>
      <c r="Q741" s="2" t="str">
        <f>IF(Table1[[#This Row],[temp]]&gt;=0.24,"cold","colder")</f>
        <v>colder</v>
      </c>
      <c r="R741" s="2">
        <v>0</v>
      </c>
      <c r="S741" s="16" t="str" cm="1">
        <f t="array" ref="S741">_xlfn.IFS(Table1[[#This Row],[weathersit]]=1,"clear sky",Table1[[#This Row],[weathersit]]=2,"mist",Table1[[#This Row],[weathersit]]=3,"partially dark",Table1[[#This Row],[weathersit]]=4,"rain")</f>
        <v>clear sky</v>
      </c>
    </row>
    <row r="742" spans="1:19" ht="13.8" x14ac:dyDescent="0.3">
      <c r="A742" s="2">
        <v>741</v>
      </c>
      <c r="B742" s="3">
        <v>40577</v>
      </c>
      <c r="C742" s="2">
        <v>1</v>
      </c>
      <c r="D742" s="2">
        <v>0</v>
      </c>
      <c r="E742" s="2">
        <v>2</v>
      </c>
      <c r="F742" s="2">
        <v>6</v>
      </c>
      <c r="G742" s="2" t="b">
        <v>0</v>
      </c>
      <c r="H742" s="2">
        <v>4</v>
      </c>
      <c r="I742" s="2">
        <v>1</v>
      </c>
      <c r="J742" s="2">
        <v>0.16</v>
      </c>
      <c r="K742" s="2">
        <v>0.13639999999999999</v>
      </c>
      <c r="L742" s="2">
        <v>0.43</v>
      </c>
      <c r="M742" s="2">
        <v>0.35820000000000002</v>
      </c>
      <c r="N742" s="2">
        <v>39</v>
      </c>
      <c r="O742" s="2">
        <v>39</v>
      </c>
      <c r="P742" s="2" t="str">
        <f t="shared" si="11"/>
        <v>Thursday</v>
      </c>
      <c r="Q742" s="2" t="str">
        <f>IF(Table1[[#This Row],[temp]]&gt;=0.24,"cold","colder")</f>
        <v>colder</v>
      </c>
      <c r="R742" s="2">
        <v>0</v>
      </c>
      <c r="S742" s="16" t="str" cm="1">
        <f t="array" ref="S742">_xlfn.IFS(Table1[[#This Row],[weathersit]]=1,"clear sky",Table1[[#This Row],[weathersit]]=2,"mist",Table1[[#This Row],[weathersit]]=3,"partially dark",Table1[[#This Row],[weathersit]]=4,"rain")</f>
        <v>clear sky</v>
      </c>
    </row>
    <row r="743" spans="1:19" ht="13.8" x14ac:dyDescent="0.3">
      <c r="A743" s="2">
        <v>742</v>
      </c>
      <c r="B743" s="3">
        <v>40577</v>
      </c>
      <c r="C743" s="2">
        <v>1</v>
      </c>
      <c r="D743" s="2">
        <v>0</v>
      </c>
      <c r="E743" s="2">
        <v>2</v>
      </c>
      <c r="F743" s="2">
        <v>7</v>
      </c>
      <c r="G743" s="2" t="b">
        <v>0</v>
      </c>
      <c r="H743" s="2">
        <v>4</v>
      </c>
      <c r="I743" s="2">
        <v>1</v>
      </c>
      <c r="J743" s="2">
        <v>0.14000000000000001</v>
      </c>
      <c r="K743" s="2">
        <v>0.1212</v>
      </c>
      <c r="L743" s="2">
        <v>0.5</v>
      </c>
      <c r="M743" s="2">
        <v>0.32840000000000003</v>
      </c>
      <c r="N743" s="2">
        <v>86</v>
      </c>
      <c r="O743" s="2">
        <v>87</v>
      </c>
      <c r="P743" s="2" t="str">
        <f t="shared" si="11"/>
        <v>Thursday</v>
      </c>
      <c r="Q743" s="2" t="str">
        <f>IF(Table1[[#This Row],[temp]]&gt;=0.24,"cold","colder")</f>
        <v>colder</v>
      </c>
      <c r="R743" s="2">
        <v>1</v>
      </c>
      <c r="S743" s="16" t="str" cm="1">
        <f t="array" ref="S743">_xlfn.IFS(Table1[[#This Row],[weathersit]]=1,"clear sky",Table1[[#This Row],[weathersit]]=2,"mist",Table1[[#This Row],[weathersit]]=3,"partially dark",Table1[[#This Row],[weathersit]]=4,"rain")</f>
        <v>clear sky</v>
      </c>
    </row>
    <row r="744" spans="1:19" ht="13.8" x14ac:dyDescent="0.3">
      <c r="A744" s="2">
        <v>743</v>
      </c>
      <c r="B744" s="3">
        <v>40577</v>
      </c>
      <c r="C744" s="2">
        <v>1</v>
      </c>
      <c r="D744" s="2">
        <v>0</v>
      </c>
      <c r="E744" s="2">
        <v>2</v>
      </c>
      <c r="F744" s="2">
        <v>8</v>
      </c>
      <c r="G744" s="2" t="b">
        <v>0</v>
      </c>
      <c r="H744" s="2">
        <v>4</v>
      </c>
      <c r="I744" s="2">
        <v>1</v>
      </c>
      <c r="J744" s="2">
        <v>0.14000000000000001</v>
      </c>
      <c r="K744" s="2">
        <v>0.1212</v>
      </c>
      <c r="L744" s="2">
        <v>0.5</v>
      </c>
      <c r="M744" s="2">
        <v>0.35820000000000002</v>
      </c>
      <c r="N744" s="2">
        <v>184</v>
      </c>
      <c r="O744" s="2">
        <v>188</v>
      </c>
      <c r="P744" s="2" t="str">
        <f t="shared" si="11"/>
        <v>Thursday</v>
      </c>
      <c r="Q744" s="2" t="str">
        <f>IF(Table1[[#This Row],[temp]]&gt;=0.24,"cold","colder")</f>
        <v>colder</v>
      </c>
      <c r="R744" s="2">
        <v>4</v>
      </c>
      <c r="S744" s="16" t="str" cm="1">
        <f t="array" ref="S744">_xlfn.IFS(Table1[[#This Row],[weathersit]]=1,"clear sky",Table1[[#This Row],[weathersit]]=2,"mist",Table1[[#This Row],[weathersit]]=3,"partially dark",Table1[[#This Row],[weathersit]]=4,"rain")</f>
        <v>clear sky</v>
      </c>
    </row>
    <row r="745" spans="1:19" ht="13.8" x14ac:dyDescent="0.3">
      <c r="A745" s="2">
        <v>744</v>
      </c>
      <c r="B745" s="3">
        <v>40577</v>
      </c>
      <c r="C745" s="2">
        <v>1</v>
      </c>
      <c r="D745" s="2">
        <v>0</v>
      </c>
      <c r="E745" s="2">
        <v>2</v>
      </c>
      <c r="F745" s="2">
        <v>9</v>
      </c>
      <c r="G745" s="2" t="b">
        <v>0</v>
      </c>
      <c r="H745" s="2">
        <v>4</v>
      </c>
      <c r="I745" s="2">
        <v>1</v>
      </c>
      <c r="J745" s="2">
        <v>0.16</v>
      </c>
      <c r="K745" s="2">
        <v>0.13639999999999999</v>
      </c>
      <c r="L745" s="2">
        <v>0.47</v>
      </c>
      <c r="M745" s="2">
        <v>0.29849999999999999</v>
      </c>
      <c r="N745" s="2">
        <v>127</v>
      </c>
      <c r="O745" s="2">
        <v>133</v>
      </c>
      <c r="P745" s="2" t="str">
        <f t="shared" si="11"/>
        <v>Thursday</v>
      </c>
      <c r="Q745" s="2" t="str">
        <f>IF(Table1[[#This Row],[temp]]&gt;=0.24,"cold","colder")</f>
        <v>colder</v>
      </c>
      <c r="R745" s="2">
        <v>6</v>
      </c>
      <c r="S745" s="16" t="str" cm="1">
        <f t="array" ref="S745">_xlfn.IFS(Table1[[#This Row],[weathersit]]=1,"clear sky",Table1[[#This Row],[weathersit]]=2,"mist",Table1[[#This Row],[weathersit]]=3,"partially dark",Table1[[#This Row],[weathersit]]=4,"rain")</f>
        <v>clear sky</v>
      </c>
    </row>
    <row r="746" spans="1:19" ht="13.8" x14ac:dyDescent="0.3">
      <c r="A746" s="2">
        <v>745</v>
      </c>
      <c r="B746" s="3">
        <v>40577</v>
      </c>
      <c r="C746" s="2">
        <v>1</v>
      </c>
      <c r="D746" s="2">
        <v>0</v>
      </c>
      <c r="E746" s="2">
        <v>2</v>
      </c>
      <c r="F746" s="2">
        <v>10</v>
      </c>
      <c r="G746" s="2" t="b">
        <v>0</v>
      </c>
      <c r="H746" s="2">
        <v>4</v>
      </c>
      <c r="I746" s="2">
        <v>1</v>
      </c>
      <c r="J746" s="2">
        <v>0.18</v>
      </c>
      <c r="K746" s="2">
        <v>0.1515</v>
      </c>
      <c r="L746" s="2">
        <v>0.43</v>
      </c>
      <c r="M746" s="2">
        <v>0.32840000000000003</v>
      </c>
      <c r="N746" s="2">
        <v>50</v>
      </c>
      <c r="O746" s="2">
        <v>52</v>
      </c>
      <c r="P746" s="2" t="str">
        <f t="shared" si="11"/>
        <v>Thursday</v>
      </c>
      <c r="Q746" s="2" t="str">
        <f>IF(Table1[[#This Row],[temp]]&gt;=0.24,"cold","colder")</f>
        <v>colder</v>
      </c>
      <c r="R746" s="2">
        <v>2</v>
      </c>
      <c r="S746" s="16" t="str" cm="1">
        <f t="array" ref="S746">_xlfn.IFS(Table1[[#This Row],[weathersit]]=1,"clear sky",Table1[[#This Row],[weathersit]]=2,"mist",Table1[[#This Row],[weathersit]]=3,"partially dark",Table1[[#This Row],[weathersit]]=4,"rain")</f>
        <v>clear sky</v>
      </c>
    </row>
    <row r="747" spans="1:19" ht="13.8" x14ac:dyDescent="0.3">
      <c r="A747" s="2">
        <v>746</v>
      </c>
      <c r="B747" s="3">
        <v>40577</v>
      </c>
      <c r="C747" s="2">
        <v>1</v>
      </c>
      <c r="D747" s="2">
        <v>0</v>
      </c>
      <c r="E747" s="2">
        <v>2</v>
      </c>
      <c r="F747" s="2">
        <v>11</v>
      </c>
      <c r="G747" s="2" t="b">
        <v>0</v>
      </c>
      <c r="H747" s="2">
        <v>4</v>
      </c>
      <c r="I747" s="2">
        <v>1</v>
      </c>
      <c r="J747" s="2">
        <v>0.18</v>
      </c>
      <c r="K747" s="2">
        <v>0.13639999999999999</v>
      </c>
      <c r="L747" s="2">
        <v>0.43</v>
      </c>
      <c r="M747" s="2">
        <v>0.44779999999999998</v>
      </c>
      <c r="N747" s="2">
        <v>55</v>
      </c>
      <c r="O747" s="2">
        <v>64</v>
      </c>
      <c r="P747" s="2" t="str">
        <f t="shared" si="11"/>
        <v>Thursday</v>
      </c>
      <c r="Q747" s="2" t="str">
        <f>IF(Table1[[#This Row],[temp]]&gt;=0.24,"cold","colder")</f>
        <v>colder</v>
      </c>
      <c r="R747" s="2">
        <v>9</v>
      </c>
      <c r="S747" s="16" t="str" cm="1">
        <f t="array" ref="S747">_xlfn.IFS(Table1[[#This Row],[weathersit]]=1,"clear sky",Table1[[#This Row],[weathersit]]=2,"mist",Table1[[#This Row],[weathersit]]=3,"partially dark",Table1[[#This Row],[weathersit]]=4,"rain")</f>
        <v>clear sky</v>
      </c>
    </row>
    <row r="748" spans="1:19" ht="13.8" x14ac:dyDescent="0.3">
      <c r="A748" s="2">
        <v>747</v>
      </c>
      <c r="B748" s="3">
        <v>40577</v>
      </c>
      <c r="C748" s="2">
        <v>1</v>
      </c>
      <c r="D748" s="2">
        <v>0</v>
      </c>
      <c r="E748" s="2">
        <v>2</v>
      </c>
      <c r="F748" s="2">
        <v>12</v>
      </c>
      <c r="G748" s="2" t="b">
        <v>0</v>
      </c>
      <c r="H748" s="2">
        <v>4</v>
      </c>
      <c r="I748" s="2">
        <v>1</v>
      </c>
      <c r="J748" s="2">
        <v>0.2</v>
      </c>
      <c r="K748" s="2">
        <v>0.18179999999999999</v>
      </c>
      <c r="L748" s="2">
        <v>0.4</v>
      </c>
      <c r="M748" s="2">
        <v>0.35820000000000002</v>
      </c>
      <c r="N748" s="2">
        <v>67</v>
      </c>
      <c r="O748" s="2">
        <v>69</v>
      </c>
      <c r="P748" s="2" t="str">
        <f t="shared" si="11"/>
        <v>Thursday</v>
      </c>
      <c r="Q748" s="2" t="str">
        <f>IF(Table1[[#This Row],[temp]]&gt;=0.24,"cold","colder")</f>
        <v>colder</v>
      </c>
      <c r="R748" s="2">
        <v>2</v>
      </c>
      <c r="S748" s="16" t="str" cm="1">
        <f t="array" ref="S748">_xlfn.IFS(Table1[[#This Row],[weathersit]]=1,"clear sky",Table1[[#This Row],[weathersit]]=2,"mist",Table1[[#This Row],[weathersit]]=3,"partially dark",Table1[[#This Row],[weathersit]]=4,"rain")</f>
        <v>clear sky</v>
      </c>
    </row>
    <row r="749" spans="1:19" ht="13.8" x14ac:dyDescent="0.3">
      <c r="A749" s="2">
        <v>748</v>
      </c>
      <c r="B749" s="3">
        <v>40577</v>
      </c>
      <c r="C749" s="2">
        <v>1</v>
      </c>
      <c r="D749" s="2">
        <v>0</v>
      </c>
      <c r="E749" s="2">
        <v>2</v>
      </c>
      <c r="F749" s="2">
        <v>13</v>
      </c>
      <c r="G749" s="2" t="b">
        <v>0</v>
      </c>
      <c r="H749" s="2">
        <v>4</v>
      </c>
      <c r="I749" s="2">
        <v>1</v>
      </c>
      <c r="J749" s="2">
        <v>0.2</v>
      </c>
      <c r="K749" s="2">
        <v>0.16669999999999999</v>
      </c>
      <c r="L749" s="2">
        <v>0.4</v>
      </c>
      <c r="M749" s="2">
        <v>0.41789999999999999</v>
      </c>
      <c r="N749" s="2">
        <v>47</v>
      </c>
      <c r="O749" s="2">
        <v>51</v>
      </c>
      <c r="P749" s="2" t="str">
        <f t="shared" si="11"/>
        <v>Thursday</v>
      </c>
      <c r="Q749" s="2" t="str">
        <f>IF(Table1[[#This Row],[temp]]&gt;=0.24,"cold","colder")</f>
        <v>colder</v>
      </c>
      <c r="R749" s="2">
        <v>4</v>
      </c>
      <c r="S749" s="16" t="str" cm="1">
        <f t="array" ref="S749">_xlfn.IFS(Table1[[#This Row],[weathersit]]=1,"clear sky",Table1[[#This Row],[weathersit]]=2,"mist",Table1[[#This Row],[weathersit]]=3,"partially dark",Table1[[#This Row],[weathersit]]=4,"rain")</f>
        <v>clear sky</v>
      </c>
    </row>
    <row r="750" spans="1:19" ht="13.8" x14ac:dyDescent="0.3">
      <c r="A750" s="2">
        <v>749</v>
      </c>
      <c r="B750" s="3">
        <v>40577</v>
      </c>
      <c r="C750" s="2">
        <v>1</v>
      </c>
      <c r="D750" s="2">
        <v>0</v>
      </c>
      <c r="E750" s="2">
        <v>2</v>
      </c>
      <c r="F750" s="2">
        <v>14</v>
      </c>
      <c r="G750" s="2" t="b">
        <v>0</v>
      </c>
      <c r="H750" s="2">
        <v>4</v>
      </c>
      <c r="I750" s="2">
        <v>1</v>
      </c>
      <c r="J750" s="2">
        <v>0.22</v>
      </c>
      <c r="K750" s="2">
        <v>0.19700000000000001</v>
      </c>
      <c r="L750" s="2">
        <v>0.37</v>
      </c>
      <c r="M750" s="2">
        <v>0.3881</v>
      </c>
      <c r="N750" s="2">
        <v>43</v>
      </c>
      <c r="O750" s="2">
        <v>47</v>
      </c>
      <c r="P750" s="2" t="str">
        <f t="shared" si="11"/>
        <v>Thursday</v>
      </c>
      <c r="Q750" s="2" t="str">
        <f>IF(Table1[[#This Row],[temp]]&gt;=0.24,"cold","colder")</f>
        <v>colder</v>
      </c>
      <c r="R750" s="2">
        <v>4</v>
      </c>
      <c r="S750" s="16" t="str" cm="1">
        <f t="array" ref="S750">_xlfn.IFS(Table1[[#This Row],[weathersit]]=1,"clear sky",Table1[[#This Row],[weathersit]]=2,"mist",Table1[[#This Row],[weathersit]]=3,"partially dark",Table1[[#This Row],[weathersit]]=4,"rain")</f>
        <v>clear sky</v>
      </c>
    </row>
    <row r="751" spans="1:19" ht="13.8" x14ac:dyDescent="0.3">
      <c r="A751" s="2">
        <v>750</v>
      </c>
      <c r="B751" s="3">
        <v>40577</v>
      </c>
      <c r="C751" s="2">
        <v>1</v>
      </c>
      <c r="D751" s="2">
        <v>0</v>
      </c>
      <c r="E751" s="2">
        <v>2</v>
      </c>
      <c r="F751" s="2">
        <v>15</v>
      </c>
      <c r="G751" s="2" t="b">
        <v>0</v>
      </c>
      <c r="H751" s="2">
        <v>4</v>
      </c>
      <c r="I751" s="2">
        <v>1</v>
      </c>
      <c r="J751" s="2">
        <v>0.22</v>
      </c>
      <c r="K751" s="2">
        <v>0.19700000000000001</v>
      </c>
      <c r="L751" s="2">
        <v>0.37</v>
      </c>
      <c r="M751" s="2">
        <v>0.32840000000000003</v>
      </c>
      <c r="N751" s="2">
        <v>56</v>
      </c>
      <c r="O751" s="2">
        <v>60</v>
      </c>
      <c r="P751" s="2" t="str">
        <f t="shared" si="11"/>
        <v>Thursday</v>
      </c>
      <c r="Q751" s="2" t="str">
        <f>IF(Table1[[#This Row],[temp]]&gt;=0.24,"cold","colder")</f>
        <v>colder</v>
      </c>
      <c r="R751" s="2">
        <v>4</v>
      </c>
      <c r="S751" s="16" t="str" cm="1">
        <f t="array" ref="S751">_xlfn.IFS(Table1[[#This Row],[weathersit]]=1,"clear sky",Table1[[#This Row],[weathersit]]=2,"mist",Table1[[#This Row],[weathersit]]=3,"partially dark",Table1[[#This Row],[weathersit]]=4,"rain")</f>
        <v>clear sky</v>
      </c>
    </row>
    <row r="752" spans="1:19" ht="13.8" x14ac:dyDescent="0.3">
      <c r="A752" s="2">
        <v>751</v>
      </c>
      <c r="B752" s="3">
        <v>40577</v>
      </c>
      <c r="C752" s="2">
        <v>1</v>
      </c>
      <c r="D752" s="2">
        <v>0</v>
      </c>
      <c r="E752" s="2">
        <v>2</v>
      </c>
      <c r="F752" s="2">
        <v>16</v>
      </c>
      <c r="G752" s="2" t="b">
        <v>0</v>
      </c>
      <c r="H752" s="2">
        <v>4</v>
      </c>
      <c r="I752" s="2">
        <v>1</v>
      </c>
      <c r="J752" s="2">
        <v>0.22</v>
      </c>
      <c r="K752" s="2">
        <v>0.21210000000000001</v>
      </c>
      <c r="L752" s="2">
        <v>0.37</v>
      </c>
      <c r="M752" s="2">
        <v>0.25369999999999998</v>
      </c>
      <c r="N752" s="2">
        <v>73</v>
      </c>
      <c r="O752" s="2">
        <v>78</v>
      </c>
      <c r="P752" s="2" t="str">
        <f t="shared" si="11"/>
        <v>Thursday</v>
      </c>
      <c r="Q752" s="2" t="str">
        <f>IF(Table1[[#This Row],[temp]]&gt;=0.24,"cold","colder")</f>
        <v>colder</v>
      </c>
      <c r="R752" s="2">
        <v>5</v>
      </c>
      <c r="S752" s="16" t="str" cm="1">
        <f t="array" ref="S752">_xlfn.IFS(Table1[[#This Row],[weathersit]]=1,"clear sky",Table1[[#This Row],[weathersit]]=2,"mist",Table1[[#This Row],[weathersit]]=3,"partially dark",Table1[[#This Row],[weathersit]]=4,"rain")</f>
        <v>clear sky</v>
      </c>
    </row>
    <row r="753" spans="1:19" ht="13.8" x14ac:dyDescent="0.3">
      <c r="A753" s="2">
        <v>752</v>
      </c>
      <c r="B753" s="3">
        <v>40577</v>
      </c>
      <c r="C753" s="2">
        <v>1</v>
      </c>
      <c r="D753" s="2">
        <v>0</v>
      </c>
      <c r="E753" s="2">
        <v>2</v>
      </c>
      <c r="F753" s="2">
        <v>17</v>
      </c>
      <c r="G753" s="2" t="b">
        <v>0</v>
      </c>
      <c r="H753" s="2">
        <v>4</v>
      </c>
      <c r="I753" s="2">
        <v>1</v>
      </c>
      <c r="J753" s="2">
        <v>0.2</v>
      </c>
      <c r="K753" s="2">
        <v>0.19700000000000001</v>
      </c>
      <c r="L753" s="2">
        <v>0.4</v>
      </c>
      <c r="M753" s="2">
        <v>0.19400000000000001</v>
      </c>
      <c r="N753" s="2">
        <v>170</v>
      </c>
      <c r="O753" s="2">
        <v>175</v>
      </c>
      <c r="P753" s="2" t="str">
        <f t="shared" si="11"/>
        <v>Thursday</v>
      </c>
      <c r="Q753" s="2" t="str">
        <f>IF(Table1[[#This Row],[temp]]&gt;=0.24,"cold","colder")</f>
        <v>colder</v>
      </c>
      <c r="R753" s="2">
        <v>5</v>
      </c>
      <c r="S753" s="16" t="str" cm="1">
        <f t="array" ref="S753">_xlfn.IFS(Table1[[#This Row],[weathersit]]=1,"clear sky",Table1[[#This Row],[weathersit]]=2,"mist",Table1[[#This Row],[weathersit]]=3,"partially dark",Table1[[#This Row],[weathersit]]=4,"rain")</f>
        <v>clear sky</v>
      </c>
    </row>
    <row r="754" spans="1:19" ht="13.8" x14ac:dyDescent="0.3">
      <c r="A754" s="2">
        <v>753</v>
      </c>
      <c r="B754" s="3">
        <v>40577</v>
      </c>
      <c r="C754" s="2">
        <v>1</v>
      </c>
      <c r="D754" s="2">
        <v>0</v>
      </c>
      <c r="E754" s="2">
        <v>2</v>
      </c>
      <c r="F754" s="2">
        <v>18</v>
      </c>
      <c r="G754" s="2" t="b">
        <v>0</v>
      </c>
      <c r="H754" s="2">
        <v>4</v>
      </c>
      <c r="I754" s="2">
        <v>1</v>
      </c>
      <c r="J754" s="2">
        <v>0.2</v>
      </c>
      <c r="K754" s="2">
        <v>0.21210000000000001</v>
      </c>
      <c r="L754" s="2">
        <v>0.4</v>
      </c>
      <c r="M754" s="2">
        <v>0.16420000000000001</v>
      </c>
      <c r="N754" s="2">
        <v>145</v>
      </c>
      <c r="O754" s="2">
        <v>147</v>
      </c>
      <c r="P754" s="2" t="str">
        <f t="shared" si="11"/>
        <v>Thursday</v>
      </c>
      <c r="Q754" s="2" t="str">
        <f>IF(Table1[[#This Row],[temp]]&gt;=0.24,"cold","colder")</f>
        <v>colder</v>
      </c>
      <c r="R754" s="2">
        <v>2</v>
      </c>
      <c r="S754" s="16" t="str" cm="1">
        <f t="array" ref="S754">_xlfn.IFS(Table1[[#This Row],[weathersit]]=1,"clear sky",Table1[[#This Row],[weathersit]]=2,"mist",Table1[[#This Row],[weathersit]]=3,"partially dark",Table1[[#This Row],[weathersit]]=4,"rain")</f>
        <v>clear sky</v>
      </c>
    </row>
    <row r="755" spans="1:19" ht="13.8" x14ac:dyDescent="0.3">
      <c r="A755" s="2">
        <v>754</v>
      </c>
      <c r="B755" s="3">
        <v>40577</v>
      </c>
      <c r="C755" s="2">
        <v>1</v>
      </c>
      <c r="D755" s="2">
        <v>0</v>
      </c>
      <c r="E755" s="2">
        <v>2</v>
      </c>
      <c r="F755" s="2">
        <v>19</v>
      </c>
      <c r="G755" s="2" t="b">
        <v>0</v>
      </c>
      <c r="H755" s="2">
        <v>4</v>
      </c>
      <c r="I755" s="2">
        <v>1</v>
      </c>
      <c r="J755" s="2">
        <v>0.2</v>
      </c>
      <c r="K755" s="2">
        <v>0.2576</v>
      </c>
      <c r="L755" s="2">
        <v>0.4</v>
      </c>
      <c r="M755" s="2">
        <v>0</v>
      </c>
      <c r="N755" s="2">
        <v>92</v>
      </c>
      <c r="O755" s="2">
        <v>96</v>
      </c>
      <c r="P755" s="2" t="str">
        <f t="shared" si="11"/>
        <v>Thursday</v>
      </c>
      <c r="Q755" s="2" t="str">
        <f>IF(Table1[[#This Row],[temp]]&gt;=0.24,"cold","colder")</f>
        <v>colder</v>
      </c>
      <c r="R755" s="2">
        <v>4</v>
      </c>
      <c r="S755" s="16" t="str" cm="1">
        <f t="array" ref="S755">_xlfn.IFS(Table1[[#This Row],[weathersit]]=1,"clear sky",Table1[[#This Row],[weathersit]]=2,"mist",Table1[[#This Row],[weathersit]]=3,"partially dark",Table1[[#This Row],[weathersit]]=4,"rain")</f>
        <v>clear sky</v>
      </c>
    </row>
    <row r="756" spans="1:19" ht="13.8" x14ac:dyDescent="0.3">
      <c r="A756" s="2">
        <v>755</v>
      </c>
      <c r="B756" s="3">
        <v>40577</v>
      </c>
      <c r="C756" s="2">
        <v>1</v>
      </c>
      <c r="D756" s="2">
        <v>0</v>
      </c>
      <c r="E756" s="2">
        <v>2</v>
      </c>
      <c r="F756" s="2">
        <v>20</v>
      </c>
      <c r="G756" s="2" t="b">
        <v>0</v>
      </c>
      <c r="H756" s="2">
        <v>4</v>
      </c>
      <c r="I756" s="2">
        <v>1</v>
      </c>
      <c r="J756" s="2">
        <v>0.2</v>
      </c>
      <c r="K756" s="2">
        <v>0.2273</v>
      </c>
      <c r="L756" s="2">
        <v>0.47</v>
      </c>
      <c r="M756" s="2">
        <v>8.9599999999999999E-2</v>
      </c>
      <c r="N756" s="2">
        <v>108</v>
      </c>
      <c r="O756" s="2">
        <v>109</v>
      </c>
      <c r="P756" s="2" t="str">
        <f t="shared" si="11"/>
        <v>Thursday</v>
      </c>
      <c r="Q756" s="2" t="str">
        <f>IF(Table1[[#This Row],[temp]]&gt;=0.24,"cold","colder")</f>
        <v>colder</v>
      </c>
      <c r="R756" s="2">
        <v>1</v>
      </c>
      <c r="S756" s="16" t="str" cm="1">
        <f t="array" ref="S756">_xlfn.IFS(Table1[[#This Row],[weathersit]]=1,"clear sky",Table1[[#This Row],[weathersit]]=2,"mist",Table1[[#This Row],[weathersit]]=3,"partially dark",Table1[[#This Row],[weathersit]]=4,"rain")</f>
        <v>clear sky</v>
      </c>
    </row>
    <row r="757" spans="1:19" ht="13.8" x14ac:dyDescent="0.3">
      <c r="A757" s="2">
        <v>756</v>
      </c>
      <c r="B757" s="3">
        <v>40577</v>
      </c>
      <c r="C757" s="2">
        <v>1</v>
      </c>
      <c r="D757" s="2">
        <v>0</v>
      </c>
      <c r="E757" s="2">
        <v>2</v>
      </c>
      <c r="F757" s="2">
        <v>21</v>
      </c>
      <c r="G757" s="2" t="b">
        <v>0</v>
      </c>
      <c r="H757" s="2">
        <v>4</v>
      </c>
      <c r="I757" s="2">
        <v>1</v>
      </c>
      <c r="J757" s="2">
        <v>0.18</v>
      </c>
      <c r="K757" s="2">
        <v>0.21210000000000001</v>
      </c>
      <c r="L757" s="2">
        <v>0.55000000000000004</v>
      </c>
      <c r="M757" s="2">
        <v>0.1045</v>
      </c>
      <c r="N757" s="2">
        <v>53</v>
      </c>
      <c r="O757" s="2">
        <v>54</v>
      </c>
      <c r="P757" s="2" t="str">
        <f t="shared" si="11"/>
        <v>Thursday</v>
      </c>
      <c r="Q757" s="2" t="str">
        <f>IF(Table1[[#This Row],[temp]]&gt;=0.24,"cold","colder")</f>
        <v>colder</v>
      </c>
      <c r="R757" s="2">
        <v>1</v>
      </c>
      <c r="S757" s="16" t="str" cm="1">
        <f t="array" ref="S757">_xlfn.IFS(Table1[[#This Row],[weathersit]]=1,"clear sky",Table1[[#This Row],[weathersit]]=2,"mist",Table1[[#This Row],[weathersit]]=3,"partially dark",Table1[[#This Row],[weathersit]]=4,"rain")</f>
        <v>clear sky</v>
      </c>
    </row>
    <row r="758" spans="1:19" ht="13.8" x14ac:dyDescent="0.3">
      <c r="A758" s="2">
        <v>757</v>
      </c>
      <c r="B758" s="3">
        <v>40577</v>
      </c>
      <c r="C758" s="2">
        <v>1</v>
      </c>
      <c r="D758" s="2">
        <v>0</v>
      </c>
      <c r="E758" s="2">
        <v>2</v>
      </c>
      <c r="F758" s="2">
        <v>22</v>
      </c>
      <c r="G758" s="2" t="b">
        <v>0</v>
      </c>
      <c r="H758" s="2">
        <v>4</v>
      </c>
      <c r="I758" s="2">
        <v>1</v>
      </c>
      <c r="J758" s="2">
        <v>0.18</v>
      </c>
      <c r="K758" s="2">
        <v>0.21210000000000001</v>
      </c>
      <c r="L758" s="2">
        <v>0.51</v>
      </c>
      <c r="M758" s="2">
        <v>8.9599999999999999E-2</v>
      </c>
      <c r="N758" s="2">
        <v>39</v>
      </c>
      <c r="O758" s="2">
        <v>41</v>
      </c>
      <c r="P758" s="2" t="str">
        <f t="shared" si="11"/>
        <v>Thursday</v>
      </c>
      <c r="Q758" s="2" t="str">
        <f>IF(Table1[[#This Row],[temp]]&gt;=0.24,"cold","colder")</f>
        <v>colder</v>
      </c>
      <c r="R758" s="2">
        <v>2</v>
      </c>
      <c r="S758" s="16" t="str" cm="1">
        <f t="array" ref="S758">_xlfn.IFS(Table1[[#This Row],[weathersit]]=1,"clear sky",Table1[[#This Row],[weathersit]]=2,"mist",Table1[[#This Row],[weathersit]]=3,"partially dark",Table1[[#This Row],[weathersit]]=4,"rain")</f>
        <v>clear sky</v>
      </c>
    </row>
    <row r="759" spans="1:19" ht="13.8" x14ac:dyDescent="0.3">
      <c r="A759" s="2">
        <v>758</v>
      </c>
      <c r="B759" s="3">
        <v>40577</v>
      </c>
      <c r="C759" s="2">
        <v>1</v>
      </c>
      <c r="D759" s="2">
        <v>0</v>
      </c>
      <c r="E759" s="2">
        <v>2</v>
      </c>
      <c r="F759" s="2">
        <v>23</v>
      </c>
      <c r="G759" s="2" t="b">
        <v>0</v>
      </c>
      <c r="H759" s="2">
        <v>4</v>
      </c>
      <c r="I759" s="2">
        <v>1</v>
      </c>
      <c r="J759" s="2">
        <v>0.2</v>
      </c>
      <c r="K759" s="2">
        <v>0.2273</v>
      </c>
      <c r="L759" s="2">
        <v>0.47</v>
      </c>
      <c r="M759" s="2">
        <v>0.1045</v>
      </c>
      <c r="N759" s="2">
        <v>34</v>
      </c>
      <c r="O759" s="2">
        <v>38</v>
      </c>
      <c r="P759" s="2" t="str">
        <f t="shared" si="11"/>
        <v>Thursday</v>
      </c>
      <c r="Q759" s="2" t="str">
        <f>IF(Table1[[#This Row],[temp]]&gt;=0.24,"cold","colder")</f>
        <v>colder</v>
      </c>
      <c r="R759" s="2">
        <v>4</v>
      </c>
      <c r="S759" s="16" t="str" cm="1">
        <f t="array" ref="S759">_xlfn.IFS(Table1[[#This Row],[weathersit]]=1,"clear sky",Table1[[#This Row],[weathersit]]=2,"mist",Table1[[#This Row],[weathersit]]=3,"partially dark",Table1[[#This Row],[weathersit]]=4,"rain")</f>
        <v>clear sky</v>
      </c>
    </row>
    <row r="760" spans="1:19" ht="13.8" x14ac:dyDescent="0.3">
      <c r="A760" s="2">
        <v>759</v>
      </c>
      <c r="B760" s="3">
        <v>40578</v>
      </c>
      <c r="C760" s="2">
        <v>1</v>
      </c>
      <c r="D760" s="2">
        <v>0</v>
      </c>
      <c r="E760" s="2">
        <v>2</v>
      </c>
      <c r="F760" s="2">
        <v>0</v>
      </c>
      <c r="G760" s="2" t="b">
        <v>0</v>
      </c>
      <c r="H760" s="2">
        <v>5</v>
      </c>
      <c r="I760" s="2">
        <v>2</v>
      </c>
      <c r="J760" s="2">
        <v>0.2</v>
      </c>
      <c r="K760" s="2">
        <v>0.2576</v>
      </c>
      <c r="L760" s="2">
        <v>0.44</v>
      </c>
      <c r="M760" s="2">
        <v>0</v>
      </c>
      <c r="N760" s="2">
        <v>10</v>
      </c>
      <c r="O760" s="2">
        <v>13</v>
      </c>
      <c r="P760" s="2" t="str">
        <f t="shared" si="11"/>
        <v>Friday</v>
      </c>
      <c r="Q760" s="2" t="str">
        <f>IF(Table1[[#This Row],[temp]]&gt;=0.24,"cold","colder")</f>
        <v>colder</v>
      </c>
      <c r="R760" s="2">
        <v>3</v>
      </c>
      <c r="S760" s="16" t="str" cm="1">
        <f t="array" ref="S760">_xlfn.IFS(Table1[[#This Row],[weathersit]]=1,"clear sky",Table1[[#This Row],[weathersit]]=2,"mist",Table1[[#This Row],[weathersit]]=3,"partially dark",Table1[[#This Row],[weathersit]]=4,"rain")</f>
        <v>mist</v>
      </c>
    </row>
    <row r="761" spans="1:19" ht="13.8" x14ac:dyDescent="0.3">
      <c r="A761" s="2">
        <v>760</v>
      </c>
      <c r="B761" s="3">
        <v>40578</v>
      </c>
      <c r="C761" s="2">
        <v>1</v>
      </c>
      <c r="D761" s="2">
        <v>0</v>
      </c>
      <c r="E761" s="2">
        <v>2</v>
      </c>
      <c r="F761" s="2">
        <v>1</v>
      </c>
      <c r="G761" s="2" t="b">
        <v>0</v>
      </c>
      <c r="H761" s="2">
        <v>5</v>
      </c>
      <c r="I761" s="2">
        <v>2</v>
      </c>
      <c r="J761" s="2">
        <v>0.16</v>
      </c>
      <c r="K761" s="2">
        <v>0.2273</v>
      </c>
      <c r="L761" s="2">
        <v>0.59</v>
      </c>
      <c r="M761" s="2">
        <v>0</v>
      </c>
      <c r="N761" s="2">
        <v>7</v>
      </c>
      <c r="O761" s="2">
        <v>7</v>
      </c>
      <c r="P761" s="2" t="str">
        <f t="shared" si="11"/>
        <v>Friday</v>
      </c>
      <c r="Q761" s="2" t="str">
        <f>IF(Table1[[#This Row],[temp]]&gt;=0.24,"cold","colder")</f>
        <v>colder</v>
      </c>
      <c r="R761" s="2">
        <v>0</v>
      </c>
      <c r="S761" s="16" t="str" cm="1">
        <f t="array" ref="S761">_xlfn.IFS(Table1[[#This Row],[weathersit]]=1,"clear sky",Table1[[#This Row],[weathersit]]=2,"mist",Table1[[#This Row],[weathersit]]=3,"partially dark",Table1[[#This Row],[weathersit]]=4,"rain")</f>
        <v>mist</v>
      </c>
    </row>
    <row r="762" spans="1:19" ht="13.8" x14ac:dyDescent="0.3">
      <c r="A762" s="2">
        <v>761</v>
      </c>
      <c r="B762" s="3">
        <v>40578</v>
      </c>
      <c r="C762" s="2">
        <v>1</v>
      </c>
      <c r="D762" s="2">
        <v>0</v>
      </c>
      <c r="E762" s="2">
        <v>2</v>
      </c>
      <c r="F762" s="2">
        <v>2</v>
      </c>
      <c r="G762" s="2" t="b">
        <v>0</v>
      </c>
      <c r="H762" s="2">
        <v>5</v>
      </c>
      <c r="I762" s="2">
        <v>2</v>
      </c>
      <c r="J762" s="2">
        <v>0.14000000000000001</v>
      </c>
      <c r="K762" s="2">
        <v>0.16669999999999999</v>
      </c>
      <c r="L762" s="2">
        <v>0.63</v>
      </c>
      <c r="M762" s="2">
        <v>0.1045</v>
      </c>
      <c r="N762" s="2">
        <v>1</v>
      </c>
      <c r="O762" s="2">
        <v>1</v>
      </c>
      <c r="P762" s="2" t="str">
        <f t="shared" si="11"/>
        <v>Friday</v>
      </c>
      <c r="Q762" s="2" t="str">
        <f>IF(Table1[[#This Row],[temp]]&gt;=0.24,"cold","colder")</f>
        <v>colder</v>
      </c>
      <c r="R762" s="2">
        <v>0</v>
      </c>
      <c r="S762" s="16" t="str" cm="1">
        <f t="array" ref="S762">_xlfn.IFS(Table1[[#This Row],[weathersit]]=1,"clear sky",Table1[[#This Row],[weathersit]]=2,"mist",Table1[[#This Row],[weathersit]]=3,"partially dark",Table1[[#This Row],[weathersit]]=4,"rain")</f>
        <v>mist</v>
      </c>
    </row>
    <row r="763" spans="1:19" ht="13.8" x14ac:dyDescent="0.3">
      <c r="A763" s="2">
        <v>762</v>
      </c>
      <c r="B763" s="3">
        <v>40578</v>
      </c>
      <c r="C763" s="2">
        <v>1</v>
      </c>
      <c r="D763" s="2">
        <v>0</v>
      </c>
      <c r="E763" s="2">
        <v>2</v>
      </c>
      <c r="F763" s="2">
        <v>3</v>
      </c>
      <c r="G763" s="2" t="b">
        <v>0</v>
      </c>
      <c r="H763" s="2">
        <v>5</v>
      </c>
      <c r="I763" s="2">
        <v>2</v>
      </c>
      <c r="J763" s="2">
        <v>0.14000000000000001</v>
      </c>
      <c r="K763" s="2">
        <v>0.16669999999999999</v>
      </c>
      <c r="L763" s="2">
        <v>0.63</v>
      </c>
      <c r="M763" s="2">
        <v>0.1045</v>
      </c>
      <c r="N763" s="2">
        <v>1</v>
      </c>
      <c r="O763" s="2">
        <v>1</v>
      </c>
      <c r="P763" s="2" t="str">
        <f t="shared" si="11"/>
        <v>Friday</v>
      </c>
      <c r="Q763" s="2" t="str">
        <f>IF(Table1[[#This Row],[temp]]&gt;=0.24,"cold","colder")</f>
        <v>colder</v>
      </c>
      <c r="R763" s="2">
        <v>0</v>
      </c>
      <c r="S763" s="16" t="str" cm="1">
        <f t="array" ref="S763">_xlfn.IFS(Table1[[#This Row],[weathersit]]=1,"clear sky",Table1[[#This Row],[weathersit]]=2,"mist",Table1[[#This Row],[weathersit]]=3,"partially dark",Table1[[#This Row],[weathersit]]=4,"rain")</f>
        <v>mist</v>
      </c>
    </row>
    <row r="764" spans="1:19" ht="13.8" x14ac:dyDescent="0.3">
      <c r="A764" s="2">
        <v>763</v>
      </c>
      <c r="B764" s="3">
        <v>40578</v>
      </c>
      <c r="C764" s="2">
        <v>1</v>
      </c>
      <c r="D764" s="2">
        <v>0</v>
      </c>
      <c r="E764" s="2">
        <v>2</v>
      </c>
      <c r="F764" s="2">
        <v>5</v>
      </c>
      <c r="G764" s="2" t="b">
        <v>0</v>
      </c>
      <c r="H764" s="2">
        <v>5</v>
      </c>
      <c r="I764" s="2">
        <v>2</v>
      </c>
      <c r="J764" s="2">
        <v>0.14000000000000001</v>
      </c>
      <c r="K764" s="2">
        <v>0.1515</v>
      </c>
      <c r="L764" s="2">
        <v>0.63</v>
      </c>
      <c r="M764" s="2">
        <v>0.1343</v>
      </c>
      <c r="N764" s="2">
        <v>7</v>
      </c>
      <c r="O764" s="2">
        <v>7</v>
      </c>
      <c r="P764" s="2" t="str">
        <f t="shared" si="11"/>
        <v>Friday</v>
      </c>
      <c r="Q764" s="2" t="str">
        <f>IF(Table1[[#This Row],[temp]]&gt;=0.24,"cold","colder")</f>
        <v>colder</v>
      </c>
      <c r="R764" s="2">
        <v>0</v>
      </c>
      <c r="S764" s="16" t="str" cm="1">
        <f t="array" ref="S764">_xlfn.IFS(Table1[[#This Row],[weathersit]]=1,"clear sky",Table1[[#This Row],[weathersit]]=2,"mist",Table1[[#This Row],[weathersit]]=3,"partially dark",Table1[[#This Row],[weathersit]]=4,"rain")</f>
        <v>mist</v>
      </c>
    </row>
    <row r="765" spans="1:19" ht="13.8" x14ac:dyDescent="0.3">
      <c r="A765" s="2">
        <v>764</v>
      </c>
      <c r="B765" s="3">
        <v>40578</v>
      </c>
      <c r="C765" s="2">
        <v>1</v>
      </c>
      <c r="D765" s="2">
        <v>0</v>
      </c>
      <c r="E765" s="2">
        <v>2</v>
      </c>
      <c r="F765" s="2">
        <v>6</v>
      </c>
      <c r="G765" s="2" t="b">
        <v>0</v>
      </c>
      <c r="H765" s="2">
        <v>5</v>
      </c>
      <c r="I765" s="2">
        <v>2</v>
      </c>
      <c r="J765" s="2">
        <v>0.16</v>
      </c>
      <c r="K765" s="2">
        <v>0.2273</v>
      </c>
      <c r="L765" s="2">
        <v>0.55000000000000004</v>
      </c>
      <c r="M765" s="2">
        <v>0</v>
      </c>
      <c r="N765" s="2">
        <v>26</v>
      </c>
      <c r="O765" s="2">
        <v>28</v>
      </c>
      <c r="P765" s="2" t="str">
        <f t="shared" si="11"/>
        <v>Friday</v>
      </c>
      <c r="Q765" s="2" t="str">
        <f>IF(Table1[[#This Row],[temp]]&gt;=0.24,"cold","colder")</f>
        <v>colder</v>
      </c>
      <c r="R765" s="2">
        <v>2</v>
      </c>
      <c r="S765" s="16" t="str" cm="1">
        <f t="array" ref="S765">_xlfn.IFS(Table1[[#This Row],[weathersit]]=1,"clear sky",Table1[[#This Row],[weathersit]]=2,"mist",Table1[[#This Row],[weathersit]]=3,"partially dark",Table1[[#This Row],[weathersit]]=4,"rain")</f>
        <v>mist</v>
      </c>
    </row>
    <row r="766" spans="1:19" ht="13.8" x14ac:dyDescent="0.3">
      <c r="A766" s="2">
        <v>765</v>
      </c>
      <c r="B766" s="3">
        <v>40578</v>
      </c>
      <c r="C766" s="2">
        <v>1</v>
      </c>
      <c r="D766" s="2">
        <v>0</v>
      </c>
      <c r="E766" s="2">
        <v>2</v>
      </c>
      <c r="F766" s="2">
        <v>7</v>
      </c>
      <c r="G766" s="2" t="b">
        <v>0</v>
      </c>
      <c r="H766" s="2">
        <v>5</v>
      </c>
      <c r="I766" s="2">
        <v>1</v>
      </c>
      <c r="J766" s="2">
        <v>0.14000000000000001</v>
      </c>
      <c r="K766" s="2">
        <v>0.21210000000000001</v>
      </c>
      <c r="L766" s="2">
        <v>0.59</v>
      </c>
      <c r="M766" s="2">
        <v>0</v>
      </c>
      <c r="N766" s="2">
        <v>87</v>
      </c>
      <c r="O766" s="2">
        <v>87</v>
      </c>
      <c r="P766" s="2" t="str">
        <f t="shared" si="11"/>
        <v>Friday</v>
      </c>
      <c r="Q766" s="2" t="str">
        <f>IF(Table1[[#This Row],[temp]]&gt;=0.24,"cold","colder")</f>
        <v>colder</v>
      </c>
      <c r="R766" s="2">
        <v>0</v>
      </c>
      <c r="S766" s="16" t="str" cm="1">
        <f t="array" ref="S766">_xlfn.IFS(Table1[[#This Row],[weathersit]]=1,"clear sky",Table1[[#This Row],[weathersit]]=2,"mist",Table1[[#This Row],[weathersit]]=3,"partially dark",Table1[[#This Row],[weathersit]]=4,"rain")</f>
        <v>clear sky</v>
      </c>
    </row>
    <row r="767" spans="1:19" ht="13.8" x14ac:dyDescent="0.3">
      <c r="A767" s="2">
        <v>766</v>
      </c>
      <c r="B767" s="3">
        <v>40578</v>
      </c>
      <c r="C767" s="2">
        <v>1</v>
      </c>
      <c r="D767" s="2">
        <v>0</v>
      </c>
      <c r="E767" s="2">
        <v>2</v>
      </c>
      <c r="F767" s="2">
        <v>8</v>
      </c>
      <c r="G767" s="2" t="b">
        <v>0</v>
      </c>
      <c r="H767" s="2">
        <v>5</v>
      </c>
      <c r="I767" s="2">
        <v>1</v>
      </c>
      <c r="J767" s="2">
        <v>0.14000000000000001</v>
      </c>
      <c r="K767" s="2">
        <v>0.1515</v>
      </c>
      <c r="L767" s="2">
        <v>0.74</v>
      </c>
      <c r="M767" s="2">
        <v>0.1343</v>
      </c>
      <c r="N767" s="2">
        <v>217</v>
      </c>
      <c r="O767" s="2">
        <v>220</v>
      </c>
      <c r="P767" s="2" t="str">
        <f t="shared" si="11"/>
        <v>Friday</v>
      </c>
      <c r="Q767" s="2" t="str">
        <f>IF(Table1[[#This Row],[temp]]&gt;=0.24,"cold","colder")</f>
        <v>colder</v>
      </c>
      <c r="R767" s="2">
        <v>3</v>
      </c>
      <c r="S767" s="16" t="str" cm="1">
        <f t="array" ref="S767">_xlfn.IFS(Table1[[#This Row],[weathersit]]=1,"clear sky",Table1[[#This Row],[weathersit]]=2,"mist",Table1[[#This Row],[weathersit]]=3,"partially dark",Table1[[#This Row],[weathersit]]=4,"rain")</f>
        <v>clear sky</v>
      </c>
    </row>
    <row r="768" spans="1:19" ht="13.8" x14ac:dyDescent="0.3">
      <c r="A768" s="2">
        <v>767</v>
      </c>
      <c r="B768" s="3">
        <v>40578</v>
      </c>
      <c r="C768" s="2">
        <v>1</v>
      </c>
      <c r="D768" s="2">
        <v>0</v>
      </c>
      <c r="E768" s="2">
        <v>2</v>
      </c>
      <c r="F768" s="2">
        <v>9</v>
      </c>
      <c r="G768" s="2" t="b">
        <v>0</v>
      </c>
      <c r="H768" s="2">
        <v>5</v>
      </c>
      <c r="I768" s="2">
        <v>2</v>
      </c>
      <c r="J768" s="2">
        <v>0.16</v>
      </c>
      <c r="K768" s="2">
        <v>0.18179999999999999</v>
      </c>
      <c r="L768" s="2">
        <v>0.8</v>
      </c>
      <c r="M768" s="2">
        <v>0.1343</v>
      </c>
      <c r="N768" s="2">
        <v>124</v>
      </c>
      <c r="O768" s="2">
        <v>127</v>
      </c>
      <c r="P768" s="2" t="str">
        <f t="shared" si="11"/>
        <v>Friday</v>
      </c>
      <c r="Q768" s="2" t="str">
        <f>IF(Table1[[#This Row],[temp]]&gt;=0.24,"cold","colder")</f>
        <v>colder</v>
      </c>
      <c r="R768" s="2">
        <v>3</v>
      </c>
      <c r="S768" s="16" t="str" cm="1">
        <f t="array" ref="S768">_xlfn.IFS(Table1[[#This Row],[weathersit]]=1,"clear sky",Table1[[#This Row],[weathersit]]=2,"mist",Table1[[#This Row],[weathersit]]=3,"partially dark",Table1[[#This Row],[weathersit]]=4,"rain")</f>
        <v>mist</v>
      </c>
    </row>
    <row r="769" spans="1:19" ht="13.8" x14ac:dyDescent="0.3">
      <c r="A769" s="2">
        <v>768</v>
      </c>
      <c r="B769" s="3">
        <v>40578</v>
      </c>
      <c r="C769" s="2">
        <v>1</v>
      </c>
      <c r="D769" s="2">
        <v>0</v>
      </c>
      <c r="E769" s="2">
        <v>2</v>
      </c>
      <c r="F769" s="2">
        <v>10</v>
      </c>
      <c r="G769" s="2" t="b">
        <v>0</v>
      </c>
      <c r="H769" s="2">
        <v>5</v>
      </c>
      <c r="I769" s="2">
        <v>2</v>
      </c>
      <c r="J769" s="2">
        <v>0.2</v>
      </c>
      <c r="K769" s="2">
        <v>0.21210000000000001</v>
      </c>
      <c r="L769" s="2">
        <v>0.51</v>
      </c>
      <c r="M769" s="2">
        <v>0.1343</v>
      </c>
      <c r="N769" s="2">
        <v>46</v>
      </c>
      <c r="O769" s="2">
        <v>51</v>
      </c>
      <c r="P769" s="2" t="str">
        <f t="shared" si="11"/>
        <v>Friday</v>
      </c>
      <c r="Q769" s="2" t="str">
        <f>IF(Table1[[#This Row],[temp]]&gt;=0.24,"cold","colder")</f>
        <v>colder</v>
      </c>
      <c r="R769" s="2">
        <v>5</v>
      </c>
      <c r="S769" s="16" t="str" cm="1">
        <f t="array" ref="S769">_xlfn.IFS(Table1[[#This Row],[weathersit]]=1,"clear sky",Table1[[#This Row],[weathersit]]=2,"mist",Table1[[#This Row],[weathersit]]=3,"partially dark",Table1[[#This Row],[weathersit]]=4,"rain")</f>
        <v>mist</v>
      </c>
    </row>
    <row r="770" spans="1:19" ht="13.8" x14ac:dyDescent="0.3">
      <c r="A770" s="2">
        <v>769</v>
      </c>
      <c r="B770" s="3">
        <v>40578</v>
      </c>
      <c r="C770" s="2">
        <v>1</v>
      </c>
      <c r="D770" s="2">
        <v>0</v>
      </c>
      <c r="E770" s="2">
        <v>2</v>
      </c>
      <c r="F770" s="2">
        <v>11</v>
      </c>
      <c r="G770" s="2" t="b">
        <v>0</v>
      </c>
      <c r="H770" s="2">
        <v>5</v>
      </c>
      <c r="I770" s="2">
        <v>1</v>
      </c>
      <c r="J770" s="2">
        <v>0.22</v>
      </c>
      <c r="K770" s="2">
        <v>0.2273</v>
      </c>
      <c r="L770" s="2">
        <v>0.51</v>
      </c>
      <c r="M770" s="2">
        <v>0.16420000000000001</v>
      </c>
      <c r="N770" s="2">
        <v>61</v>
      </c>
      <c r="O770" s="2">
        <v>64</v>
      </c>
      <c r="P770" s="2" t="str">
        <f t="shared" ref="P770:P833" si="12">TEXT(B770,"dddd")</f>
        <v>Friday</v>
      </c>
      <c r="Q770" s="2" t="str">
        <f>IF(Table1[[#This Row],[temp]]&gt;=0.24,"cold","colder")</f>
        <v>colder</v>
      </c>
      <c r="R770" s="2">
        <v>3</v>
      </c>
      <c r="S770" s="16" t="str" cm="1">
        <f t="array" ref="S770">_xlfn.IFS(Table1[[#This Row],[weathersit]]=1,"clear sky",Table1[[#This Row],[weathersit]]=2,"mist",Table1[[#This Row],[weathersit]]=3,"partially dark",Table1[[#This Row],[weathersit]]=4,"rain")</f>
        <v>clear sky</v>
      </c>
    </row>
    <row r="771" spans="1:19" ht="13.8" x14ac:dyDescent="0.3">
      <c r="A771" s="2">
        <v>770</v>
      </c>
      <c r="B771" s="3">
        <v>40578</v>
      </c>
      <c r="C771" s="2">
        <v>1</v>
      </c>
      <c r="D771" s="2">
        <v>0</v>
      </c>
      <c r="E771" s="2">
        <v>2</v>
      </c>
      <c r="F771" s="2">
        <v>12</v>
      </c>
      <c r="G771" s="2" t="b">
        <v>0</v>
      </c>
      <c r="H771" s="2">
        <v>5</v>
      </c>
      <c r="I771" s="2">
        <v>2</v>
      </c>
      <c r="J771" s="2">
        <v>0.24</v>
      </c>
      <c r="K771" s="2">
        <v>0.2424</v>
      </c>
      <c r="L771" s="2">
        <v>0.48</v>
      </c>
      <c r="M771" s="2">
        <v>0.16420000000000001</v>
      </c>
      <c r="N771" s="2">
        <v>78</v>
      </c>
      <c r="O771" s="2">
        <v>86</v>
      </c>
      <c r="P771" s="2" t="str">
        <f t="shared" si="12"/>
        <v>Friday</v>
      </c>
      <c r="Q771" s="2" t="str">
        <f>IF(Table1[[#This Row],[temp]]&gt;=0.24,"cold","colder")</f>
        <v>cold</v>
      </c>
      <c r="R771" s="2">
        <v>8</v>
      </c>
      <c r="S771" s="16" t="str" cm="1">
        <f t="array" ref="S771">_xlfn.IFS(Table1[[#This Row],[weathersit]]=1,"clear sky",Table1[[#This Row],[weathersit]]=2,"mist",Table1[[#This Row],[weathersit]]=3,"partially dark",Table1[[#This Row],[weathersit]]=4,"rain")</f>
        <v>mist</v>
      </c>
    </row>
    <row r="772" spans="1:19" ht="13.8" x14ac:dyDescent="0.3">
      <c r="A772" s="2">
        <v>771</v>
      </c>
      <c r="B772" s="3">
        <v>40578</v>
      </c>
      <c r="C772" s="2">
        <v>1</v>
      </c>
      <c r="D772" s="2">
        <v>0</v>
      </c>
      <c r="E772" s="2">
        <v>2</v>
      </c>
      <c r="F772" s="2">
        <v>13</v>
      </c>
      <c r="G772" s="2" t="b">
        <v>0</v>
      </c>
      <c r="H772" s="2">
        <v>5</v>
      </c>
      <c r="I772" s="2">
        <v>2</v>
      </c>
      <c r="J772" s="2">
        <v>0.26</v>
      </c>
      <c r="K772" s="2">
        <v>0.2576</v>
      </c>
      <c r="L772" s="2">
        <v>0.5</v>
      </c>
      <c r="M772" s="2">
        <v>0.22389999999999999</v>
      </c>
      <c r="N772" s="2">
        <v>73</v>
      </c>
      <c r="O772" s="2">
        <v>82</v>
      </c>
      <c r="P772" s="2" t="str">
        <f t="shared" si="12"/>
        <v>Friday</v>
      </c>
      <c r="Q772" s="2" t="str">
        <f>IF(Table1[[#This Row],[temp]]&gt;=0.24,"cold","colder")</f>
        <v>cold</v>
      </c>
      <c r="R772" s="2">
        <v>9</v>
      </c>
      <c r="S772" s="16" t="str" cm="1">
        <f t="array" ref="S772">_xlfn.IFS(Table1[[#This Row],[weathersit]]=1,"clear sky",Table1[[#This Row],[weathersit]]=2,"mist",Table1[[#This Row],[weathersit]]=3,"partially dark",Table1[[#This Row],[weathersit]]=4,"rain")</f>
        <v>mist</v>
      </c>
    </row>
    <row r="773" spans="1:19" ht="13.8" x14ac:dyDescent="0.3">
      <c r="A773" s="2">
        <v>772</v>
      </c>
      <c r="B773" s="3">
        <v>40578</v>
      </c>
      <c r="C773" s="2">
        <v>1</v>
      </c>
      <c r="D773" s="2">
        <v>0</v>
      </c>
      <c r="E773" s="2">
        <v>2</v>
      </c>
      <c r="F773" s="2">
        <v>14</v>
      </c>
      <c r="G773" s="2" t="b">
        <v>0</v>
      </c>
      <c r="H773" s="2">
        <v>5</v>
      </c>
      <c r="I773" s="2">
        <v>2</v>
      </c>
      <c r="J773" s="2">
        <v>0.28000000000000003</v>
      </c>
      <c r="K773" s="2">
        <v>0.2727</v>
      </c>
      <c r="L773" s="2">
        <v>0.45</v>
      </c>
      <c r="M773" s="2">
        <v>0.16420000000000001</v>
      </c>
      <c r="N773" s="2">
        <v>76</v>
      </c>
      <c r="O773" s="2">
        <v>91</v>
      </c>
      <c r="P773" s="2" t="str">
        <f t="shared" si="12"/>
        <v>Friday</v>
      </c>
      <c r="Q773" s="2" t="str">
        <f>IF(Table1[[#This Row],[temp]]&gt;=0.24,"cold","colder")</f>
        <v>cold</v>
      </c>
      <c r="R773" s="2">
        <v>15</v>
      </c>
      <c r="S773" s="16" t="str" cm="1">
        <f t="array" ref="S773">_xlfn.IFS(Table1[[#This Row],[weathersit]]=1,"clear sky",Table1[[#This Row],[weathersit]]=2,"mist",Table1[[#This Row],[weathersit]]=3,"partially dark",Table1[[#This Row],[weathersit]]=4,"rain")</f>
        <v>mist</v>
      </c>
    </row>
    <row r="774" spans="1:19" ht="13.8" x14ac:dyDescent="0.3">
      <c r="A774" s="2">
        <v>773</v>
      </c>
      <c r="B774" s="3">
        <v>40578</v>
      </c>
      <c r="C774" s="2">
        <v>1</v>
      </c>
      <c r="D774" s="2">
        <v>0</v>
      </c>
      <c r="E774" s="2">
        <v>2</v>
      </c>
      <c r="F774" s="2">
        <v>15</v>
      </c>
      <c r="G774" s="2" t="b">
        <v>0</v>
      </c>
      <c r="H774" s="2">
        <v>5</v>
      </c>
      <c r="I774" s="2">
        <v>2</v>
      </c>
      <c r="J774" s="2">
        <v>0.28000000000000003</v>
      </c>
      <c r="K774" s="2">
        <v>0.2727</v>
      </c>
      <c r="L774" s="2">
        <v>0.48</v>
      </c>
      <c r="M774" s="2">
        <v>0.25369999999999998</v>
      </c>
      <c r="N774" s="2">
        <v>81</v>
      </c>
      <c r="O774" s="2">
        <v>90</v>
      </c>
      <c r="P774" s="2" t="str">
        <f t="shared" si="12"/>
        <v>Friday</v>
      </c>
      <c r="Q774" s="2" t="str">
        <f>IF(Table1[[#This Row],[temp]]&gt;=0.24,"cold","colder")</f>
        <v>cold</v>
      </c>
      <c r="R774" s="2">
        <v>9</v>
      </c>
      <c r="S774" s="16" t="str" cm="1">
        <f t="array" ref="S774">_xlfn.IFS(Table1[[#This Row],[weathersit]]=1,"clear sky",Table1[[#This Row],[weathersit]]=2,"mist",Table1[[#This Row],[weathersit]]=3,"partially dark",Table1[[#This Row],[weathersit]]=4,"rain")</f>
        <v>mist</v>
      </c>
    </row>
    <row r="775" spans="1:19" ht="13.8" x14ac:dyDescent="0.3">
      <c r="A775" s="2">
        <v>774</v>
      </c>
      <c r="B775" s="3">
        <v>40578</v>
      </c>
      <c r="C775" s="2">
        <v>1</v>
      </c>
      <c r="D775" s="2">
        <v>0</v>
      </c>
      <c r="E775" s="2">
        <v>2</v>
      </c>
      <c r="F775" s="2">
        <v>16</v>
      </c>
      <c r="G775" s="2" t="b">
        <v>0</v>
      </c>
      <c r="H775" s="2">
        <v>5</v>
      </c>
      <c r="I775" s="2">
        <v>2</v>
      </c>
      <c r="J775" s="2">
        <v>0.3</v>
      </c>
      <c r="K775" s="2">
        <v>0.28789999999999999</v>
      </c>
      <c r="L775" s="2">
        <v>0.42</v>
      </c>
      <c r="M775" s="2">
        <v>0.22389999999999999</v>
      </c>
      <c r="N775" s="2">
        <v>91</v>
      </c>
      <c r="O775" s="2">
        <v>99</v>
      </c>
      <c r="P775" s="2" t="str">
        <f t="shared" si="12"/>
        <v>Friday</v>
      </c>
      <c r="Q775" s="2" t="str">
        <f>IF(Table1[[#This Row],[temp]]&gt;=0.24,"cold","colder")</f>
        <v>cold</v>
      </c>
      <c r="R775" s="2">
        <v>8</v>
      </c>
      <c r="S775" s="16" t="str" cm="1">
        <f t="array" ref="S775">_xlfn.IFS(Table1[[#This Row],[weathersit]]=1,"clear sky",Table1[[#This Row],[weathersit]]=2,"mist",Table1[[#This Row],[weathersit]]=3,"partially dark",Table1[[#This Row],[weathersit]]=4,"rain")</f>
        <v>mist</v>
      </c>
    </row>
    <row r="776" spans="1:19" ht="13.8" x14ac:dyDescent="0.3">
      <c r="A776" s="2">
        <v>775</v>
      </c>
      <c r="B776" s="3">
        <v>40578</v>
      </c>
      <c r="C776" s="2">
        <v>1</v>
      </c>
      <c r="D776" s="2">
        <v>0</v>
      </c>
      <c r="E776" s="2">
        <v>2</v>
      </c>
      <c r="F776" s="2">
        <v>17</v>
      </c>
      <c r="G776" s="2" t="b">
        <v>0</v>
      </c>
      <c r="H776" s="2">
        <v>5</v>
      </c>
      <c r="I776" s="2">
        <v>2</v>
      </c>
      <c r="J776" s="2">
        <v>0.26</v>
      </c>
      <c r="K776" s="2">
        <v>0.2727</v>
      </c>
      <c r="L776" s="2">
        <v>0.56000000000000005</v>
      </c>
      <c r="M776" s="2">
        <v>0.1343</v>
      </c>
      <c r="N776" s="2">
        <v>195</v>
      </c>
      <c r="O776" s="2">
        <v>205</v>
      </c>
      <c r="P776" s="2" t="str">
        <f t="shared" si="12"/>
        <v>Friday</v>
      </c>
      <c r="Q776" s="2" t="str">
        <f>IF(Table1[[#This Row],[temp]]&gt;=0.24,"cold","colder")</f>
        <v>cold</v>
      </c>
      <c r="R776" s="2">
        <v>10</v>
      </c>
      <c r="S776" s="16" t="str" cm="1">
        <f t="array" ref="S776">_xlfn.IFS(Table1[[#This Row],[weathersit]]=1,"clear sky",Table1[[#This Row],[weathersit]]=2,"mist",Table1[[#This Row],[weathersit]]=3,"partially dark",Table1[[#This Row],[weathersit]]=4,"rain")</f>
        <v>mist</v>
      </c>
    </row>
    <row r="777" spans="1:19" ht="13.8" x14ac:dyDescent="0.3">
      <c r="A777" s="2">
        <v>776</v>
      </c>
      <c r="B777" s="3">
        <v>40578</v>
      </c>
      <c r="C777" s="2">
        <v>1</v>
      </c>
      <c r="D777" s="2">
        <v>0</v>
      </c>
      <c r="E777" s="2">
        <v>2</v>
      </c>
      <c r="F777" s="2">
        <v>18</v>
      </c>
      <c r="G777" s="2" t="b">
        <v>0</v>
      </c>
      <c r="H777" s="2">
        <v>5</v>
      </c>
      <c r="I777" s="2">
        <v>2</v>
      </c>
      <c r="J777" s="2">
        <v>0.24</v>
      </c>
      <c r="K777" s="2">
        <v>0.2576</v>
      </c>
      <c r="L777" s="2">
        <v>0.6</v>
      </c>
      <c r="M777" s="2">
        <v>0.1045</v>
      </c>
      <c r="N777" s="2">
        <v>152</v>
      </c>
      <c r="O777" s="2">
        <v>155</v>
      </c>
      <c r="P777" s="2" t="str">
        <f t="shared" si="12"/>
        <v>Friday</v>
      </c>
      <c r="Q777" s="2" t="str">
        <f>IF(Table1[[#This Row],[temp]]&gt;=0.24,"cold","colder")</f>
        <v>cold</v>
      </c>
      <c r="R777" s="2">
        <v>3</v>
      </c>
      <c r="S777" s="16" t="str" cm="1">
        <f t="array" ref="S777">_xlfn.IFS(Table1[[#This Row],[weathersit]]=1,"clear sky",Table1[[#This Row],[weathersit]]=2,"mist",Table1[[#This Row],[weathersit]]=3,"partially dark",Table1[[#This Row],[weathersit]]=4,"rain")</f>
        <v>mist</v>
      </c>
    </row>
    <row r="778" spans="1:19" ht="13.8" x14ac:dyDescent="0.3">
      <c r="A778" s="2">
        <v>777</v>
      </c>
      <c r="B778" s="3">
        <v>40578</v>
      </c>
      <c r="C778" s="2">
        <v>1</v>
      </c>
      <c r="D778" s="2">
        <v>0</v>
      </c>
      <c r="E778" s="2">
        <v>2</v>
      </c>
      <c r="F778" s="2">
        <v>19</v>
      </c>
      <c r="G778" s="2" t="b">
        <v>0</v>
      </c>
      <c r="H778" s="2">
        <v>5</v>
      </c>
      <c r="I778" s="2">
        <v>2</v>
      </c>
      <c r="J778" s="2">
        <v>0.24</v>
      </c>
      <c r="K778" s="2">
        <v>0.2424</v>
      </c>
      <c r="L778" s="2">
        <v>0.65</v>
      </c>
      <c r="M778" s="2">
        <v>0.1343</v>
      </c>
      <c r="N778" s="2">
        <v>102</v>
      </c>
      <c r="O778" s="2">
        <v>103</v>
      </c>
      <c r="P778" s="2" t="str">
        <f t="shared" si="12"/>
        <v>Friday</v>
      </c>
      <c r="Q778" s="2" t="str">
        <f>IF(Table1[[#This Row],[temp]]&gt;=0.24,"cold","colder")</f>
        <v>cold</v>
      </c>
      <c r="R778" s="2">
        <v>1</v>
      </c>
      <c r="S778" s="16" t="str" cm="1">
        <f t="array" ref="S778">_xlfn.IFS(Table1[[#This Row],[weathersit]]=1,"clear sky",Table1[[#This Row],[weathersit]]=2,"mist",Table1[[#This Row],[weathersit]]=3,"partially dark",Table1[[#This Row],[weathersit]]=4,"rain")</f>
        <v>mist</v>
      </c>
    </row>
    <row r="779" spans="1:19" ht="13.8" x14ac:dyDescent="0.3">
      <c r="A779" s="2">
        <v>778</v>
      </c>
      <c r="B779" s="3">
        <v>40578</v>
      </c>
      <c r="C779" s="2">
        <v>1</v>
      </c>
      <c r="D779" s="2">
        <v>0</v>
      </c>
      <c r="E779" s="2">
        <v>2</v>
      </c>
      <c r="F779" s="2">
        <v>20</v>
      </c>
      <c r="G779" s="2" t="b">
        <v>0</v>
      </c>
      <c r="H779" s="2">
        <v>5</v>
      </c>
      <c r="I779" s="2">
        <v>2</v>
      </c>
      <c r="J779" s="2">
        <v>0.24</v>
      </c>
      <c r="K779" s="2">
        <v>0.2424</v>
      </c>
      <c r="L779" s="2">
        <v>0.65</v>
      </c>
      <c r="M779" s="2">
        <v>0.16420000000000001</v>
      </c>
      <c r="N779" s="2">
        <v>69</v>
      </c>
      <c r="O779" s="2">
        <v>71</v>
      </c>
      <c r="P779" s="2" t="str">
        <f t="shared" si="12"/>
        <v>Friday</v>
      </c>
      <c r="Q779" s="2" t="str">
        <f>IF(Table1[[#This Row],[temp]]&gt;=0.24,"cold","colder")</f>
        <v>cold</v>
      </c>
      <c r="R779" s="2">
        <v>2</v>
      </c>
      <c r="S779" s="16" t="str" cm="1">
        <f t="array" ref="S779">_xlfn.IFS(Table1[[#This Row],[weathersit]]=1,"clear sky",Table1[[#This Row],[weathersit]]=2,"mist",Table1[[#This Row],[weathersit]]=3,"partially dark",Table1[[#This Row],[weathersit]]=4,"rain")</f>
        <v>mist</v>
      </c>
    </row>
    <row r="780" spans="1:19" ht="13.8" x14ac:dyDescent="0.3">
      <c r="A780" s="2">
        <v>779</v>
      </c>
      <c r="B780" s="3">
        <v>40578</v>
      </c>
      <c r="C780" s="2">
        <v>1</v>
      </c>
      <c r="D780" s="2">
        <v>0</v>
      </c>
      <c r="E780" s="2">
        <v>2</v>
      </c>
      <c r="F780" s="2">
        <v>21</v>
      </c>
      <c r="G780" s="2" t="b">
        <v>0</v>
      </c>
      <c r="H780" s="2">
        <v>5</v>
      </c>
      <c r="I780" s="2">
        <v>2</v>
      </c>
      <c r="J780" s="2">
        <v>0.24</v>
      </c>
      <c r="K780" s="2">
        <v>0.2424</v>
      </c>
      <c r="L780" s="2">
        <v>0.7</v>
      </c>
      <c r="M780" s="2">
        <v>0.16420000000000001</v>
      </c>
      <c r="N780" s="2">
        <v>41</v>
      </c>
      <c r="O780" s="2">
        <v>43</v>
      </c>
      <c r="P780" s="2" t="str">
        <f t="shared" si="12"/>
        <v>Friday</v>
      </c>
      <c r="Q780" s="2" t="str">
        <f>IF(Table1[[#This Row],[temp]]&gt;=0.24,"cold","colder")</f>
        <v>cold</v>
      </c>
      <c r="R780" s="2">
        <v>2</v>
      </c>
      <c r="S780" s="16" t="str" cm="1">
        <f t="array" ref="S780">_xlfn.IFS(Table1[[#This Row],[weathersit]]=1,"clear sky",Table1[[#This Row],[weathersit]]=2,"mist",Table1[[#This Row],[weathersit]]=3,"partially dark",Table1[[#This Row],[weathersit]]=4,"rain")</f>
        <v>mist</v>
      </c>
    </row>
    <row r="781" spans="1:19" ht="13.8" x14ac:dyDescent="0.3">
      <c r="A781" s="2">
        <v>780</v>
      </c>
      <c r="B781" s="3">
        <v>40578</v>
      </c>
      <c r="C781" s="2">
        <v>1</v>
      </c>
      <c r="D781" s="2">
        <v>0</v>
      </c>
      <c r="E781" s="2">
        <v>2</v>
      </c>
      <c r="F781" s="2">
        <v>22</v>
      </c>
      <c r="G781" s="2" t="b">
        <v>0</v>
      </c>
      <c r="H781" s="2">
        <v>5</v>
      </c>
      <c r="I781" s="2">
        <v>2</v>
      </c>
      <c r="J781" s="2">
        <v>0.24</v>
      </c>
      <c r="K781" s="2">
        <v>0.2424</v>
      </c>
      <c r="L781" s="2">
        <v>0.65</v>
      </c>
      <c r="M781" s="2">
        <v>0.16420000000000001</v>
      </c>
      <c r="N781" s="2">
        <v>45</v>
      </c>
      <c r="O781" s="2">
        <v>46</v>
      </c>
      <c r="P781" s="2" t="str">
        <f t="shared" si="12"/>
        <v>Friday</v>
      </c>
      <c r="Q781" s="2" t="str">
        <f>IF(Table1[[#This Row],[temp]]&gt;=0.24,"cold","colder")</f>
        <v>cold</v>
      </c>
      <c r="R781" s="2">
        <v>1</v>
      </c>
      <c r="S781" s="16" t="str" cm="1">
        <f t="array" ref="S781">_xlfn.IFS(Table1[[#This Row],[weathersit]]=1,"clear sky",Table1[[#This Row],[weathersit]]=2,"mist",Table1[[#This Row],[weathersit]]=3,"partially dark",Table1[[#This Row],[weathersit]]=4,"rain")</f>
        <v>mist</v>
      </c>
    </row>
    <row r="782" spans="1:19" ht="13.8" x14ac:dyDescent="0.3">
      <c r="A782" s="2">
        <v>781</v>
      </c>
      <c r="B782" s="3">
        <v>40578</v>
      </c>
      <c r="C782" s="2">
        <v>1</v>
      </c>
      <c r="D782" s="2">
        <v>0</v>
      </c>
      <c r="E782" s="2">
        <v>2</v>
      </c>
      <c r="F782" s="2">
        <v>23</v>
      </c>
      <c r="G782" s="2" t="b">
        <v>0</v>
      </c>
      <c r="H782" s="2">
        <v>5</v>
      </c>
      <c r="I782" s="2">
        <v>2</v>
      </c>
      <c r="J782" s="2">
        <v>0.24</v>
      </c>
      <c r="K782" s="2">
        <v>0.2424</v>
      </c>
      <c r="L782" s="2">
        <v>0.7</v>
      </c>
      <c r="M782" s="2">
        <v>0.1343</v>
      </c>
      <c r="N782" s="2">
        <v>30</v>
      </c>
      <c r="O782" s="2">
        <v>31</v>
      </c>
      <c r="P782" s="2" t="str">
        <f t="shared" si="12"/>
        <v>Friday</v>
      </c>
      <c r="Q782" s="2" t="str">
        <f>IF(Table1[[#This Row],[temp]]&gt;=0.24,"cold","colder")</f>
        <v>cold</v>
      </c>
      <c r="R782" s="2">
        <v>1</v>
      </c>
      <c r="S782" s="16" t="str" cm="1">
        <f t="array" ref="S782">_xlfn.IFS(Table1[[#This Row],[weathersit]]=1,"clear sky",Table1[[#This Row],[weathersit]]=2,"mist",Table1[[#This Row],[weathersit]]=3,"partially dark",Table1[[#This Row],[weathersit]]=4,"rain")</f>
        <v>mist</v>
      </c>
    </row>
    <row r="783" spans="1:19" ht="13.8" x14ac:dyDescent="0.3">
      <c r="A783" s="2">
        <v>782</v>
      </c>
      <c r="B783" s="3">
        <v>40579</v>
      </c>
      <c r="C783" s="2">
        <v>1</v>
      </c>
      <c r="D783" s="2">
        <v>0</v>
      </c>
      <c r="E783" s="2">
        <v>2</v>
      </c>
      <c r="F783" s="2">
        <v>0</v>
      </c>
      <c r="G783" s="2" t="b">
        <v>0</v>
      </c>
      <c r="H783" s="2">
        <v>6</v>
      </c>
      <c r="I783" s="2">
        <v>2</v>
      </c>
      <c r="J783" s="2">
        <v>0.24</v>
      </c>
      <c r="K783" s="2">
        <v>0.2424</v>
      </c>
      <c r="L783" s="2">
        <v>0.7</v>
      </c>
      <c r="M783" s="2">
        <v>0.16420000000000001</v>
      </c>
      <c r="N783" s="2">
        <v>36</v>
      </c>
      <c r="O783" s="2">
        <v>39</v>
      </c>
      <c r="P783" s="2" t="str">
        <f t="shared" si="12"/>
        <v>Saturday</v>
      </c>
      <c r="Q783" s="2" t="str">
        <f>IF(Table1[[#This Row],[temp]]&gt;=0.24,"cold","colder")</f>
        <v>cold</v>
      </c>
      <c r="R783" s="2">
        <v>3</v>
      </c>
      <c r="S783" s="16" t="str" cm="1">
        <f t="array" ref="S783">_xlfn.IFS(Table1[[#This Row],[weathersit]]=1,"clear sky",Table1[[#This Row],[weathersit]]=2,"mist",Table1[[#This Row],[weathersit]]=3,"partially dark",Table1[[#This Row],[weathersit]]=4,"rain")</f>
        <v>mist</v>
      </c>
    </row>
    <row r="784" spans="1:19" ht="13.8" x14ac:dyDescent="0.3">
      <c r="A784" s="2">
        <v>783</v>
      </c>
      <c r="B784" s="3">
        <v>40579</v>
      </c>
      <c r="C784" s="2">
        <v>1</v>
      </c>
      <c r="D784" s="2">
        <v>0</v>
      </c>
      <c r="E784" s="2">
        <v>2</v>
      </c>
      <c r="F784" s="2">
        <v>1</v>
      </c>
      <c r="G784" s="2" t="b">
        <v>0</v>
      </c>
      <c r="H784" s="2">
        <v>6</v>
      </c>
      <c r="I784" s="2">
        <v>2</v>
      </c>
      <c r="J784" s="2">
        <v>0.24</v>
      </c>
      <c r="K784" s="2">
        <v>0.2424</v>
      </c>
      <c r="L784" s="2">
        <v>0.65</v>
      </c>
      <c r="M784" s="2">
        <v>0.16420000000000001</v>
      </c>
      <c r="N784" s="2">
        <v>17</v>
      </c>
      <c r="O784" s="2">
        <v>18</v>
      </c>
      <c r="P784" s="2" t="str">
        <f t="shared" si="12"/>
        <v>Saturday</v>
      </c>
      <c r="Q784" s="2" t="str">
        <f>IF(Table1[[#This Row],[temp]]&gt;=0.24,"cold","colder")</f>
        <v>cold</v>
      </c>
      <c r="R784" s="2">
        <v>1</v>
      </c>
      <c r="S784" s="16" t="str" cm="1">
        <f t="array" ref="S784">_xlfn.IFS(Table1[[#This Row],[weathersit]]=1,"clear sky",Table1[[#This Row],[weathersit]]=2,"mist",Table1[[#This Row],[weathersit]]=3,"partially dark",Table1[[#This Row],[weathersit]]=4,"rain")</f>
        <v>mist</v>
      </c>
    </row>
    <row r="785" spans="1:19" ht="13.8" x14ac:dyDescent="0.3">
      <c r="A785" s="2">
        <v>784</v>
      </c>
      <c r="B785" s="3">
        <v>40579</v>
      </c>
      <c r="C785" s="2">
        <v>1</v>
      </c>
      <c r="D785" s="2">
        <v>0</v>
      </c>
      <c r="E785" s="2">
        <v>2</v>
      </c>
      <c r="F785" s="2">
        <v>2</v>
      </c>
      <c r="G785" s="2" t="b">
        <v>0</v>
      </c>
      <c r="H785" s="2">
        <v>6</v>
      </c>
      <c r="I785" s="2">
        <v>2</v>
      </c>
      <c r="J785" s="2">
        <v>0.24</v>
      </c>
      <c r="K785" s="2">
        <v>0.2424</v>
      </c>
      <c r="L785" s="2">
        <v>0.75</v>
      </c>
      <c r="M785" s="2">
        <v>0.16420000000000001</v>
      </c>
      <c r="N785" s="2">
        <v>12</v>
      </c>
      <c r="O785" s="2">
        <v>17</v>
      </c>
      <c r="P785" s="2" t="str">
        <f t="shared" si="12"/>
        <v>Saturday</v>
      </c>
      <c r="Q785" s="2" t="str">
        <f>IF(Table1[[#This Row],[temp]]&gt;=0.24,"cold","colder")</f>
        <v>cold</v>
      </c>
      <c r="R785" s="2">
        <v>5</v>
      </c>
      <c r="S785" s="16" t="str" cm="1">
        <f t="array" ref="S785">_xlfn.IFS(Table1[[#This Row],[weathersit]]=1,"clear sky",Table1[[#This Row],[weathersit]]=2,"mist",Table1[[#This Row],[weathersit]]=3,"partially dark",Table1[[#This Row],[weathersit]]=4,"rain")</f>
        <v>mist</v>
      </c>
    </row>
    <row r="786" spans="1:19" ht="13.8" x14ac:dyDescent="0.3">
      <c r="A786" s="2">
        <v>785</v>
      </c>
      <c r="B786" s="3">
        <v>40579</v>
      </c>
      <c r="C786" s="2">
        <v>1</v>
      </c>
      <c r="D786" s="2">
        <v>0</v>
      </c>
      <c r="E786" s="2">
        <v>2</v>
      </c>
      <c r="F786" s="2">
        <v>3</v>
      </c>
      <c r="G786" s="2" t="b">
        <v>0</v>
      </c>
      <c r="H786" s="2">
        <v>6</v>
      </c>
      <c r="I786" s="2">
        <v>2</v>
      </c>
      <c r="J786" s="2">
        <v>0.24</v>
      </c>
      <c r="K786" s="2">
        <v>0.2424</v>
      </c>
      <c r="L786" s="2">
        <v>0.75</v>
      </c>
      <c r="M786" s="2">
        <v>0.16420000000000001</v>
      </c>
      <c r="N786" s="2">
        <v>10</v>
      </c>
      <c r="O786" s="2">
        <v>11</v>
      </c>
      <c r="P786" s="2" t="str">
        <f t="shared" si="12"/>
        <v>Saturday</v>
      </c>
      <c r="Q786" s="2" t="str">
        <f>IF(Table1[[#This Row],[temp]]&gt;=0.24,"cold","colder")</f>
        <v>cold</v>
      </c>
      <c r="R786" s="2">
        <v>1</v>
      </c>
      <c r="S786" s="16" t="str" cm="1">
        <f t="array" ref="S786">_xlfn.IFS(Table1[[#This Row],[weathersit]]=1,"clear sky",Table1[[#This Row],[weathersit]]=2,"mist",Table1[[#This Row],[weathersit]]=3,"partially dark",Table1[[#This Row],[weathersit]]=4,"rain")</f>
        <v>mist</v>
      </c>
    </row>
    <row r="787" spans="1:19" ht="13.8" x14ac:dyDescent="0.3">
      <c r="A787" s="2">
        <v>786</v>
      </c>
      <c r="B787" s="3">
        <v>40579</v>
      </c>
      <c r="C787" s="2">
        <v>1</v>
      </c>
      <c r="D787" s="2">
        <v>0</v>
      </c>
      <c r="E787" s="2">
        <v>2</v>
      </c>
      <c r="F787" s="2">
        <v>4</v>
      </c>
      <c r="G787" s="2" t="b">
        <v>0</v>
      </c>
      <c r="H787" s="2">
        <v>6</v>
      </c>
      <c r="I787" s="2">
        <v>3</v>
      </c>
      <c r="J787" s="2">
        <v>0.22</v>
      </c>
      <c r="K787" s="2">
        <v>0.2273</v>
      </c>
      <c r="L787" s="2">
        <v>0.93</v>
      </c>
      <c r="M787" s="2">
        <v>0.1343</v>
      </c>
      <c r="N787" s="2">
        <v>8</v>
      </c>
      <c r="O787" s="2">
        <v>8</v>
      </c>
      <c r="P787" s="2" t="str">
        <f t="shared" si="12"/>
        <v>Saturday</v>
      </c>
      <c r="Q787" s="2" t="str">
        <f>IF(Table1[[#This Row],[temp]]&gt;=0.24,"cold","colder")</f>
        <v>colder</v>
      </c>
      <c r="R787" s="2">
        <v>0</v>
      </c>
      <c r="S787" s="16" t="str" cm="1">
        <f t="array" ref="S787">_xlfn.IFS(Table1[[#This Row],[weathersit]]=1,"clear sky",Table1[[#This Row],[weathersit]]=2,"mist",Table1[[#This Row],[weathersit]]=3,"partially dark",Table1[[#This Row],[weathersit]]=4,"rain")</f>
        <v>partially dark</v>
      </c>
    </row>
    <row r="788" spans="1:19" ht="13.8" x14ac:dyDescent="0.3">
      <c r="A788" s="2">
        <v>787</v>
      </c>
      <c r="B788" s="3">
        <v>40579</v>
      </c>
      <c r="C788" s="2">
        <v>1</v>
      </c>
      <c r="D788" s="2">
        <v>0</v>
      </c>
      <c r="E788" s="2">
        <v>2</v>
      </c>
      <c r="F788" s="2">
        <v>5</v>
      </c>
      <c r="G788" s="2" t="b">
        <v>0</v>
      </c>
      <c r="H788" s="2">
        <v>6</v>
      </c>
      <c r="I788" s="2">
        <v>3</v>
      </c>
      <c r="J788" s="2">
        <v>0.2</v>
      </c>
      <c r="K788" s="2">
        <v>0.2273</v>
      </c>
      <c r="L788" s="2">
        <v>1</v>
      </c>
      <c r="M788" s="2">
        <v>8.9599999999999999E-2</v>
      </c>
      <c r="N788" s="2">
        <v>9</v>
      </c>
      <c r="O788" s="2">
        <v>9</v>
      </c>
      <c r="P788" s="2" t="str">
        <f t="shared" si="12"/>
        <v>Saturday</v>
      </c>
      <c r="Q788" s="2" t="str">
        <f>IF(Table1[[#This Row],[temp]]&gt;=0.24,"cold","colder")</f>
        <v>colder</v>
      </c>
      <c r="R788" s="2">
        <v>0</v>
      </c>
      <c r="S788" s="16" t="str" cm="1">
        <f t="array" ref="S788">_xlfn.IFS(Table1[[#This Row],[weathersit]]=1,"clear sky",Table1[[#This Row],[weathersit]]=2,"mist",Table1[[#This Row],[weathersit]]=3,"partially dark",Table1[[#This Row],[weathersit]]=4,"rain")</f>
        <v>partially dark</v>
      </c>
    </row>
    <row r="789" spans="1:19" ht="13.8" x14ac:dyDescent="0.3">
      <c r="A789" s="2">
        <v>788</v>
      </c>
      <c r="B789" s="3">
        <v>40579</v>
      </c>
      <c r="C789" s="2">
        <v>1</v>
      </c>
      <c r="D789" s="2">
        <v>0</v>
      </c>
      <c r="E789" s="2">
        <v>2</v>
      </c>
      <c r="F789" s="2">
        <v>6</v>
      </c>
      <c r="G789" s="2" t="b">
        <v>0</v>
      </c>
      <c r="H789" s="2">
        <v>6</v>
      </c>
      <c r="I789" s="2">
        <v>3</v>
      </c>
      <c r="J789" s="2">
        <v>0.2</v>
      </c>
      <c r="K789" s="2">
        <v>0.2576</v>
      </c>
      <c r="L789" s="2">
        <v>1</v>
      </c>
      <c r="M789" s="2">
        <v>0</v>
      </c>
      <c r="N789" s="2">
        <v>4</v>
      </c>
      <c r="O789" s="2">
        <v>4</v>
      </c>
      <c r="P789" s="2" t="str">
        <f t="shared" si="12"/>
        <v>Saturday</v>
      </c>
      <c r="Q789" s="2" t="str">
        <f>IF(Table1[[#This Row],[temp]]&gt;=0.24,"cold","colder")</f>
        <v>colder</v>
      </c>
      <c r="R789" s="2">
        <v>0</v>
      </c>
      <c r="S789" s="16" t="str" cm="1">
        <f t="array" ref="S789">_xlfn.IFS(Table1[[#This Row],[weathersit]]=1,"clear sky",Table1[[#This Row],[weathersit]]=2,"mist",Table1[[#This Row],[weathersit]]=3,"partially dark",Table1[[#This Row],[weathersit]]=4,"rain")</f>
        <v>partially dark</v>
      </c>
    </row>
    <row r="790" spans="1:19" ht="13.8" x14ac:dyDescent="0.3">
      <c r="A790" s="2">
        <v>789</v>
      </c>
      <c r="B790" s="3">
        <v>40579</v>
      </c>
      <c r="C790" s="2">
        <v>1</v>
      </c>
      <c r="D790" s="2">
        <v>0</v>
      </c>
      <c r="E790" s="2">
        <v>2</v>
      </c>
      <c r="F790" s="2">
        <v>7</v>
      </c>
      <c r="G790" s="2" t="b">
        <v>0</v>
      </c>
      <c r="H790" s="2">
        <v>6</v>
      </c>
      <c r="I790" s="2">
        <v>3</v>
      </c>
      <c r="J790" s="2">
        <v>0.22</v>
      </c>
      <c r="K790" s="2">
        <v>0.2576</v>
      </c>
      <c r="L790" s="2">
        <v>0.93</v>
      </c>
      <c r="M790" s="2">
        <v>8.9599999999999999E-2</v>
      </c>
      <c r="N790" s="2">
        <v>4</v>
      </c>
      <c r="O790" s="2">
        <v>4</v>
      </c>
      <c r="P790" s="2" t="str">
        <f t="shared" si="12"/>
        <v>Saturday</v>
      </c>
      <c r="Q790" s="2" t="str">
        <f>IF(Table1[[#This Row],[temp]]&gt;=0.24,"cold","colder")</f>
        <v>colder</v>
      </c>
      <c r="R790" s="2">
        <v>0</v>
      </c>
      <c r="S790" s="16" t="str" cm="1">
        <f t="array" ref="S790">_xlfn.IFS(Table1[[#This Row],[weathersit]]=1,"clear sky",Table1[[#This Row],[weathersit]]=2,"mist",Table1[[#This Row],[weathersit]]=3,"partially dark",Table1[[#This Row],[weathersit]]=4,"rain")</f>
        <v>partially dark</v>
      </c>
    </row>
    <row r="791" spans="1:19" ht="13.8" x14ac:dyDescent="0.3">
      <c r="A791" s="2">
        <v>790</v>
      </c>
      <c r="B791" s="3">
        <v>40579</v>
      </c>
      <c r="C791" s="2">
        <v>1</v>
      </c>
      <c r="D791" s="2">
        <v>0</v>
      </c>
      <c r="E791" s="2">
        <v>2</v>
      </c>
      <c r="F791" s="2">
        <v>8</v>
      </c>
      <c r="G791" s="2" t="b">
        <v>0</v>
      </c>
      <c r="H791" s="2">
        <v>6</v>
      </c>
      <c r="I791" s="2">
        <v>3</v>
      </c>
      <c r="J791" s="2">
        <v>0.2</v>
      </c>
      <c r="K791" s="2">
        <v>0.2273</v>
      </c>
      <c r="L791" s="2">
        <v>1</v>
      </c>
      <c r="M791" s="2">
        <v>8.9599999999999999E-2</v>
      </c>
      <c r="N791" s="2">
        <v>10</v>
      </c>
      <c r="O791" s="2">
        <v>10</v>
      </c>
      <c r="P791" s="2" t="str">
        <f t="shared" si="12"/>
        <v>Saturday</v>
      </c>
      <c r="Q791" s="2" t="str">
        <f>IF(Table1[[#This Row],[temp]]&gt;=0.24,"cold","colder")</f>
        <v>colder</v>
      </c>
      <c r="R791" s="2">
        <v>0</v>
      </c>
      <c r="S791" s="16" t="str" cm="1">
        <f t="array" ref="S791">_xlfn.IFS(Table1[[#This Row],[weathersit]]=1,"clear sky",Table1[[#This Row],[weathersit]]=2,"mist",Table1[[#This Row],[weathersit]]=3,"partially dark",Table1[[#This Row],[weathersit]]=4,"rain")</f>
        <v>partially dark</v>
      </c>
    </row>
    <row r="792" spans="1:19" ht="13.8" x14ac:dyDescent="0.3">
      <c r="A792" s="2">
        <v>791</v>
      </c>
      <c r="B792" s="3">
        <v>40579</v>
      </c>
      <c r="C792" s="2">
        <v>1</v>
      </c>
      <c r="D792" s="2">
        <v>0</v>
      </c>
      <c r="E792" s="2">
        <v>2</v>
      </c>
      <c r="F792" s="2">
        <v>9</v>
      </c>
      <c r="G792" s="2" t="b">
        <v>0</v>
      </c>
      <c r="H792" s="2">
        <v>6</v>
      </c>
      <c r="I792" s="2">
        <v>3</v>
      </c>
      <c r="J792" s="2">
        <v>0.2</v>
      </c>
      <c r="K792" s="2">
        <v>0.2273</v>
      </c>
      <c r="L792" s="2">
        <v>1</v>
      </c>
      <c r="M792" s="2">
        <v>8.9599999999999999E-2</v>
      </c>
      <c r="N792" s="2">
        <v>17</v>
      </c>
      <c r="O792" s="2">
        <v>20</v>
      </c>
      <c r="P792" s="2" t="str">
        <f t="shared" si="12"/>
        <v>Saturday</v>
      </c>
      <c r="Q792" s="2" t="str">
        <f>IF(Table1[[#This Row],[temp]]&gt;=0.24,"cold","colder")</f>
        <v>colder</v>
      </c>
      <c r="R792" s="2">
        <v>3</v>
      </c>
      <c r="S792" s="16" t="str" cm="1">
        <f t="array" ref="S792">_xlfn.IFS(Table1[[#This Row],[weathersit]]=1,"clear sky",Table1[[#This Row],[weathersit]]=2,"mist",Table1[[#This Row],[weathersit]]=3,"partially dark",Table1[[#This Row],[weathersit]]=4,"rain")</f>
        <v>partially dark</v>
      </c>
    </row>
    <row r="793" spans="1:19" ht="13.8" x14ac:dyDescent="0.3">
      <c r="A793" s="2">
        <v>792</v>
      </c>
      <c r="B793" s="3">
        <v>40579</v>
      </c>
      <c r="C793" s="2">
        <v>1</v>
      </c>
      <c r="D793" s="2">
        <v>0</v>
      </c>
      <c r="E793" s="2">
        <v>2</v>
      </c>
      <c r="F793" s="2">
        <v>10</v>
      </c>
      <c r="G793" s="2" t="b">
        <v>0</v>
      </c>
      <c r="H793" s="2">
        <v>6</v>
      </c>
      <c r="I793" s="2">
        <v>3</v>
      </c>
      <c r="J793" s="2">
        <v>0.2</v>
      </c>
      <c r="K793" s="2">
        <v>0.21210000000000001</v>
      </c>
      <c r="L793" s="2">
        <v>1</v>
      </c>
      <c r="M793" s="2">
        <v>0.1343</v>
      </c>
      <c r="N793" s="2">
        <v>31</v>
      </c>
      <c r="O793" s="2">
        <v>34</v>
      </c>
      <c r="P793" s="2" t="str">
        <f t="shared" si="12"/>
        <v>Saturday</v>
      </c>
      <c r="Q793" s="2" t="str">
        <f>IF(Table1[[#This Row],[temp]]&gt;=0.24,"cold","colder")</f>
        <v>colder</v>
      </c>
      <c r="R793" s="2">
        <v>3</v>
      </c>
      <c r="S793" s="16" t="str" cm="1">
        <f t="array" ref="S793">_xlfn.IFS(Table1[[#This Row],[weathersit]]=1,"clear sky",Table1[[#This Row],[weathersit]]=2,"mist",Table1[[#This Row],[weathersit]]=3,"partially dark",Table1[[#This Row],[weathersit]]=4,"rain")</f>
        <v>partially dark</v>
      </c>
    </row>
    <row r="794" spans="1:19" ht="13.8" x14ac:dyDescent="0.3">
      <c r="A794" s="2">
        <v>793</v>
      </c>
      <c r="B794" s="3">
        <v>40579</v>
      </c>
      <c r="C794" s="2">
        <v>1</v>
      </c>
      <c r="D794" s="2">
        <v>0</v>
      </c>
      <c r="E794" s="2">
        <v>2</v>
      </c>
      <c r="F794" s="2">
        <v>11</v>
      </c>
      <c r="G794" s="2" t="b">
        <v>0</v>
      </c>
      <c r="H794" s="2">
        <v>6</v>
      </c>
      <c r="I794" s="2">
        <v>3</v>
      </c>
      <c r="J794" s="2">
        <v>0.22</v>
      </c>
      <c r="K794" s="2">
        <v>0.2273</v>
      </c>
      <c r="L794" s="2">
        <v>1</v>
      </c>
      <c r="M794" s="2">
        <v>0.1343</v>
      </c>
      <c r="N794" s="2">
        <v>46</v>
      </c>
      <c r="O794" s="2">
        <v>47</v>
      </c>
      <c r="P794" s="2" t="str">
        <f t="shared" si="12"/>
        <v>Saturday</v>
      </c>
      <c r="Q794" s="2" t="str">
        <f>IF(Table1[[#This Row],[temp]]&gt;=0.24,"cold","colder")</f>
        <v>colder</v>
      </c>
      <c r="R794" s="2">
        <v>1</v>
      </c>
      <c r="S794" s="16" t="str" cm="1">
        <f t="array" ref="S794">_xlfn.IFS(Table1[[#This Row],[weathersit]]=1,"clear sky",Table1[[#This Row],[weathersit]]=2,"mist",Table1[[#This Row],[weathersit]]=3,"partially dark",Table1[[#This Row],[weathersit]]=4,"rain")</f>
        <v>partially dark</v>
      </c>
    </row>
    <row r="795" spans="1:19" ht="13.8" x14ac:dyDescent="0.3">
      <c r="A795" s="2">
        <v>794</v>
      </c>
      <c r="B795" s="3">
        <v>40579</v>
      </c>
      <c r="C795" s="2">
        <v>1</v>
      </c>
      <c r="D795" s="2">
        <v>0</v>
      </c>
      <c r="E795" s="2">
        <v>2</v>
      </c>
      <c r="F795" s="2">
        <v>12</v>
      </c>
      <c r="G795" s="2" t="b">
        <v>0</v>
      </c>
      <c r="H795" s="2">
        <v>6</v>
      </c>
      <c r="I795" s="2">
        <v>3</v>
      </c>
      <c r="J795" s="2">
        <v>0.22</v>
      </c>
      <c r="K795" s="2">
        <v>0.2273</v>
      </c>
      <c r="L795" s="2">
        <v>1</v>
      </c>
      <c r="M795" s="2">
        <v>0.16420000000000001</v>
      </c>
      <c r="N795" s="2">
        <v>42</v>
      </c>
      <c r="O795" s="2">
        <v>52</v>
      </c>
      <c r="P795" s="2" t="str">
        <f t="shared" si="12"/>
        <v>Saturday</v>
      </c>
      <c r="Q795" s="2" t="str">
        <f>IF(Table1[[#This Row],[temp]]&gt;=0.24,"cold","colder")</f>
        <v>colder</v>
      </c>
      <c r="R795" s="2">
        <v>10</v>
      </c>
      <c r="S795" s="16" t="str" cm="1">
        <f t="array" ref="S795">_xlfn.IFS(Table1[[#This Row],[weathersit]]=1,"clear sky",Table1[[#This Row],[weathersit]]=2,"mist",Table1[[#This Row],[weathersit]]=3,"partially dark",Table1[[#This Row],[weathersit]]=4,"rain")</f>
        <v>partially dark</v>
      </c>
    </row>
    <row r="796" spans="1:19" ht="13.8" x14ac:dyDescent="0.3">
      <c r="A796" s="2">
        <v>795</v>
      </c>
      <c r="B796" s="3">
        <v>40579</v>
      </c>
      <c r="C796" s="2">
        <v>1</v>
      </c>
      <c r="D796" s="2">
        <v>0</v>
      </c>
      <c r="E796" s="2">
        <v>2</v>
      </c>
      <c r="F796" s="2">
        <v>13</v>
      </c>
      <c r="G796" s="2" t="b">
        <v>0</v>
      </c>
      <c r="H796" s="2">
        <v>6</v>
      </c>
      <c r="I796" s="2">
        <v>3</v>
      </c>
      <c r="J796" s="2">
        <v>0.22</v>
      </c>
      <c r="K796" s="2">
        <v>0.2273</v>
      </c>
      <c r="L796" s="2">
        <v>1</v>
      </c>
      <c r="M796" s="2">
        <v>0.16420000000000001</v>
      </c>
      <c r="N796" s="2">
        <v>62</v>
      </c>
      <c r="O796" s="2">
        <v>72</v>
      </c>
      <c r="P796" s="2" t="str">
        <f t="shared" si="12"/>
        <v>Saturday</v>
      </c>
      <c r="Q796" s="2" t="str">
        <f>IF(Table1[[#This Row],[temp]]&gt;=0.24,"cold","colder")</f>
        <v>colder</v>
      </c>
      <c r="R796" s="2">
        <v>10</v>
      </c>
      <c r="S796" s="16" t="str" cm="1">
        <f t="array" ref="S796">_xlfn.IFS(Table1[[#This Row],[weathersit]]=1,"clear sky",Table1[[#This Row],[weathersit]]=2,"mist",Table1[[#This Row],[weathersit]]=3,"partially dark",Table1[[#This Row],[weathersit]]=4,"rain")</f>
        <v>partially dark</v>
      </c>
    </row>
    <row r="797" spans="1:19" ht="13.8" x14ac:dyDescent="0.3">
      <c r="A797" s="2">
        <v>796</v>
      </c>
      <c r="B797" s="3">
        <v>40579</v>
      </c>
      <c r="C797" s="2">
        <v>1</v>
      </c>
      <c r="D797" s="2">
        <v>0</v>
      </c>
      <c r="E797" s="2">
        <v>2</v>
      </c>
      <c r="F797" s="2">
        <v>14</v>
      </c>
      <c r="G797" s="2" t="b">
        <v>0</v>
      </c>
      <c r="H797" s="2">
        <v>6</v>
      </c>
      <c r="I797" s="2">
        <v>3</v>
      </c>
      <c r="J797" s="2">
        <v>0.22</v>
      </c>
      <c r="K797" s="2">
        <v>0.2727</v>
      </c>
      <c r="L797" s="2">
        <v>1</v>
      </c>
      <c r="M797" s="2">
        <v>0</v>
      </c>
      <c r="N797" s="2">
        <v>50</v>
      </c>
      <c r="O797" s="2">
        <v>55</v>
      </c>
      <c r="P797" s="2" t="str">
        <f t="shared" si="12"/>
        <v>Saturday</v>
      </c>
      <c r="Q797" s="2" t="str">
        <f>IF(Table1[[#This Row],[temp]]&gt;=0.24,"cold","colder")</f>
        <v>colder</v>
      </c>
      <c r="R797" s="2">
        <v>5</v>
      </c>
      <c r="S797" s="16" t="str" cm="1">
        <f t="array" ref="S797">_xlfn.IFS(Table1[[#This Row],[weathersit]]=1,"clear sky",Table1[[#This Row],[weathersit]]=2,"mist",Table1[[#This Row],[weathersit]]=3,"partially dark",Table1[[#This Row],[weathersit]]=4,"rain")</f>
        <v>partially dark</v>
      </c>
    </row>
    <row r="798" spans="1:19" ht="13.8" x14ac:dyDescent="0.3">
      <c r="A798" s="2">
        <v>797</v>
      </c>
      <c r="B798" s="3">
        <v>40579</v>
      </c>
      <c r="C798" s="2">
        <v>1</v>
      </c>
      <c r="D798" s="2">
        <v>0</v>
      </c>
      <c r="E798" s="2">
        <v>2</v>
      </c>
      <c r="F798" s="2">
        <v>15</v>
      </c>
      <c r="G798" s="2" t="b">
        <v>0</v>
      </c>
      <c r="H798" s="2">
        <v>6</v>
      </c>
      <c r="I798" s="2">
        <v>3</v>
      </c>
      <c r="J798" s="2">
        <v>0.22</v>
      </c>
      <c r="K798" s="2">
        <v>0.2727</v>
      </c>
      <c r="L798" s="2">
        <v>1</v>
      </c>
      <c r="M798" s="2">
        <v>0</v>
      </c>
      <c r="N798" s="2">
        <v>49</v>
      </c>
      <c r="O798" s="2">
        <v>60</v>
      </c>
      <c r="P798" s="2" t="str">
        <f t="shared" si="12"/>
        <v>Saturday</v>
      </c>
      <c r="Q798" s="2" t="str">
        <f>IF(Table1[[#This Row],[temp]]&gt;=0.24,"cold","colder")</f>
        <v>colder</v>
      </c>
      <c r="R798" s="2">
        <v>11</v>
      </c>
      <c r="S798" s="16" t="str" cm="1">
        <f t="array" ref="S798">_xlfn.IFS(Table1[[#This Row],[weathersit]]=1,"clear sky",Table1[[#This Row],[weathersit]]=2,"mist",Table1[[#This Row],[weathersit]]=3,"partially dark",Table1[[#This Row],[weathersit]]=4,"rain")</f>
        <v>partially dark</v>
      </c>
    </row>
    <row r="799" spans="1:19" ht="13.8" x14ac:dyDescent="0.3">
      <c r="A799" s="2">
        <v>798</v>
      </c>
      <c r="B799" s="3">
        <v>40579</v>
      </c>
      <c r="C799" s="2">
        <v>1</v>
      </c>
      <c r="D799" s="2">
        <v>0</v>
      </c>
      <c r="E799" s="2">
        <v>2</v>
      </c>
      <c r="F799" s="2">
        <v>16</v>
      </c>
      <c r="G799" s="2" t="b">
        <v>0</v>
      </c>
      <c r="H799" s="2">
        <v>6</v>
      </c>
      <c r="I799" s="2">
        <v>3</v>
      </c>
      <c r="J799" s="2">
        <v>0.22</v>
      </c>
      <c r="K799" s="2">
        <v>0.2273</v>
      </c>
      <c r="L799" s="2">
        <v>1</v>
      </c>
      <c r="M799" s="2">
        <v>0.1343</v>
      </c>
      <c r="N799" s="2">
        <v>63</v>
      </c>
      <c r="O799" s="2">
        <v>71</v>
      </c>
      <c r="P799" s="2" t="str">
        <f t="shared" si="12"/>
        <v>Saturday</v>
      </c>
      <c r="Q799" s="2" t="str">
        <f>IF(Table1[[#This Row],[temp]]&gt;=0.24,"cold","colder")</f>
        <v>colder</v>
      </c>
      <c r="R799" s="2">
        <v>8</v>
      </c>
      <c r="S799" s="16" t="str" cm="1">
        <f t="array" ref="S799">_xlfn.IFS(Table1[[#This Row],[weathersit]]=1,"clear sky",Table1[[#This Row],[weathersit]]=2,"mist",Table1[[#This Row],[weathersit]]=3,"partially dark",Table1[[#This Row],[weathersit]]=4,"rain")</f>
        <v>partially dark</v>
      </c>
    </row>
    <row r="800" spans="1:19" ht="13.8" x14ac:dyDescent="0.3">
      <c r="A800" s="2">
        <v>799</v>
      </c>
      <c r="B800" s="3">
        <v>40579</v>
      </c>
      <c r="C800" s="2">
        <v>1</v>
      </c>
      <c r="D800" s="2">
        <v>0</v>
      </c>
      <c r="E800" s="2">
        <v>2</v>
      </c>
      <c r="F800" s="2">
        <v>17</v>
      </c>
      <c r="G800" s="2" t="b">
        <v>0</v>
      </c>
      <c r="H800" s="2">
        <v>6</v>
      </c>
      <c r="I800" s="2">
        <v>2</v>
      </c>
      <c r="J800" s="2">
        <v>0.24</v>
      </c>
      <c r="K800" s="2">
        <v>0.21210000000000001</v>
      </c>
      <c r="L800" s="2">
        <v>1</v>
      </c>
      <c r="M800" s="2">
        <v>0.28360000000000002</v>
      </c>
      <c r="N800" s="2">
        <v>64</v>
      </c>
      <c r="O800" s="2">
        <v>78</v>
      </c>
      <c r="P800" s="2" t="str">
        <f t="shared" si="12"/>
        <v>Saturday</v>
      </c>
      <c r="Q800" s="2" t="str">
        <f>IF(Table1[[#This Row],[temp]]&gt;=0.24,"cold","colder")</f>
        <v>cold</v>
      </c>
      <c r="R800" s="2">
        <v>14</v>
      </c>
      <c r="S800" s="16" t="str" cm="1">
        <f t="array" ref="S800">_xlfn.IFS(Table1[[#This Row],[weathersit]]=1,"clear sky",Table1[[#This Row],[weathersit]]=2,"mist",Table1[[#This Row],[weathersit]]=3,"partially dark",Table1[[#This Row],[weathersit]]=4,"rain")</f>
        <v>mist</v>
      </c>
    </row>
    <row r="801" spans="1:19" ht="13.8" x14ac:dyDescent="0.3">
      <c r="A801" s="2">
        <v>800</v>
      </c>
      <c r="B801" s="3">
        <v>40579</v>
      </c>
      <c r="C801" s="2">
        <v>1</v>
      </c>
      <c r="D801" s="2">
        <v>0</v>
      </c>
      <c r="E801" s="2">
        <v>2</v>
      </c>
      <c r="F801" s="2">
        <v>18</v>
      </c>
      <c r="G801" s="2" t="b">
        <v>0</v>
      </c>
      <c r="H801" s="2">
        <v>6</v>
      </c>
      <c r="I801" s="2">
        <v>2</v>
      </c>
      <c r="J801" s="2">
        <v>0.28000000000000003</v>
      </c>
      <c r="K801" s="2">
        <v>0.2424</v>
      </c>
      <c r="L801" s="2">
        <v>0.93</v>
      </c>
      <c r="M801" s="2">
        <v>0.44779999999999998</v>
      </c>
      <c r="N801" s="2">
        <v>81</v>
      </c>
      <c r="O801" s="2">
        <v>83</v>
      </c>
      <c r="P801" s="2" t="str">
        <f t="shared" si="12"/>
        <v>Saturday</v>
      </c>
      <c r="Q801" s="2" t="str">
        <f>IF(Table1[[#This Row],[temp]]&gt;=0.24,"cold","colder")</f>
        <v>cold</v>
      </c>
      <c r="R801" s="2">
        <v>2</v>
      </c>
      <c r="S801" s="16" t="str" cm="1">
        <f t="array" ref="S801">_xlfn.IFS(Table1[[#This Row],[weathersit]]=1,"clear sky",Table1[[#This Row],[weathersit]]=2,"mist",Table1[[#This Row],[weathersit]]=3,"partially dark",Table1[[#This Row],[weathersit]]=4,"rain")</f>
        <v>mist</v>
      </c>
    </row>
    <row r="802" spans="1:19" ht="13.8" x14ac:dyDescent="0.3">
      <c r="A802" s="2">
        <v>801</v>
      </c>
      <c r="B802" s="3">
        <v>40579</v>
      </c>
      <c r="C802" s="2">
        <v>1</v>
      </c>
      <c r="D802" s="2">
        <v>0</v>
      </c>
      <c r="E802" s="2">
        <v>2</v>
      </c>
      <c r="F802" s="2">
        <v>19</v>
      </c>
      <c r="G802" s="2" t="b">
        <v>0</v>
      </c>
      <c r="H802" s="2">
        <v>6</v>
      </c>
      <c r="I802" s="2">
        <v>2</v>
      </c>
      <c r="J802" s="2">
        <v>0.28000000000000003</v>
      </c>
      <c r="K802" s="2">
        <v>0.2424</v>
      </c>
      <c r="L802" s="2">
        <v>0.93</v>
      </c>
      <c r="M802" s="2">
        <v>0.44779999999999998</v>
      </c>
      <c r="N802" s="2">
        <v>78</v>
      </c>
      <c r="O802" s="2">
        <v>84</v>
      </c>
      <c r="P802" s="2" t="str">
        <f t="shared" si="12"/>
        <v>Saturday</v>
      </c>
      <c r="Q802" s="2" t="str">
        <f>IF(Table1[[#This Row],[temp]]&gt;=0.24,"cold","colder")</f>
        <v>cold</v>
      </c>
      <c r="R802" s="2">
        <v>6</v>
      </c>
      <c r="S802" s="16" t="str" cm="1">
        <f t="array" ref="S802">_xlfn.IFS(Table1[[#This Row],[weathersit]]=1,"clear sky",Table1[[#This Row],[weathersit]]=2,"mist",Table1[[#This Row],[weathersit]]=3,"partially dark",Table1[[#This Row],[weathersit]]=4,"rain")</f>
        <v>mist</v>
      </c>
    </row>
    <row r="803" spans="1:19" ht="13.8" x14ac:dyDescent="0.3">
      <c r="A803" s="2">
        <v>802</v>
      </c>
      <c r="B803" s="3">
        <v>40579</v>
      </c>
      <c r="C803" s="2">
        <v>1</v>
      </c>
      <c r="D803" s="2">
        <v>0</v>
      </c>
      <c r="E803" s="2">
        <v>2</v>
      </c>
      <c r="F803" s="2">
        <v>20</v>
      </c>
      <c r="G803" s="2" t="b">
        <v>0</v>
      </c>
      <c r="H803" s="2">
        <v>6</v>
      </c>
      <c r="I803" s="2">
        <v>1</v>
      </c>
      <c r="J803" s="2">
        <v>0.3</v>
      </c>
      <c r="K803" s="2">
        <v>0.28789999999999999</v>
      </c>
      <c r="L803" s="2">
        <v>0.87</v>
      </c>
      <c r="M803" s="2">
        <v>0.25369999999999998</v>
      </c>
      <c r="N803" s="2">
        <v>64</v>
      </c>
      <c r="O803" s="2">
        <v>69</v>
      </c>
      <c r="P803" s="2" t="str">
        <f t="shared" si="12"/>
        <v>Saturday</v>
      </c>
      <c r="Q803" s="2" t="str">
        <f>IF(Table1[[#This Row],[temp]]&gt;=0.24,"cold","colder")</f>
        <v>cold</v>
      </c>
      <c r="R803" s="2">
        <v>5</v>
      </c>
      <c r="S803" s="16" t="str" cm="1">
        <f t="array" ref="S803">_xlfn.IFS(Table1[[#This Row],[weathersit]]=1,"clear sky",Table1[[#This Row],[weathersit]]=2,"mist",Table1[[#This Row],[weathersit]]=3,"partially dark",Table1[[#This Row],[weathersit]]=4,"rain")</f>
        <v>clear sky</v>
      </c>
    </row>
    <row r="804" spans="1:19" ht="13.8" x14ac:dyDescent="0.3">
      <c r="A804" s="2">
        <v>803</v>
      </c>
      <c r="B804" s="3">
        <v>40579</v>
      </c>
      <c r="C804" s="2">
        <v>1</v>
      </c>
      <c r="D804" s="2">
        <v>0</v>
      </c>
      <c r="E804" s="2">
        <v>2</v>
      </c>
      <c r="F804" s="2">
        <v>21</v>
      </c>
      <c r="G804" s="2" t="b">
        <v>0</v>
      </c>
      <c r="H804" s="2">
        <v>6</v>
      </c>
      <c r="I804" s="2">
        <v>1</v>
      </c>
      <c r="J804" s="2">
        <v>0.26</v>
      </c>
      <c r="K804" s="2">
        <v>0.2576</v>
      </c>
      <c r="L804" s="2">
        <v>1</v>
      </c>
      <c r="M804" s="2">
        <v>0.19400000000000001</v>
      </c>
      <c r="N804" s="2">
        <v>53</v>
      </c>
      <c r="O804" s="2">
        <v>56</v>
      </c>
      <c r="P804" s="2" t="str">
        <f t="shared" si="12"/>
        <v>Saturday</v>
      </c>
      <c r="Q804" s="2" t="str">
        <f>IF(Table1[[#This Row],[temp]]&gt;=0.24,"cold","colder")</f>
        <v>cold</v>
      </c>
      <c r="R804" s="2">
        <v>3</v>
      </c>
      <c r="S804" s="16" t="str" cm="1">
        <f t="array" ref="S804">_xlfn.IFS(Table1[[#This Row],[weathersit]]=1,"clear sky",Table1[[#This Row],[weathersit]]=2,"mist",Table1[[#This Row],[weathersit]]=3,"partially dark",Table1[[#This Row],[weathersit]]=4,"rain")</f>
        <v>clear sky</v>
      </c>
    </row>
    <row r="805" spans="1:19" ht="13.8" x14ac:dyDescent="0.3">
      <c r="A805" s="2">
        <v>804</v>
      </c>
      <c r="B805" s="3">
        <v>40579</v>
      </c>
      <c r="C805" s="2">
        <v>1</v>
      </c>
      <c r="D805" s="2">
        <v>0</v>
      </c>
      <c r="E805" s="2">
        <v>2</v>
      </c>
      <c r="F805" s="2">
        <v>22</v>
      </c>
      <c r="G805" s="2" t="b">
        <v>0</v>
      </c>
      <c r="H805" s="2">
        <v>6</v>
      </c>
      <c r="I805" s="2">
        <v>1</v>
      </c>
      <c r="J805" s="2">
        <v>0.26</v>
      </c>
      <c r="K805" s="2">
        <v>0.2727</v>
      </c>
      <c r="L805" s="2">
        <v>0.93</v>
      </c>
      <c r="M805" s="2">
        <v>0.1343</v>
      </c>
      <c r="N805" s="2">
        <v>43</v>
      </c>
      <c r="O805" s="2">
        <v>45</v>
      </c>
      <c r="P805" s="2" t="str">
        <f t="shared" si="12"/>
        <v>Saturday</v>
      </c>
      <c r="Q805" s="2" t="str">
        <f>IF(Table1[[#This Row],[temp]]&gt;=0.24,"cold","colder")</f>
        <v>cold</v>
      </c>
      <c r="R805" s="2">
        <v>2</v>
      </c>
      <c r="S805" s="16" t="str" cm="1">
        <f t="array" ref="S805">_xlfn.IFS(Table1[[#This Row],[weathersit]]=1,"clear sky",Table1[[#This Row],[weathersit]]=2,"mist",Table1[[#This Row],[weathersit]]=3,"partially dark",Table1[[#This Row],[weathersit]]=4,"rain")</f>
        <v>clear sky</v>
      </c>
    </row>
    <row r="806" spans="1:19" ht="13.8" x14ac:dyDescent="0.3">
      <c r="A806" s="2">
        <v>805</v>
      </c>
      <c r="B806" s="3">
        <v>40579</v>
      </c>
      <c r="C806" s="2">
        <v>1</v>
      </c>
      <c r="D806" s="2">
        <v>0</v>
      </c>
      <c r="E806" s="2">
        <v>2</v>
      </c>
      <c r="F806" s="2">
        <v>23</v>
      </c>
      <c r="G806" s="2" t="b">
        <v>0</v>
      </c>
      <c r="H806" s="2">
        <v>6</v>
      </c>
      <c r="I806" s="2">
        <v>1</v>
      </c>
      <c r="J806" s="2">
        <v>0.26</v>
      </c>
      <c r="K806" s="2">
        <v>0.2576</v>
      </c>
      <c r="L806" s="2">
        <v>0.93</v>
      </c>
      <c r="M806" s="2">
        <v>0.22389999999999999</v>
      </c>
      <c r="N806" s="2">
        <v>52</v>
      </c>
      <c r="O806" s="2">
        <v>59</v>
      </c>
      <c r="P806" s="2" t="str">
        <f t="shared" si="12"/>
        <v>Saturday</v>
      </c>
      <c r="Q806" s="2" t="str">
        <f>IF(Table1[[#This Row],[temp]]&gt;=0.24,"cold","colder")</f>
        <v>cold</v>
      </c>
      <c r="R806" s="2">
        <v>7</v>
      </c>
      <c r="S806" s="16" t="str" cm="1">
        <f t="array" ref="S806">_xlfn.IFS(Table1[[#This Row],[weathersit]]=1,"clear sky",Table1[[#This Row],[weathersit]]=2,"mist",Table1[[#This Row],[weathersit]]=3,"partially dark",Table1[[#This Row],[weathersit]]=4,"rain")</f>
        <v>clear sky</v>
      </c>
    </row>
    <row r="807" spans="1:19" ht="13.8" x14ac:dyDescent="0.3">
      <c r="A807" s="2">
        <v>806</v>
      </c>
      <c r="B807" s="3">
        <v>40580</v>
      </c>
      <c r="C807" s="2">
        <v>1</v>
      </c>
      <c r="D807" s="2">
        <v>0</v>
      </c>
      <c r="E807" s="2">
        <v>2</v>
      </c>
      <c r="F807" s="2">
        <v>0</v>
      </c>
      <c r="G807" s="2" t="b">
        <v>0</v>
      </c>
      <c r="H807" s="2">
        <v>0</v>
      </c>
      <c r="I807" s="2">
        <v>1</v>
      </c>
      <c r="J807" s="2">
        <v>0.26</v>
      </c>
      <c r="K807" s="2">
        <v>0.2576</v>
      </c>
      <c r="L807" s="2">
        <v>0.7</v>
      </c>
      <c r="M807" s="2">
        <v>0.19400000000000001</v>
      </c>
      <c r="N807" s="2">
        <v>37</v>
      </c>
      <c r="O807" s="2">
        <v>39</v>
      </c>
      <c r="P807" s="2" t="str">
        <f t="shared" si="12"/>
        <v>Sunday</v>
      </c>
      <c r="Q807" s="2" t="str">
        <f>IF(Table1[[#This Row],[temp]]&gt;=0.24,"cold","colder")</f>
        <v>cold</v>
      </c>
      <c r="R807" s="2">
        <v>2</v>
      </c>
      <c r="S807" s="16" t="str" cm="1">
        <f t="array" ref="S807">_xlfn.IFS(Table1[[#This Row],[weathersit]]=1,"clear sky",Table1[[#This Row],[weathersit]]=2,"mist",Table1[[#This Row],[weathersit]]=3,"partially dark",Table1[[#This Row],[weathersit]]=4,"rain")</f>
        <v>clear sky</v>
      </c>
    </row>
    <row r="808" spans="1:19" ht="13.8" x14ac:dyDescent="0.3">
      <c r="A808" s="2">
        <v>807</v>
      </c>
      <c r="B808" s="3">
        <v>40580</v>
      </c>
      <c r="C808" s="2">
        <v>1</v>
      </c>
      <c r="D808" s="2">
        <v>0</v>
      </c>
      <c r="E808" s="2">
        <v>2</v>
      </c>
      <c r="F808" s="2">
        <v>1</v>
      </c>
      <c r="G808" s="2" t="b">
        <v>0</v>
      </c>
      <c r="H808" s="2">
        <v>0</v>
      </c>
      <c r="I808" s="2">
        <v>1</v>
      </c>
      <c r="J808" s="2">
        <v>0.26</v>
      </c>
      <c r="K808" s="2">
        <v>0.2273</v>
      </c>
      <c r="L808" s="2">
        <v>0.65</v>
      </c>
      <c r="M808" s="2">
        <v>0.41789999999999999</v>
      </c>
      <c r="N808" s="2">
        <v>40</v>
      </c>
      <c r="O808" s="2">
        <v>44</v>
      </c>
      <c r="P808" s="2" t="str">
        <f t="shared" si="12"/>
        <v>Sunday</v>
      </c>
      <c r="Q808" s="2" t="str">
        <f>IF(Table1[[#This Row],[temp]]&gt;=0.24,"cold","colder")</f>
        <v>cold</v>
      </c>
      <c r="R808" s="2">
        <v>4</v>
      </c>
      <c r="S808" s="16" t="str" cm="1">
        <f t="array" ref="S808">_xlfn.IFS(Table1[[#This Row],[weathersit]]=1,"clear sky",Table1[[#This Row],[weathersit]]=2,"mist",Table1[[#This Row],[weathersit]]=3,"partially dark",Table1[[#This Row],[weathersit]]=4,"rain")</f>
        <v>clear sky</v>
      </c>
    </row>
    <row r="809" spans="1:19" ht="13.8" x14ac:dyDescent="0.3">
      <c r="A809" s="2">
        <v>808</v>
      </c>
      <c r="B809" s="3">
        <v>40580</v>
      </c>
      <c r="C809" s="2">
        <v>1</v>
      </c>
      <c r="D809" s="2">
        <v>0</v>
      </c>
      <c r="E809" s="2">
        <v>2</v>
      </c>
      <c r="F809" s="2">
        <v>2</v>
      </c>
      <c r="G809" s="2" t="b">
        <v>0</v>
      </c>
      <c r="H809" s="2">
        <v>0</v>
      </c>
      <c r="I809" s="2">
        <v>1</v>
      </c>
      <c r="J809" s="2">
        <v>0.26</v>
      </c>
      <c r="K809" s="2">
        <v>0.2273</v>
      </c>
      <c r="L809" s="2">
        <v>0.6</v>
      </c>
      <c r="M809" s="2">
        <v>0.32840000000000003</v>
      </c>
      <c r="N809" s="2">
        <v>20</v>
      </c>
      <c r="O809" s="2">
        <v>20</v>
      </c>
      <c r="P809" s="2" t="str">
        <f t="shared" si="12"/>
        <v>Sunday</v>
      </c>
      <c r="Q809" s="2" t="str">
        <f>IF(Table1[[#This Row],[temp]]&gt;=0.24,"cold","colder")</f>
        <v>cold</v>
      </c>
      <c r="R809" s="2">
        <v>0</v>
      </c>
      <c r="S809" s="16" t="str" cm="1">
        <f t="array" ref="S809">_xlfn.IFS(Table1[[#This Row],[weathersit]]=1,"clear sky",Table1[[#This Row],[weathersit]]=2,"mist",Table1[[#This Row],[weathersit]]=3,"partially dark",Table1[[#This Row],[weathersit]]=4,"rain")</f>
        <v>clear sky</v>
      </c>
    </row>
    <row r="810" spans="1:19" ht="13.8" x14ac:dyDescent="0.3">
      <c r="A810" s="2">
        <v>809</v>
      </c>
      <c r="B810" s="3">
        <v>40580</v>
      </c>
      <c r="C810" s="2">
        <v>1</v>
      </c>
      <c r="D810" s="2">
        <v>0</v>
      </c>
      <c r="E810" s="2">
        <v>2</v>
      </c>
      <c r="F810" s="2">
        <v>3</v>
      </c>
      <c r="G810" s="2" t="b">
        <v>0</v>
      </c>
      <c r="H810" s="2">
        <v>0</v>
      </c>
      <c r="I810" s="2">
        <v>1</v>
      </c>
      <c r="J810" s="2">
        <v>0.26</v>
      </c>
      <c r="K810" s="2">
        <v>0.28789999999999999</v>
      </c>
      <c r="L810" s="2">
        <v>0.6</v>
      </c>
      <c r="M810" s="2">
        <v>8.9599999999999999E-2</v>
      </c>
      <c r="N810" s="2">
        <v>10</v>
      </c>
      <c r="O810" s="2">
        <v>13</v>
      </c>
      <c r="P810" s="2" t="str">
        <f t="shared" si="12"/>
        <v>Sunday</v>
      </c>
      <c r="Q810" s="2" t="str">
        <f>IF(Table1[[#This Row],[temp]]&gt;=0.24,"cold","colder")</f>
        <v>cold</v>
      </c>
      <c r="R810" s="2">
        <v>3</v>
      </c>
      <c r="S810" s="16" t="str" cm="1">
        <f t="array" ref="S810">_xlfn.IFS(Table1[[#This Row],[weathersit]]=1,"clear sky",Table1[[#This Row],[weathersit]]=2,"mist",Table1[[#This Row],[weathersit]]=3,"partially dark",Table1[[#This Row],[weathersit]]=4,"rain")</f>
        <v>clear sky</v>
      </c>
    </row>
    <row r="811" spans="1:19" ht="13.8" x14ac:dyDescent="0.3">
      <c r="A811" s="2">
        <v>810</v>
      </c>
      <c r="B811" s="3">
        <v>40580</v>
      </c>
      <c r="C811" s="2">
        <v>1</v>
      </c>
      <c r="D811" s="2">
        <v>0</v>
      </c>
      <c r="E811" s="2">
        <v>2</v>
      </c>
      <c r="F811" s="2">
        <v>4</v>
      </c>
      <c r="G811" s="2" t="b">
        <v>0</v>
      </c>
      <c r="H811" s="2">
        <v>0</v>
      </c>
      <c r="I811" s="2">
        <v>1</v>
      </c>
      <c r="J811" s="2">
        <v>0.26</v>
      </c>
      <c r="K811" s="2">
        <v>0.2273</v>
      </c>
      <c r="L811" s="2">
        <v>0.6</v>
      </c>
      <c r="M811" s="2">
        <v>0.35820000000000002</v>
      </c>
      <c r="N811" s="2">
        <v>2</v>
      </c>
      <c r="O811" s="2">
        <v>2</v>
      </c>
      <c r="P811" s="2" t="str">
        <f t="shared" si="12"/>
        <v>Sunday</v>
      </c>
      <c r="Q811" s="2" t="str">
        <f>IF(Table1[[#This Row],[temp]]&gt;=0.24,"cold","colder")</f>
        <v>cold</v>
      </c>
      <c r="R811" s="2">
        <v>0</v>
      </c>
      <c r="S811" s="16" t="str" cm="1">
        <f t="array" ref="S811">_xlfn.IFS(Table1[[#This Row],[weathersit]]=1,"clear sky",Table1[[#This Row],[weathersit]]=2,"mist",Table1[[#This Row],[weathersit]]=3,"partially dark",Table1[[#This Row],[weathersit]]=4,"rain")</f>
        <v>clear sky</v>
      </c>
    </row>
    <row r="812" spans="1:19" ht="13.8" x14ac:dyDescent="0.3">
      <c r="A812" s="2">
        <v>811</v>
      </c>
      <c r="B812" s="3">
        <v>40580</v>
      </c>
      <c r="C812" s="2">
        <v>1</v>
      </c>
      <c r="D812" s="2">
        <v>0</v>
      </c>
      <c r="E812" s="2">
        <v>2</v>
      </c>
      <c r="F812" s="2">
        <v>5</v>
      </c>
      <c r="G812" s="2" t="b">
        <v>0</v>
      </c>
      <c r="H812" s="2">
        <v>0</v>
      </c>
      <c r="I812" s="2">
        <v>1</v>
      </c>
      <c r="J812" s="2">
        <v>0.26</v>
      </c>
      <c r="K812" s="2">
        <v>0.2576</v>
      </c>
      <c r="L812" s="2">
        <v>0.6</v>
      </c>
      <c r="M812" s="2">
        <v>0.22389999999999999</v>
      </c>
      <c r="N812" s="2">
        <v>1</v>
      </c>
      <c r="O812" s="2">
        <v>1</v>
      </c>
      <c r="P812" s="2" t="str">
        <f t="shared" si="12"/>
        <v>Sunday</v>
      </c>
      <c r="Q812" s="2" t="str">
        <f>IF(Table1[[#This Row],[temp]]&gt;=0.24,"cold","colder")</f>
        <v>cold</v>
      </c>
      <c r="R812" s="2">
        <v>0</v>
      </c>
      <c r="S812" s="16" t="str" cm="1">
        <f t="array" ref="S812">_xlfn.IFS(Table1[[#This Row],[weathersit]]=1,"clear sky",Table1[[#This Row],[weathersit]]=2,"mist",Table1[[#This Row],[weathersit]]=3,"partially dark",Table1[[#This Row],[weathersit]]=4,"rain")</f>
        <v>clear sky</v>
      </c>
    </row>
    <row r="813" spans="1:19" ht="13.8" x14ac:dyDescent="0.3">
      <c r="A813" s="2">
        <v>812</v>
      </c>
      <c r="B813" s="3">
        <v>40580</v>
      </c>
      <c r="C813" s="2">
        <v>1</v>
      </c>
      <c r="D813" s="2">
        <v>0</v>
      </c>
      <c r="E813" s="2">
        <v>2</v>
      </c>
      <c r="F813" s="2">
        <v>6</v>
      </c>
      <c r="G813" s="2" t="b">
        <v>0</v>
      </c>
      <c r="H813" s="2">
        <v>0</v>
      </c>
      <c r="I813" s="2">
        <v>1</v>
      </c>
      <c r="J813" s="2">
        <v>0.26</v>
      </c>
      <c r="K813" s="2">
        <v>0.2576</v>
      </c>
      <c r="L813" s="2">
        <v>0.6</v>
      </c>
      <c r="M813" s="2">
        <v>0.22389999999999999</v>
      </c>
      <c r="N813" s="2">
        <v>1</v>
      </c>
      <c r="O813" s="2">
        <v>1</v>
      </c>
      <c r="P813" s="2" t="str">
        <f t="shared" si="12"/>
        <v>Sunday</v>
      </c>
      <c r="Q813" s="2" t="str">
        <f>IF(Table1[[#This Row],[temp]]&gt;=0.24,"cold","colder")</f>
        <v>cold</v>
      </c>
      <c r="R813" s="2">
        <v>0</v>
      </c>
      <c r="S813" s="16" t="str" cm="1">
        <f t="array" ref="S813">_xlfn.IFS(Table1[[#This Row],[weathersit]]=1,"clear sky",Table1[[#This Row],[weathersit]]=2,"mist",Table1[[#This Row],[weathersit]]=3,"partially dark",Table1[[#This Row],[weathersit]]=4,"rain")</f>
        <v>clear sky</v>
      </c>
    </row>
    <row r="814" spans="1:19" ht="13.8" x14ac:dyDescent="0.3">
      <c r="A814" s="2">
        <v>813</v>
      </c>
      <c r="B814" s="3">
        <v>40580</v>
      </c>
      <c r="C814" s="2">
        <v>1</v>
      </c>
      <c r="D814" s="2">
        <v>0</v>
      </c>
      <c r="E814" s="2">
        <v>2</v>
      </c>
      <c r="F814" s="2">
        <v>7</v>
      </c>
      <c r="G814" s="2" t="b">
        <v>0</v>
      </c>
      <c r="H814" s="2">
        <v>0</v>
      </c>
      <c r="I814" s="2">
        <v>1</v>
      </c>
      <c r="J814" s="2">
        <v>0.24</v>
      </c>
      <c r="K814" s="2">
        <v>0.2424</v>
      </c>
      <c r="L814" s="2">
        <v>0.65</v>
      </c>
      <c r="M814" s="2">
        <v>0.16420000000000001</v>
      </c>
      <c r="N814" s="2">
        <v>8</v>
      </c>
      <c r="O814" s="2">
        <v>8</v>
      </c>
      <c r="P814" s="2" t="str">
        <f t="shared" si="12"/>
        <v>Sunday</v>
      </c>
      <c r="Q814" s="2" t="str">
        <f>IF(Table1[[#This Row],[temp]]&gt;=0.24,"cold","colder")</f>
        <v>cold</v>
      </c>
      <c r="R814" s="2">
        <v>0</v>
      </c>
      <c r="S814" s="16" t="str" cm="1">
        <f t="array" ref="S814">_xlfn.IFS(Table1[[#This Row],[weathersit]]=1,"clear sky",Table1[[#This Row],[weathersit]]=2,"mist",Table1[[#This Row],[weathersit]]=3,"partially dark",Table1[[#This Row],[weathersit]]=4,"rain")</f>
        <v>clear sky</v>
      </c>
    </row>
    <row r="815" spans="1:19" ht="13.8" x14ac:dyDescent="0.3">
      <c r="A815" s="2">
        <v>814</v>
      </c>
      <c r="B815" s="3">
        <v>40580</v>
      </c>
      <c r="C815" s="2">
        <v>1</v>
      </c>
      <c r="D815" s="2">
        <v>0</v>
      </c>
      <c r="E815" s="2">
        <v>2</v>
      </c>
      <c r="F815" s="2">
        <v>8</v>
      </c>
      <c r="G815" s="2" t="b">
        <v>0</v>
      </c>
      <c r="H815" s="2">
        <v>0</v>
      </c>
      <c r="I815" s="2">
        <v>1</v>
      </c>
      <c r="J815" s="2">
        <v>0.24</v>
      </c>
      <c r="K815" s="2">
        <v>0.2576</v>
      </c>
      <c r="L815" s="2">
        <v>0.65</v>
      </c>
      <c r="M815" s="2">
        <v>0.1045</v>
      </c>
      <c r="N815" s="2">
        <v>21</v>
      </c>
      <c r="O815" s="2">
        <v>23</v>
      </c>
      <c r="P815" s="2" t="str">
        <f t="shared" si="12"/>
        <v>Sunday</v>
      </c>
      <c r="Q815" s="2" t="str">
        <f>IF(Table1[[#This Row],[temp]]&gt;=0.24,"cold","colder")</f>
        <v>cold</v>
      </c>
      <c r="R815" s="2">
        <v>2</v>
      </c>
      <c r="S815" s="16" t="str" cm="1">
        <f t="array" ref="S815">_xlfn.IFS(Table1[[#This Row],[weathersit]]=1,"clear sky",Table1[[#This Row],[weathersit]]=2,"mist",Table1[[#This Row],[weathersit]]=3,"partially dark",Table1[[#This Row],[weathersit]]=4,"rain")</f>
        <v>clear sky</v>
      </c>
    </row>
    <row r="816" spans="1:19" ht="13.8" x14ac:dyDescent="0.3">
      <c r="A816" s="2">
        <v>815</v>
      </c>
      <c r="B816" s="3">
        <v>40580</v>
      </c>
      <c r="C816" s="2">
        <v>1</v>
      </c>
      <c r="D816" s="2">
        <v>0</v>
      </c>
      <c r="E816" s="2">
        <v>2</v>
      </c>
      <c r="F816" s="2">
        <v>9</v>
      </c>
      <c r="G816" s="2" t="b">
        <v>0</v>
      </c>
      <c r="H816" s="2">
        <v>0</v>
      </c>
      <c r="I816" s="2">
        <v>1</v>
      </c>
      <c r="J816" s="2">
        <v>0.28000000000000003</v>
      </c>
      <c r="K816" s="2">
        <v>0.28789999999999999</v>
      </c>
      <c r="L816" s="2">
        <v>0.56000000000000005</v>
      </c>
      <c r="M816" s="2">
        <v>0.1045</v>
      </c>
      <c r="N816" s="2">
        <v>38</v>
      </c>
      <c r="O816" s="2">
        <v>45</v>
      </c>
      <c r="P816" s="2" t="str">
        <f t="shared" si="12"/>
        <v>Sunday</v>
      </c>
      <c r="Q816" s="2" t="str">
        <f>IF(Table1[[#This Row],[temp]]&gt;=0.24,"cold","colder")</f>
        <v>cold</v>
      </c>
      <c r="R816" s="2">
        <v>7</v>
      </c>
      <c r="S816" s="16" t="str" cm="1">
        <f t="array" ref="S816">_xlfn.IFS(Table1[[#This Row],[weathersit]]=1,"clear sky",Table1[[#This Row],[weathersit]]=2,"mist",Table1[[#This Row],[weathersit]]=3,"partially dark",Table1[[#This Row],[weathersit]]=4,"rain")</f>
        <v>clear sky</v>
      </c>
    </row>
    <row r="817" spans="1:19" ht="13.8" x14ac:dyDescent="0.3">
      <c r="A817" s="2">
        <v>816</v>
      </c>
      <c r="B817" s="3">
        <v>40580</v>
      </c>
      <c r="C817" s="2">
        <v>1</v>
      </c>
      <c r="D817" s="2">
        <v>0</v>
      </c>
      <c r="E817" s="2">
        <v>2</v>
      </c>
      <c r="F817" s="2">
        <v>10</v>
      </c>
      <c r="G817" s="2" t="b">
        <v>0</v>
      </c>
      <c r="H817" s="2">
        <v>0</v>
      </c>
      <c r="I817" s="2">
        <v>1</v>
      </c>
      <c r="J817" s="2">
        <v>0.3</v>
      </c>
      <c r="K817" s="2">
        <v>0.28789999999999999</v>
      </c>
      <c r="L817" s="2">
        <v>0.52</v>
      </c>
      <c r="M817" s="2">
        <v>0.25369999999999998</v>
      </c>
      <c r="N817" s="2">
        <v>74</v>
      </c>
      <c r="O817" s="2">
        <v>89</v>
      </c>
      <c r="P817" s="2" t="str">
        <f t="shared" si="12"/>
        <v>Sunday</v>
      </c>
      <c r="Q817" s="2" t="str">
        <f>IF(Table1[[#This Row],[temp]]&gt;=0.24,"cold","colder")</f>
        <v>cold</v>
      </c>
      <c r="R817" s="2">
        <v>15</v>
      </c>
      <c r="S817" s="16" t="str" cm="1">
        <f t="array" ref="S817">_xlfn.IFS(Table1[[#This Row],[weathersit]]=1,"clear sky",Table1[[#This Row],[weathersit]]=2,"mist",Table1[[#This Row],[weathersit]]=3,"partially dark",Table1[[#This Row],[weathersit]]=4,"rain")</f>
        <v>clear sky</v>
      </c>
    </row>
    <row r="818" spans="1:19" ht="13.8" x14ac:dyDescent="0.3">
      <c r="A818" s="2">
        <v>817</v>
      </c>
      <c r="B818" s="3">
        <v>40580</v>
      </c>
      <c r="C818" s="2">
        <v>1</v>
      </c>
      <c r="D818" s="2">
        <v>0</v>
      </c>
      <c r="E818" s="2">
        <v>2</v>
      </c>
      <c r="F818" s="2">
        <v>11</v>
      </c>
      <c r="G818" s="2" t="b">
        <v>0</v>
      </c>
      <c r="H818" s="2">
        <v>0</v>
      </c>
      <c r="I818" s="2">
        <v>1</v>
      </c>
      <c r="J818" s="2">
        <v>0.32</v>
      </c>
      <c r="K818" s="2">
        <v>0.30299999999999999</v>
      </c>
      <c r="L818" s="2">
        <v>0.49</v>
      </c>
      <c r="M818" s="2">
        <v>0.25369999999999998</v>
      </c>
      <c r="N818" s="2">
        <v>89</v>
      </c>
      <c r="O818" s="2">
        <v>117</v>
      </c>
      <c r="P818" s="2" t="str">
        <f t="shared" si="12"/>
        <v>Sunday</v>
      </c>
      <c r="Q818" s="2" t="str">
        <f>IF(Table1[[#This Row],[temp]]&gt;=0.24,"cold","colder")</f>
        <v>cold</v>
      </c>
      <c r="R818" s="2">
        <v>28</v>
      </c>
      <c r="S818" s="16" t="str" cm="1">
        <f t="array" ref="S818">_xlfn.IFS(Table1[[#This Row],[weathersit]]=1,"clear sky",Table1[[#This Row],[weathersit]]=2,"mist",Table1[[#This Row],[weathersit]]=3,"partially dark",Table1[[#This Row],[weathersit]]=4,"rain")</f>
        <v>clear sky</v>
      </c>
    </row>
    <row r="819" spans="1:19" ht="13.8" x14ac:dyDescent="0.3">
      <c r="A819" s="2">
        <v>818</v>
      </c>
      <c r="B819" s="3">
        <v>40580</v>
      </c>
      <c r="C819" s="2">
        <v>1</v>
      </c>
      <c r="D819" s="2">
        <v>0</v>
      </c>
      <c r="E819" s="2">
        <v>2</v>
      </c>
      <c r="F819" s="2">
        <v>12</v>
      </c>
      <c r="G819" s="2" t="b">
        <v>0</v>
      </c>
      <c r="H819" s="2">
        <v>0</v>
      </c>
      <c r="I819" s="2">
        <v>1</v>
      </c>
      <c r="J819" s="2">
        <v>0.34</v>
      </c>
      <c r="K819" s="2">
        <v>0.33329999999999999</v>
      </c>
      <c r="L819" s="2">
        <v>0.46</v>
      </c>
      <c r="M819" s="2">
        <v>0</v>
      </c>
      <c r="N819" s="2">
        <v>126</v>
      </c>
      <c r="O819" s="2">
        <v>174</v>
      </c>
      <c r="P819" s="2" t="str">
        <f t="shared" si="12"/>
        <v>Sunday</v>
      </c>
      <c r="Q819" s="2" t="str">
        <f>IF(Table1[[#This Row],[temp]]&gt;=0.24,"cold","colder")</f>
        <v>cold</v>
      </c>
      <c r="R819" s="2">
        <v>48</v>
      </c>
      <c r="S819" s="16" t="str" cm="1">
        <f t="array" ref="S819">_xlfn.IFS(Table1[[#This Row],[weathersit]]=1,"clear sky",Table1[[#This Row],[weathersit]]=2,"mist",Table1[[#This Row],[weathersit]]=3,"partially dark",Table1[[#This Row],[weathersit]]=4,"rain")</f>
        <v>clear sky</v>
      </c>
    </row>
    <row r="820" spans="1:19" ht="13.8" x14ac:dyDescent="0.3">
      <c r="A820" s="2">
        <v>819</v>
      </c>
      <c r="B820" s="3">
        <v>40580</v>
      </c>
      <c r="C820" s="2">
        <v>1</v>
      </c>
      <c r="D820" s="2">
        <v>0</v>
      </c>
      <c r="E820" s="2">
        <v>2</v>
      </c>
      <c r="F820" s="2">
        <v>13</v>
      </c>
      <c r="G820" s="2" t="b">
        <v>0</v>
      </c>
      <c r="H820" s="2">
        <v>0</v>
      </c>
      <c r="I820" s="2">
        <v>1</v>
      </c>
      <c r="J820" s="2">
        <v>0.34</v>
      </c>
      <c r="K820" s="2">
        <v>0.36359999999999998</v>
      </c>
      <c r="L820" s="2">
        <v>0.46</v>
      </c>
      <c r="M820" s="2">
        <v>0</v>
      </c>
      <c r="N820" s="2">
        <v>135</v>
      </c>
      <c r="O820" s="2">
        <v>182</v>
      </c>
      <c r="P820" s="2" t="str">
        <f t="shared" si="12"/>
        <v>Sunday</v>
      </c>
      <c r="Q820" s="2" t="str">
        <f>IF(Table1[[#This Row],[temp]]&gt;=0.24,"cold","colder")</f>
        <v>cold</v>
      </c>
      <c r="R820" s="2">
        <v>47</v>
      </c>
      <c r="S820" s="16" t="str" cm="1">
        <f t="array" ref="S820">_xlfn.IFS(Table1[[#This Row],[weathersit]]=1,"clear sky",Table1[[#This Row],[weathersit]]=2,"mist",Table1[[#This Row],[weathersit]]=3,"partially dark",Table1[[#This Row],[weathersit]]=4,"rain")</f>
        <v>clear sky</v>
      </c>
    </row>
    <row r="821" spans="1:19" ht="13.8" x14ac:dyDescent="0.3">
      <c r="A821" s="2">
        <v>820</v>
      </c>
      <c r="B821" s="3">
        <v>40580</v>
      </c>
      <c r="C821" s="2">
        <v>1</v>
      </c>
      <c r="D821" s="2">
        <v>0</v>
      </c>
      <c r="E821" s="2">
        <v>2</v>
      </c>
      <c r="F821" s="2">
        <v>14</v>
      </c>
      <c r="G821" s="2" t="b">
        <v>0</v>
      </c>
      <c r="H821" s="2">
        <v>0</v>
      </c>
      <c r="I821" s="2">
        <v>1</v>
      </c>
      <c r="J821" s="2">
        <v>0.34</v>
      </c>
      <c r="K821" s="2">
        <v>0.34849999999999998</v>
      </c>
      <c r="L821" s="2">
        <v>0.46</v>
      </c>
      <c r="M821" s="2">
        <v>8.9599999999999999E-2</v>
      </c>
      <c r="N821" s="2">
        <v>114</v>
      </c>
      <c r="O821" s="2">
        <v>161</v>
      </c>
      <c r="P821" s="2" t="str">
        <f t="shared" si="12"/>
        <v>Sunday</v>
      </c>
      <c r="Q821" s="2" t="str">
        <f>IF(Table1[[#This Row],[temp]]&gt;=0.24,"cold","colder")</f>
        <v>cold</v>
      </c>
      <c r="R821" s="2">
        <v>47</v>
      </c>
      <c r="S821" s="16" t="str" cm="1">
        <f t="array" ref="S821">_xlfn.IFS(Table1[[#This Row],[weathersit]]=1,"clear sky",Table1[[#This Row],[weathersit]]=2,"mist",Table1[[#This Row],[weathersit]]=3,"partially dark",Table1[[#This Row],[weathersit]]=4,"rain")</f>
        <v>clear sky</v>
      </c>
    </row>
    <row r="822" spans="1:19" ht="13.8" x14ac:dyDescent="0.3">
      <c r="A822" s="2">
        <v>821</v>
      </c>
      <c r="B822" s="3">
        <v>40580</v>
      </c>
      <c r="C822" s="2">
        <v>1</v>
      </c>
      <c r="D822" s="2">
        <v>0</v>
      </c>
      <c r="E822" s="2">
        <v>2</v>
      </c>
      <c r="F822" s="2">
        <v>15</v>
      </c>
      <c r="G822" s="2" t="b">
        <v>0</v>
      </c>
      <c r="H822" s="2">
        <v>0</v>
      </c>
      <c r="I822" s="2">
        <v>1</v>
      </c>
      <c r="J822" s="2">
        <v>0.34</v>
      </c>
      <c r="K822" s="2">
        <v>0.34849999999999998</v>
      </c>
      <c r="L822" s="2">
        <v>0.46</v>
      </c>
      <c r="M822" s="2">
        <v>8.9599999999999999E-2</v>
      </c>
      <c r="N822" s="2">
        <v>130</v>
      </c>
      <c r="O822" s="2">
        <v>182</v>
      </c>
      <c r="P822" s="2" t="str">
        <f t="shared" si="12"/>
        <v>Sunday</v>
      </c>
      <c r="Q822" s="2" t="str">
        <f>IF(Table1[[#This Row],[temp]]&gt;=0.24,"cold","colder")</f>
        <v>cold</v>
      </c>
      <c r="R822" s="2">
        <v>52</v>
      </c>
      <c r="S822" s="16" t="str" cm="1">
        <f t="array" ref="S822">_xlfn.IFS(Table1[[#This Row],[weathersit]]=1,"clear sky",Table1[[#This Row],[weathersit]]=2,"mist",Table1[[#This Row],[weathersit]]=3,"partially dark",Table1[[#This Row],[weathersit]]=4,"rain")</f>
        <v>clear sky</v>
      </c>
    </row>
    <row r="823" spans="1:19" ht="13.8" x14ac:dyDescent="0.3">
      <c r="A823" s="2">
        <v>822</v>
      </c>
      <c r="B823" s="3">
        <v>40580</v>
      </c>
      <c r="C823" s="2">
        <v>1</v>
      </c>
      <c r="D823" s="2">
        <v>0</v>
      </c>
      <c r="E823" s="2">
        <v>2</v>
      </c>
      <c r="F823" s="2">
        <v>16</v>
      </c>
      <c r="G823" s="2" t="b">
        <v>0</v>
      </c>
      <c r="H823" s="2">
        <v>0</v>
      </c>
      <c r="I823" s="2">
        <v>1</v>
      </c>
      <c r="J823" s="2">
        <v>0.34</v>
      </c>
      <c r="K823" s="2">
        <v>0.34849999999999998</v>
      </c>
      <c r="L823" s="2">
        <v>0.49</v>
      </c>
      <c r="M823" s="2">
        <v>0.1045</v>
      </c>
      <c r="N823" s="2">
        <v>115</v>
      </c>
      <c r="O823" s="2">
        <v>157</v>
      </c>
      <c r="P823" s="2" t="str">
        <f t="shared" si="12"/>
        <v>Sunday</v>
      </c>
      <c r="Q823" s="2" t="str">
        <f>IF(Table1[[#This Row],[temp]]&gt;=0.24,"cold","colder")</f>
        <v>cold</v>
      </c>
      <c r="R823" s="2">
        <v>42</v>
      </c>
      <c r="S823" s="16" t="str" cm="1">
        <f t="array" ref="S823">_xlfn.IFS(Table1[[#This Row],[weathersit]]=1,"clear sky",Table1[[#This Row],[weathersit]]=2,"mist",Table1[[#This Row],[weathersit]]=3,"partially dark",Table1[[#This Row],[weathersit]]=4,"rain")</f>
        <v>clear sky</v>
      </c>
    </row>
    <row r="824" spans="1:19" ht="13.8" x14ac:dyDescent="0.3">
      <c r="A824" s="2">
        <v>823</v>
      </c>
      <c r="B824" s="3">
        <v>40580</v>
      </c>
      <c r="C824" s="2">
        <v>1</v>
      </c>
      <c r="D824" s="2">
        <v>0</v>
      </c>
      <c r="E824" s="2">
        <v>2</v>
      </c>
      <c r="F824" s="2">
        <v>17</v>
      </c>
      <c r="G824" s="2" t="b">
        <v>0</v>
      </c>
      <c r="H824" s="2">
        <v>0</v>
      </c>
      <c r="I824" s="2">
        <v>1</v>
      </c>
      <c r="J824" s="2">
        <v>0.34</v>
      </c>
      <c r="K824" s="2">
        <v>0.36359999999999998</v>
      </c>
      <c r="L824" s="2">
        <v>0.46</v>
      </c>
      <c r="M824" s="2">
        <v>0</v>
      </c>
      <c r="N824" s="2">
        <v>97</v>
      </c>
      <c r="O824" s="2">
        <v>121</v>
      </c>
      <c r="P824" s="2" t="str">
        <f t="shared" si="12"/>
        <v>Sunday</v>
      </c>
      <c r="Q824" s="2" t="str">
        <f>IF(Table1[[#This Row],[temp]]&gt;=0.24,"cold","colder")</f>
        <v>cold</v>
      </c>
      <c r="R824" s="2">
        <v>24</v>
      </c>
      <c r="S824" s="16" t="str" cm="1">
        <f t="array" ref="S824">_xlfn.IFS(Table1[[#This Row],[weathersit]]=1,"clear sky",Table1[[#This Row],[weathersit]]=2,"mist",Table1[[#This Row],[weathersit]]=3,"partially dark",Table1[[#This Row],[weathersit]]=4,"rain")</f>
        <v>clear sky</v>
      </c>
    </row>
    <row r="825" spans="1:19" ht="13.8" x14ac:dyDescent="0.3">
      <c r="A825" s="2">
        <v>824</v>
      </c>
      <c r="B825" s="3">
        <v>40580</v>
      </c>
      <c r="C825" s="2">
        <v>1</v>
      </c>
      <c r="D825" s="2">
        <v>0</v>
      </c>
      <c r="E825" s="2">
        <v>2</v>
      </c>
      <c r="F825" s="2">
        <v>18</v>
      </c>
      <c r="G825" s="2" t="b">
        <v>0</v>
      </c>
      <c r="H825" s="2">
        <v>0</v>
      </c>
      <c r="I825" s="2">
        <v>1</v>
      </c>
      <c r="J825" s="2">
        <v>0.3</v>
      </c>
      <c r="K825" s="2">
        <v>0.30299999999999999</v>
      </c>
      <c r="L825" s="2">
        <v>0.56000000000000005</v>
      </c>
      <c r="M825" s="2">
        <v>0.16420000000000001</v>
      </c>
      <c r="N825" s="2">
        <v>65</v>
      </c>
      <c r="O825" s="2">
        <v>78</v>
      </c>
      <c r="P825" s="2" t="str">
        <f t="shared" si="12"/>
        <v>Sunday</v>
      </c>
      <c r="Q825" s="2" t="str">
        <f>IF(Table1[[#This Row],[temp]]&gt;=0.24,"cold","colder")</f>
        <v>cold</v>
      </c>
      <c r="R825" s="2">
        <v>13</v>
      </c>
      <c r="S825" s="16" t="str" cm="1">
        <f t="array" ref="S825">_xlfn.IFS(Table1[[#This Row],[weathersit]]=1,"clear sky",Table1[[#This Row],[weathersit]]=2,"mist",Table1[[#This Row],[weathersit]]=3,"partially dark",Table1[[#This Row],[weathersit]]=4,"rain")</f>
        <v>clear sky</v>
      </c>
    </row>
    <row r="826" spans="1:19" ht="13.8" x14ac:dyDescent="0.3">
      <c r="A826" s="2">
        <v>825</v>
      </c>
      <c r="B826" s="3">
        <v>40580</v>
      </c>
      <c r="C826" s="2">
        <v>1</v>
      </c>
      <c r="D826" s="2">
        <v>0</v>
      </c>
      <c r="E826" s="2">
        <v>2</v>
      </c>
      <c r="F826" s="2">
        <v>19</v>
      </c>
      <c r="G826" s="2" t="b">
        <v>0</v>
      </c>
      <c r="H826" s="2">
        <v>0</v>
      </c>
      <c r="I826" s="2">
        <v>1</v>
      </c>
      <c r="J826" s="2">
        <v>0.28000000000000003</v>
      </c>
      <c r="K826" s="2">
        <v>0.28789999999999999</v>
      </c>
      <c r="L826" s="2">
        <v>0.61</v>
      </c>
      <c r="M826" s="2">
        <v>0.1343</v>
      </c>
      <c r="N826" s="2">
        <v>20</v>
      </c>
      <c r="O826" s="2">
        <v>21</v>
      </c>
      <c r="P826" s="2" t="str">
        <f t="shared" si="12"/>
        <v>Sunday</v>
      </c>
      <c r="Q826" s="2" t="str">
        <f>IF(Table1[[#This Row],[temp]]&gt;=0.24,"cold","colder")</f>
        <v>cold</v>
      </c>
      <c r="R826" s="2">
        <v>1</v>
      </c>
      <c r="S826" s="16" t="str" cm="1">
        <f t="array" ref="S826">_xlfn.IFS(Table1[[#This Row],[weathersit]]=1,"clear sky",Table1[[#This Row],[weathersit]]=2,"mist",Table1[[#This Row],[weathersit]]=3,"partially dark",Table1[[#This Row],[weathersit]]=4,"rain")</f>
        <v>clear sky</v>
      </c>
    </row>
    <row r="827" spans="1:19" ht="13.8" x14ac:dyDescent="0.3">
      <c r="A827" s="2">
        <v>826</v>
      </c>
      <c r="B827" s="3">
        <v>40580</v>
      </c>
      <c r="C827" s="2">
        <v>1</v>
      </c>
      <c r="D827" s="2">
        <v>0</v>
      </c>
      <c r="E827" s="2">
        <v>2</v>
      </c>
      <c r="F827" s="2">
        <v>20</v>
      </c>
      <c r="G827" s="2" t="b">
        <v>0</v>
      </c>
      <c r="H827" s="2">
        <v>0</v>
      </c>
      <c r="I827" s="2">
        <v>1</v>
      </c>
      <c r="J827" s="2">
        <v>0.28000000000000003</v>
      </c>
      <c r="K827" s="2">
        <v>0.28789999999999999</v>
      </c>
      <c r="L827" s="2">
        <v>0.61</v>
      </c>
      <c r="M827" s="2">
        <v>0.1045</v>
      </c>
      <c r="N827" s="2">
        <v>21</v>
      </c>
      <c r="O827" s="2">
        <v>26</v>
      </c>
      <c r="P827" s="2" t="str">
        <f t="shared" si="12"/>
        <v>Sunday</v>
      </c>
      <c r="Q827" s="2" t="str">
        <f>IF(Table1[[#This Row],[temp]]&gt;=0.24,"cold","colder")</f>
        <v>cold</v>
      </c>
      <c r="R827" s="2">
        <v>5</v>
      </c>
      <c r="S827" s="16" t="str" cm="1">
        <f t="array" ref="S827">_xlfn.IFS(Table1[[#This Row],[weathersit]]=1,"clear sky",Table1[[#This Row],[weathersit]]=2,"mist",Table1[[#This Row],[weathersit]]=3,"partially dark",Table1[[#This Row],[weathersit]]=4,"rain")</f>
        <v>clear sky</v>
      </c>
    </row>
    <row r="828" spans="1:19" ht="13.8" x14ac:dyDescent="0.3">
      <c r="A828" s="2">
        <v>827</v>
      </c>
      <c r="B828" s="3">
        <v>40580</v>
      </c>
      <c r="C828" s="2">
        <v>1</v>
      </c>
      <c r="D828" s="2">
        <v>0</v>
      </c>
      <c r="E828" s="2">
        <v>2</v>
      </c>
      <c r="F828" s="2">
        <v>21</v>
      </c>
      <c r="G828" s="2" t="b">
        <v>0</v>
      </c>
      <c r="H828" s="2">
        <v>0</v>
      </c>
      <c r="I828" s="2">
        <v>1</v>
      </c>
      <c r="J828" s="2">
        <v>0.26</v>
      </c>
      <c r="K828" s="2">
        <v>0.30299999999999999</v>
      </c>
      <c r="L828" s="2">
        <v>0.6</v>
      </c>
      <c r="M828" s="2">
        <v>0</v>
      </c>
      <c r="N828" s="2">
        <v>22</v>
      </c>
      <c r="O828" s="2">
        <v>27</v>
      </c>
      <c r="P828" s="2" t="str">
        <f t="shared" si="12"/>
        <v>Sunday</v>
      </c>
      <c r="Q828" s="2" t="str">
        <f>IF(Table1[[#This Row],[temp]]&gt;=0.24,"cold","colder")</f>
        <v>cold</v>
      </c>
      <c r="R828" s="2">
        <v>5</v>
      </c>
      <c r="S828" s="16" t="str" cm="1">
        <f t="array" ref="S828">_xlfn.IFS(Table1[[#This Row],[weathersit]]=1,"clear sky",Table1[[#This Row],[weathersit]]=2,"mist",Table1[[#This Row],[weathersit]]=3,"partially dark",Table1[[#This Row],[weathersit]]=4,"rain")</f>
        <v>clear sky</v>
      </c>
    </row>
    <row r="829" spans="1:19" ht="13.8" x14ac:dyDescent="0.3">
      <c r="A829" s="2">
        <v>828</v>
      </c>
      <c r="B829" s="3">
        <v>40580</v>
      </c>
      <c r="C829" s="2">
        <v>1</v>
      </c>
      <c r="D829" s="2">
        <v>0</v>
      </c>
      <c r="E829" s="2">
        <v>2</v>
      </c>
      <c r="F829" s="2">
        <v>22</v>
      </c>
      <c r="G829" s="2" t="b">
        <v>0</v>
      </c>
      <c r="H829" s="2">
        <v>0</v>
      </c>
      <c r="I829" s="2">
        <v>1</v>
      </c>
      <c r="J829" s="2">
        <v>0.26</v>
      </c>
      <c r="K829" s="2">
        <v>0.30299999999999999</v>
      </c>
      <c r="L829" s="2">
        <v>0.6</v>
      </c>
      <c r="M829" s="2">
        <v>0</v>
      </c>
      <c r="N829" s="2">
        <v>57</v>
      </c>
      <c r="O829" s="2">
        <v>62</v>
      </c>
      <c r="P829" s="2" t="str">
        <f t="shared" si="12"/>
        <v>Sunday</v>
      </c>
      <c r="Q829" s="2" t="str">
        <f>IF(Table1[[#This Row],[temp]]&gt;=0.24,"cold","colder")</f>
        <v>cold</v>
      </c>
      <c r="R829" s="2">
        <v>5</v>
      </c>
      <c r="S829" s="16" t="str" cm="1">
        <f t="array" ref="S829">_xlfn.IFS(Table1[[#This Row],[weathersit]]=1,"clear sky",Table1[[#This Row],[weathersit]]=2,"mist",Table1[[#This Row],[weathersit]]=3,"partially dark",Table1[[#This Row],[weathersit]]=4,"rain")</f>
        <v>clear sky</v>
      </c>
    </row>
    <row r="830" spans="1:19" ht="13.8" x14ac:dyDescent="0.3">
      <c r="A830" s="2">
        <v>829</v>
      </c>
      <c r="B830" s="3">
        <v>40580</v>
      </c>
      <c r="C830" s="2">
        <v>1</v>
      </c>
      <c r="D830" s="2">
        <v>0</v>
      </c>
      <c r="E830" s="2">
        <v>2</v>
      </c>
      <c r="F830" s="2">
        <v>23</v>
      </c>
      <c r="G830" s="2" t="b">
        <v>0</v>
      </c>
      <c r="H830" s="2">
        <v>0</v>
      </c>
      <c r="I830" s="2">
        <v>1</v>
      </c>
      <c r="J830" s="2">
        <v>0.24</v>
      </c>
      <c r="K830" s="2">
        <v>0.28789999999999999</v>
      </c>
      <c r="L830" s="2">
        <v>0.65</v>
      </c>
      <c r="M830" s="2">
        <v>0</v>
      </c>
      <c r="N830" s="2">
        <v>26</v>
      </c>
      <c r="O830" s="2">
        <v>30</v>
      </c>
      <c r="P830" s="2" t="str">
        <f t="shared" si="12"/>
        <v>Sunday</v>
      </c>
      <c r="Q830" s="2" t="str">
        <f>IF(Table1[[#This Row],[temp]]&gt;=0.24,"cold","colder")</f>
        <v>cold</v>
      </c>
      <c r="R830" s="2">
        <v>4</v>
      </c>
      <c r="S830" s="16" t="str" cm="1">
        <f t="array" ref="S830">_xlfn.IFS(Table1[[#This Row],[weathersit]]=1,"clear sky",Table1[[#This Row],[weathersit]]=2,"mist",Table1[[#This Row],[weathersit]]=3,"partially dark",Table1[[#This Row],[weathersit]]=4,"rain")</f>
        <v>clear sky</v>
      </c>
    </row>
    <row r="831" spans="1:19" ht="13.8" x14ac:dyDescent="0.3">
      <c r="A831" s="2">
        <v>830</v>
      </c>
      <c r="B831" s="3">
        <v>40581</v>
      </c>
      <c r="C831" s="2">
        <v>1</v>
      </c>
      <c r="D831" s="2">
        <v>0</v>
      </c>
      <c r="E831" s="2">
        <v>2</v>
      </c>
      <c r="F831" s="2">
        <v>0</v>
      </c>
      <c r="G831" s="2" t="b">
        <v>0</v>
      </c>
      <c r="H831" s="2">
        <v>1</v>
      </c>
      <c r="I831" s="2">
        <v>1</v>
      </c>
      <c r="J831" s="2">
        <v>0.24</v>
      </c>
      <c r="K831" s="2">
        <v>0.28789999999999999</v>
      </c>
      <c r="L831" s="2">
        <v>0.65</v>
      </c>
      <c r="M831" s="2">
        <v>0</v>
      </c>
      <c r="N831" s="2">
        <v>14</v>
      </c>
      <c r="O831" s="2">
        <v>15</v>
      </c>
      <c r="P831" s="2" t="str">
        <f t="shared" si="12"/>
        <v>Monday</v>
      </c>
      <c r="Q831" s="2" t="str">
        <f>IF(Table1[[#This Row],[temp]]&gt;=0.24,"cold","colder")</f>
        <v>cold</v>
      </c>
      <c r="R831" s="2">
        <v>1</v>
      </c>
      <c r="S831" s="16" t="str" cm="1">
        <f t="array" ref="S831">_xlfn.IFS(Table1[[#This Row],[weathersit]]=1,"clear sky",Table1[[#This Row],[weathersit]]=2,"mist",Table1[[#This Row],[weathersit]]=3,"partially dark",Table1[[#This Row],[weathersit]]=4,"rain")</f>
        <v>clear sky</v>
      </c>
    </row>
    <row r="832" spans="1:19" ht="13.8" x14ac:dyDescent="0.3">
      <c r="A832" s="2">
        <v>831</v>
      </c>
      <c r="B832" s="3">
        <v>40581</v>
      </c>
      <c r="C832" s="2">
        <v>1</v>
      </c>
      <c r="D832" s="2">
        <v>0</v>
      </c>
      <c r="E832" s="2">
        <v>2</v>
      </c>
      <c r="F832" s="2">
        <v>1</v>
      </c>
      <c r="G832" s="2" t="b">
        <v>0</v>
      </c>
      <c r="H832" s="2">
        <v>1</v>
      </c>
      <c r="I832" s="2">
        <v>1</v>
      </c>
      <c r="J832" s="2">
        <v>0.22</v>
      </c>
      <c r="K832" s="2">
        <v>0.2727</v>
      </c>
      <c r="L832" s="2">
        <v>0.75</v>
      </c>
      <c r="M832" s="2">
        <v>0</v>
      </c>
      <c r="N832" s="2">
        <v>4</v>
      </c>
      <c r="O832" s="2">
        <v>5</v>
      </c>
      <c r="P832" s="2" t="str">
        <f t="shared" si="12"/>
        <v>Monday</v>
      </c>
      <c r="Q832" s="2" t="str">
        <f>IF(Table1[[#This Row],[temp]]&gt;=0.24,"cold","colder")</f>
        <v>colder</v>
      </c>
      <c r="R832" s="2">
        <v>1</v>
      </c>
      <c r="S832" s="16" t="str" cm="1">
        <f t="array" ref="S832">_xlfn.IFS(Table1[[#This Row],[weathersit]]=1,"clear sky",Table1[[#This Row],[weathersit]]=2,"mist",Table1[[#This Row],[weathersit]]=3,"partially dark",Table1[[#This Row],[weathersit]]=4,"rain")</f>
        <v>clear sky</v>
      </c>
    </row>
    <row r="833" spans="1:19" ht="13.8" x14ac:dyDescent="0.3">
      <c r="A833" s="2">
        <v>832</v>
      </c>
      <c r="B833" s="3">
        <v>40581</v>
      </c>
      <c r="C833" s="2">
        <v>1</v>
      </c>
      <c r="D833" s="2">
        <v>0</v>
      </c>
      <c r="E833" s="2">
        <v>2</v>
      </c>
      <c r="F833" s="2">
        <v>2</v>
      </c>
      <c r="G833" s="2" t="b">
        <v>0</v>
      </c>
      <c r="H833" s="2">
        <v>1</v>
      </c>
      <c r="I833" s="2">
        <v>1</v>
      </c>
      <c r="J833" s="2">
        <v>0.2</v>
      </c>
      <c r="K833" s="2">
        <v>0.2576</v>
      </c>
      <c r="L833" s="2">
        <v>0.8</v>
      </c>
      <c r="M833" s="2">
        <v>0</v>
      </c>
      <c r="N833" s="2">
        <v>3</v>
      </c>
      <c r="O833" s="2">
        <v>3</v>
      </c>
      <c r="P833" s="2" t="str">
        <f t="shared" si="12"/>
        <v>Monday</v>
      </c>
      <c r="Q833" s="2" t="str">
        <f>IF(Table1[[#This Row],[temp]]&gt;=0.24,"cold","colder")</f>
        <v>colder</v>
      </c>
      <c r="R833" s="2">
        <v>0</v>
      </c>
      <c r="S833" s="16" t="str" cm="1">
        <f t="array" ref="S833">_xlfn.IFS(Table1[[#This Row],[weathersit]]=1,"clear sky",Table1[[#This Row],[weathersit]]=2,"mist",Table1[[#This Row],[weathersit]]=3,"partially dark",Table1[[#This Row],[weathersit]]=4,"rain")</f>
        <v>clear sky</v>
      </c>
    </row>
    <row r="834" spans="1:19" ht="13.8" x14ac:dyDescent="0.3">
      <c r="A834" s="2">
        <v>833</v>
      </c>
      <c r="B834" s="3">
        <v>40581</v>
      </c>
      <c r="C834" s="2">
        <v>1</v>
      </c>
      <c r="D834" s="2">
        <v>0</v>
      </c>
      <c r="E834" s="2">
        <v>2</v>
      </c>
      <c r="F834" s="2">
        <v>3</v>
      </c>
      <c r="G834" s="2" t="b">
        <v>0</v>
      </c>
      <c r="H834" s="2">
        <v>1</v>
      </c>
      <c r="I834" s="2">
        <v>1</v>
      </c>
      <c r="J834" s="2">
        <v>0.2</v>
      </c>
      <c r="K834" s="2">
        <v>0.2576</v>
      </c>
      <c r="L834" s="2">
        <v>0.86</v>
      </c>
      <c r="M834" s="2">
        <v>0</v>
      </c>
      <c r="N834" s="2">
        <v>1</v>
      </c>
      <c r="O834" s="2">
        <v>1</v>
      </c>
      <c r="P834" s="2" t="str">
        <f t="shared" ref="P834:P897" si="13">TEXT(B834,"dddd")</f>
        <v>Monday</v>
      </c>
      <c r="Q834" s="2" t="str">
        <f>IF(Table1[[#This Row],[temp]]&gt;=0.24,"cold","colder")</f>
        <v>colder</v>
      </c>
      <c r="R834" s="2">
        <v>0</v>
      </c>
      <c r="S834" s="16" t="str" cm="1">
        <f t="array" ref="S834">_xlfn.IFS(Table1[[#This Row],[weathersit]]=1,"clear sky",Table1[[#This Row],[weathersit]]=2,"mist",Table1[[#This Row],[weathersit]]=3,"partially dark",Table1[[#This Row],[weathersit]]=4,"rain")</f>
        <v>clear sky</v>
      </c>
    </row>
    <row r="835" spans="1:19" ht="13.8" x14ac:dyDescent="0.3">
      <c r="A835" s="2">
        <v>834</v>
      </c>
      <c r="B835" s="3">
        <v>40581</v>
      </c>
      <c r="C835" s="2">
        <v>1</v>
      </c>
      <c r="D835" s="2">
        <v>0</v>
      </c>
      <c r="E835" s="2">
        <v>2</v>
      </c>
      <c r="F835" s="2">
        <v>4</v>
      </c>
      <c r="G835" s="2" t="b">
        <v>0</v>
      </c>
      <c r="H835" s="2">
        <v>1</v>
      </c>
      <c r="I835" s="2">
        <v>1</v>
      </c>
      <c r="J835" s="2">
        <v>0.2</v>
      </c>
      <c r="K835" s="2">
        <v>0.2576</v>
      </c>
      <c r="L835" s="2">
        <v>0.86</v>
      </c>
      <c r="M835" s="2">
        <v>0</v>
      </c>
      <c r="N835" s="2">
        <v>1</v>
      </c>
      <c r="O835" s="2">
        <v>2</v>
      </c>
      <c r="P835" s="2" t="str">
        <f t="shared" si="13"/>
        <v>Monday</v>
      </c>
      <c r="Q835" s="2" t="str">
        <f>IF(Table1[[#This Row],[temp]]&gt;=0.24,"cold","colder")</f>
        <v>colder</v>
      </c>
      <c r="R835" s="2">
        <v>1</v>
      </c>
      <c r="S835" s="16" t="str" cm="1">
        <f t="array" ref="S835">_xlfn.IFS(Table1[[#This Row],[weathersit]]=1,"clear sky",Table1[[#This Row],[weathersit]]=2,"mist",Table1[[#This Row],[weathersit]]=3,"partially dark",Table1[[#This Row],[weathersit]]=4,"rain")</f>
        <v>clear sky</v>
      </c>
    </row>
    <row r="836" spans="1:19" ht="13.8" x14ac:dyDescent="0.3">
      <c r="A836" s="2">
        <v>835</v>
      </c>
      <c r="B836" s="3">
        <v>40581</v>
      </c>
      <c r="C836" s="2">
        <v>1</v>
      </c>
      <c r="D836" s="2">
        <v>0</v>
      </c>
      <c r="E836" s="2">
        <v>2</v>
      </c>
      <c r="F836" s="2">
        <v>5</v>
      </c>
      <c r="G836" s="2" t="b">
        <v>0</v>
      </c>
      <c r="H836" s="2">
        <v>1</v>
      </c>
      <c r="I836" s="2">
        <v>1</v>
      </c>
      <c r="J836" s="2">
        <v>0.2</v>
      </c>
      <c r="K836" s="2">
        <v>0.2576</v>
      </c>
      <c r="L836" s="2">
        <v>0.86</v>
      </c>
      <c r="M836" s="2">
        <v>0</v>
      </c>
      <c r="N836" s="2">
        <v>9</v>
      </c>
      <c r="O836" s="2">
        <v>10</v>
      </c>
      <c r="P836" s="2" t="str">
        <f t="shared" si="13"/>
        <v>Monday</v>
      </c>
      <c r="Q836" s="2" t="str">
        <f>IF(Table1[[#This Row],[temp]]&gt;=0.24,"cold","colder")</f>
        <v>colder</v>
      </c>
      <c r="R836" s="2">
        <v>1</v>
      </c>
      <c r="S836" s="16" t="str" cm="1">
        <f t="array" ref="S836">_xlfn.IFS(Table1[[#This Row],[weathersit]]=1,"clear sky",Table1[[#This Row],[weathersit]]=2,"mist",Table1[[#This Row],[weathersit]]=3,"partially dark",Table1[[#This Row],[weathersit]]=4,"rain")</f>
        <v>clear sky</v>
      </c>
    </row>
    <row r="837" spans="1:19" ht="13.8" x14ac:dyDescent="0.3">
      <c r="A837" s="2">
        <v>836</v>
      </c>
      <c r="B837" s="3">
        <v>40581</v>
      </c>
      <c r="C837" s="2">
        <v>1</v>
      </c>
      <c r="D837" s="2">
        <v>0</v>
      </c>
      <c r="E837" s="2">
        <v>2</v>
      </c>
      <c r="F837" s="2">
        <v>6</v>
      </c>
      <c r="G837" s="2" t="b">
        <v>0</v>
      </c>
      <c r="H837" s="2">
        <v>1</v>
      </c>
      <c r="I837" s="2">
        <v>1</v>
      </c>
      <c r="J837" s="2">
        <v>0.18</v>
      </c>
      <c r="K837" s="2">
        <v>0.2424</v>
      </c>
      <c r="L837" s="2">
        <v>0.93</v>
      </c>
      <c r="M837" s="2">
        <v>0</v>
      </c>
      <c r="N837" s="2">
        <v>29</v>
      </c>
      <c r="O837" s="2">
        <v>30</v>
      </c>
      <c r="P837" s="2" t="str">
        <f t="shared" si="13"/>
        <v>Monday</v>
      </c>
      <c r="Q837" s="2" t="str">
        <f>IF(Table1[[#This Row],[temp]]&gt;=0.24,"cold","colder")</f>
        <v>colder</v>
      </c>
      <c r="R837" s="2">
        <v>1</v>
      </c>
      <c r="S837" s="16" t="str" cm="1">
        <f t="array" ref="S837">_xlfn.IFS(Table1[[#This Row],[weathersit]]=1,"clear sky",Table1[[#This Row],[weathersit]]=2,"mist",Table1[[#This Row],[weathersit]]=3,"partially dark",Table1[[#This Row],[weathersit]]=4,"rain")</f>
        <v>clear sky</v>
      </c>
    </row>
    <row r="838" spans="1:19" ht="13.8" x14ac:dyDescent="0.3">
      <c r="A838" s="2">
        <v>837</v>
      </c>
      <c r="B838" s="3">
        <v>40581</v>
      </c>
      <c r="C838" s="2">
        <v>1</v>
      </c>
      <c r="D838" s="2">
        <v>0</v>
      </c>
      <c r="E838" s="2">
        <v>2</v>
      </c>
      <c r="F838" s="2">
        <v>7</v>
      </c>
      <c r="G838" s="2" t="b">
        <v>0</v>
      </c>
      <c r="H838" s="2">
        <v>1</v>
      </c>
      <c r="I838" s="2">
        <v>1</v>
      </c>
      <c r="J838" s="2">
        <v>0.18</v>
      </c>
      <c r="K838" s="2">
        <v>0.2424</v>
      </c>
      <c r="L838" s="2">
        <v>0.86</v>
      </c>
      <c r="M838" s="2">
        <v>0</v>
      </c>
      <c r="N838" s="2">
        <v>89</v>
      </c>
      <c r="O838" s="2">
        <v>95</v>
      </c>
      <c r="P838" s="2" t="str">
        <f t="shared" si="13"/>
        <v>Monday</v>
      </c>
      <c r="Q838" s="2" t="str">
        <f>IF(Table1[[#This Row],[temp]]&gt;=0.24,"cold","colder")</f>
        <v>colder</v>
      </c>
      <c r="R838" s="2">
        <v>6</v>
      </c>
      <c r="S838" s="16" t="str" cm="1">
        <f t="array" ref="S838">_xlfn.IFS(Table1[[#This Row],[weathersit]]=1,"clear sky",Table1[[#This Row],[weathersit]]=2,"mist",Table1[[#This Row],[weathersit]]=3,"partially dark",Table1[[#This Row],[weathersit]]=4,"rain")</f>
        <v>clear sky</v>
      </c>
    </row>
    <row r="839" spans="1:19" ht="13.8" x14ac:dyDescent="0.3">
      <c r="A839" s="2">
        <v>838</v>
      </c>
      <c r="B839" s="3">
        <v>40581</v>
      </c>
      <c r="C839" s="2">
        <v>1</v>
      </c>
      <c r="D839" s="2">
        <v>0</v>
      </c>
      <c r="E839" s="2">
        <v>2</v>
      </c>
      <c r="F839" s="2">
        <v>8</v>
      </c>
      <c r="G839" s="2" t="b">
        <v>0</v>
      </c>
      <c r="H839" s="2">
        <v>1</v>
      </c>
      <c r="I839" s="2">
        <v>2</v>
      </c>
      <c r="J839" s="2">
        <v>0.16</v>
      </c>
      <c r="K839" s="2">
        <v>0.2273</v>
      </c>
      <c r="L839" s="2">
        <v>1</v>
      </c>
      <c r="M839" s="2">
        <v>0</v>
      </c>
      <c r="N839" s="2">
        <v>223</v>
      </c>
      <c r="O839" s="2">
        <v>230</v>
      </c>
      <c r="P839" s="2" t="str">
        <f t="shared" si="13"/>
        <v>Monday</v>
      </c>
      <c r="Q839" s="2" t="str">
        <f>IF(Table1[[#This Row],[temp]]&gt;=0.24,"cold","colder")</f>
        <v>colder</v>
      </c>
      <c r="R839" s="2">
        <v>7</v>
      </c>
      <c r="S839" s="16" t="str" cm="1">
        <f t="array" ref="S839">_xlfn.IFS(Table1[[#This Row],[weathersit]]=1,"clear sky",Table1[[#This Row],[weathersit]]=2,"mist",Table1[[#This Row],[weathersit]]=3,"partially dark",Table1[[#This Row],[weathersit]]=4,"rain")</f>
        <v>mist</v>
      </c>
    </row>
    <row r="840" spans="1:19" ht="13.8" x14ac:dyDescent="0.3">
      <c r="A840" s="2">
        <v>839</v>
      </c>
      <c r="B840" s="3">
        <v>40581</v>
      </c>
      <c r="C840" s="2">
        <v>1</v>
      </c>
      <c r="D840" s="2">
        <v>0</v>
      </c>
      <c r="E840" s="2">
        <v>2</v>
      </c>
      <c r="F840" s="2">
        <v>9</v>
      </c>
      <c r="G840" s="2" t="b">
        <v>0</v>
      </c>
      <c r="H840" s="2">
        <v>1</v>
      </c>
      <c r="I840" s="2">
        <v>1</v>
      </c>
      <c r="J840" s="2">
        <v>0.22</v>
      </c>
      <c r="K840" s="2">
        <v>0.2727</v>
      </c>
      <c r="L840" s="2">
        <v>0.8</v>
      </c>
      <c r="M840" s="2">
        <v>0</v>
      </c>
      <c r="N840" s="2">
        <v>115</v>
      </c>
      <c r="O840" s="2">
        <v>118</v>
      </c>
      <c r="P840" s="2" t="str">
        <f t="shared" si="13"/>
        <v>Monday</v>
      </c>
      <c r="Q840" s="2" t="str">
        <f>IF(Table1[[#This Row],[temp]]&gt;=0.24,"cold","colder")</f>
        <v>colder</v>
      </c>
      <c r="R840" s="2">
        <v>3</v>
      </c>
      <c r="S840" s="16" t="str" cm="1">
        <f t="array" ref="S840">_xlfn.IFS(Table1[[#This Row],[weathersit]]=1,"clear sky",Table1[[#This Row],[weathersit]]=2,"mist",Table1[[#This Row],[weathersit]]=3,"partially dark",Table1[[#This Row],[weathersit]]=4,"rain")</f>
        <v>clear sky</v>
      </c>
    </row>
    <row r="841" spans="1:19" ht="13.8" x14ac:dyDescent="0.3">
      <c r="A841" s="2">
        <v>840</v>
      </c>
      <c r="B841" s="3">
        <v>40581</v>
      </c>
      <c r="C841" s="2">
        <v>1</v>
      </c>
      <c r="D841" s="2">
        <v>0</v>
      </c>
      <c r="E841" s="2">
        <v>2</v>
      </c>
      <c r="F841" s="2">
        <v>10</v>
      </c>
      <c r="G841" s="2" t="b">
        <v>0</v>
      </c>
      <c r="H841" s="2">
        <v>1</v>
      </c>
      <c r="I841" s="2">
        <v>1</v>
      </c>
      <c r="J841" s="2">
        <v>0.24</v>
      </c>
      <c r="K841" s="2">
        <v>0.2576</v>
      </c>
      <c r="L841" s="2">
        <v>0.75</v>
      </c>
      <c r="M841" s="2">
        <v>0.1045</v>
      </c>
      <c r="N841" s="2">
        <v>49</v>
      </c>
      <c r="O841" s="2">
        <v>55</v>
      </c>
      <c r="P841" s="2" t="str">
        <f t="shared" si="13"/>
        <v>Monday</v>
      </c>
      <c r="Q841" s="2" t="str">
        <f>IF(Table1[[#This Row],[temp]]&gt;=0.24,"cold","colder")</f>
        <v>cold</v>
      </c>
      <c r="R841" s="2">
        <v>6</v>
      </c>
      <c r="S841" s="16" t="str" cm="1">
        <f t="array" ref="S841">_xlfn.IFS(Table1[[#This Row],[weathersit]]=1,"clear sky",Table1[[#This Row],[weathersit]]=2,"mist",Table1[[#This Row],[weathersit]]=3,"partially dark",Table1[[#This Row],[weathersit]]=4,"rain")</f>
        <v>clear sky</v>
      </c>
    </row>
    <row r="842" spans="1:19" ht="13.8" x14ac:dyDescent="0.3">
      <c r="A842" s="2">
        <v>841</v>
      </c>
      <c r="B842" s="3">
        <v>40581</v>
      </c>
      <c r="C842" s="2">
        <v>1</v>
      </c>
      <c r="D842" s="2">
        <v>0</v>
      </c>
      <c r="E842" s="2">
        <v>2</v>
      </c>
      <c r="F842" s="2">
        <v>11</v>
      </c>
      <c r="G842" s="2" t="b">
        <v>0</v>
      </c>
      <c r="H842" s="2">
        <v>1</v>
      </c>
      <c r="I842" s="2">
        <v>1</v>
      </c>
      <c r="J842" s="2">
        <v>0.3</v>
      </c>
      <c r="K842" s="2">
        <v>0.31819999999999998</v>
      </c>
      <c r="L842" s="2">
        <v>0.65</v>
      </c>
      <c r="M842" s="2">
        <v>8.9599999999999999E-2</v>
      </c>
      <c r="N842" s="2">
        <v>36</v>
      </c>
      <c r="O842" s="2">
        <v>47</v>
      </c>
      <c r="P842" s="2" t="str">
        <f t="shared" si="13"/>
        <v>Monday</v>
      </c>
      <c r="Q842" s="2" t="str">
        <f>IF(Table1[[#This Row],[temp]]&gt;=0.24,"cold","colder")</f>
        <v>cold</v>
      </c>
      <c r="R842" s="2">
        <v>11</v>
      </c>
      <c r="S842" s="16" t="str" cm="1">
        <f t="array" ref="S842">_xlfn.IFS(Table1[[#This Row],[weathersit]]=1,"clear sky",Table1[[#This Row],[weathersit]]=2,"mist",Table1[[#This Row],[weathersit]]=3,"partially dark",Table1[[#This Row],[weathersit]]=4,"rain")</f>
        <v>clear sky</v>
      </c>
    </row>
    <row r="843" spans="1:19" ht="13.8" x14ac:dyDescent="0.3">
      <c r="A843" s="2">
        <v>842</v>
      </c>
      <c r="B843" s="3">
        <v>40581</v>
      </c>
      <c r="C843" s="2">
        <v>1</v>
      </c>
      <c r="D843" s="2">
        <v>0</v>
      </c>
      <c r="E843" s="2">
        <v>2</v>
      </c>
      <c r="F843" s="2">
        <v>12</v>
      </c>
      <c r="G843" s="2" t="b">
        <v>0</v>
      </c>
      <c r="H843" s="2">
        <v>1</v>
      </c>
      <c r="I843" s="2">
        <v>2</v>
      </c>
      <c r="J843" s="2">
        <v>0.32</v>
      </c>
      <c r="K843" s="2">
        <v>0.34849999999999998</v>
      </c>
      <c r="L843" s="2">
        <v>0.62</v>
      </c>
      <c r="M843" s="2">
        <v>0</v>
      </c>
      <c r="N843" s="2">
        <v>59</v>
      </c>
      <c r="O843" s="2">
        <v>66</v>
      </c>
      <c r="P843" s="2" t="str">
        <f t="shared" si="13"/>
        <v>Monday</v>
      </c>
      <c r="Q843" s="2" t="str">
        <f>IF(Table1[[#This Row],[temp]]&gt;=0.24,"cold","colder")</f>
        <v>cold</v>
      </c>
      <c r="R843" s="2">
        <v>7</v>
      </c>
      <c r="S843" s="16" t="str" cm="1">
        <f t="array" ref="S843">_xlfn.IFS(Table1[[#This Row],[weathersit]]=1,"clear sky",Table1[[#This Row],[weathersit]]=2,"mist",Table1[[#This Row],[weathersit]]=3,"partially dark",Table1[[#This Row],[weathersit]]=4,"rain")</f>
        <v>mist</v>
      </c>
    </row>
    <row r="844" spans="1:19" ht="13.8" x14ac:dyDescent="0.3">
      <c r="A844" s="2">
        <v>843</v>
      </c>
      <c r="B844" s="3">
        <v>40581</v>
      </c>
      <c r="C844" s="2">
        <v>1</v>
      </c>
      <c r="D844" s="2">
        <v>0</v>
      </c>
      <c r="E844" s="2">
        <v>2</v>
      </c>
      <c r="F844" s="2">
        <v>13</v>
      </c>
      <c r="G844" s="2" t="b">
        <v>0</v>
      </c>
      <c r="H844" s="2">
        <v>1</v>
      </c>
      <c r="I844" s="2">
        <v>2</v>
      </c>
      <c r="J844" s="2">
        <v>0.36</v>
      </c>
      <c r="K844" s="2">
        <v>0.36359999999999998</v>
      </c>
      <c r="L844" s="2">
        <v>0.56999999999999995</v>
      </c>
      <c r="M844" s="2">
        <v>8.9599999999999999E-2</v>
      </c>
      <c r="N844" s="2">
        <v>54</v>
      </c>
      <c r="O844" s="2">
        <v>64</v>
      </c>
      <c r="P844" s="2" t="str">
        <f t="shared" si="13"/>
        <v>Monday</v>
      </c>
      <c r="Q844" s="2" t="str">
        <f>IF(Table1[[#This Row],[temp]]&gt;=0.24,"cold","colder")</f>
        <v>cold</v>
      </c>
      <c r="R844" s="2">
        <v>10</v>
      </c>
      <c r="S844" s="16" t="str" cm="1">
        <f t="array" ref="S844">_xlfn.IFS(Table1[[#This Row],[weathersit]]=1,"clear sky",Table1[[#This Row],[weathersit]]=2,"mist",Table1[[#This Row],[weathersit]]=3,"partially dark",Table1[[#This Row],[weathersit]]=4,"rain")</f>
        <v>mist</v>
      </c>
    </row>
    <row r="845" spans="1:19" ht="13.8" x14ac:dyDescent="0.3">
      <c r="A845" s="2">
        <v>844</v>
      </c>
      <c r="B845" s="3">
        <v>40581</v>
      </c>
      <c r="C845" s="2">
        <v>1</v>
      </c>
      <c r="D845" s="2">
        <v>0</v>
      </c>
      <c r="E845" s="2">
        <v>2</v>
      </c>
      <c r="F845" s="2">
        <v>14</v>
      </c>
      <c r="G845" s="2" t="b">
        <v>0</v>
      </c>
      <c r="H845" s="2">
        <v>1</v>
      </c>
      <c r="I845" s="2">
        <v>2</v>
      </c>
      <c r="J845" s="2">
        <v>0.36</v>
      </c>
      <c r="K845" s="2">
        <v>0.36359999999999998</v>
      </c>
      <c r="L845" s="2">
        <v>0.56999999999999995</v>
      </c>
      <c r="M845" s="2">
        <v>8.9599999999999999E-2</v>
      </c>
      <c r="N845" s="2">
        <v>52</v>
      </c>
      <c r="O845" s="2">
        <v>60</v>
      </c>
      <c r="P845" s="2" t="str">
        <f t="shared" si="13"/>
        <v>Monday</v>
      </c>
      <c r="Q845" s="2" t="str">
        <f>IF(Table1[[#This Row],[temp]]&gt;=0.24,"cold","colder")</f>
        <v>cold</v>
      </c>
      <c r="R845" s="2">
        <v>8</v>
      </c>
      <c r="S845" s="16" t="str" cm="1">
        <f t="array" ref="S845">_xlfn.IFS(Table1[[#This Row],[weathersit]]=1,"clear sky",Table1[[#This Row],[weathersit]]=2,"mist",Table1[[#This Row],[weathersit]]=3,"partially dark",Table1[[#This Row],[weathersit]]=4,"rain")</f>
        <v>mist</v>
      </c>
    </row>
    <row r="846" spans="1:19" ht="13.8" x14ac:dyDescent="0.3">
      <c r="A846" s="2">
        <v>845</v>
      </c>
      <c r="B846" s="3">
        <v>40581</v>
      </c>
      <c r="C846" s="2">
        <v>1</v>
      </c>
      <c r="D846" s="2">
        <v>0</v>
      </c>
      <c r="E846" s="2">
        <v>2</v>
      </c>
      <c r="F846" s="2">
        <v>15</v>
      </c>
      <c r="G846" s="2" t="b">
        <v>0</v>
      </c>
      <c r="H846" s="2">
        <v>1</v>
      </c>
      <c r="I846" s="2">
        <v>2</v>
      </c>
      <c r="J846" s="2">
        <v>0.38</v>
      </c>
      <c r="K846" s="2">
        <v>0.39389999999999997</v>
      </c>
      <c r="L846" s="2">
        <v>0.54</v>
      </c>
      <c r="M846" s="2">
        <v>8.9599999999999999E-2</v>
      </c>
      <c r="N846" s="2">
        <v>46</v>
      </c>
      <c r="O846" s="2">
        <v>50</v>
      </c>
      <c r="P846" s="2" t="str">
        <f t="shared" si="13"/>
        <v>Monday</v>
      </c>
      <c r="Q846" s="2" t="str">
        <f>IF(Table1[[#This Row],[temp]]&gt;=0.24,"cold","colder")</f>
        <v>cold</v>
      </c>
      <c r="R846" s="2">
        <v>4</v>
      </c>
      <c r="S846" s="16" t="str" cm="1">
        <f t="array" ref="S846">_xlfn.IFS(Table1[[#This Row],[weathersit]]=1,"clear sky",Table1[[#This Row],[weathersit]]=2,"mist",Table1[[#This Row],[weathersit]]=3,"partially dark",Table1[[#This Row],[weathersit]]=4,"rain")</f>
        <v>mist</v>
      </c>
    </row>
    <row r="847" spans="1:19" ht="13.8" x14ac:dyDescent="0.3">
      <c r="A847" s="2">
        <v>846</v>
      </c>
      <c r="B847" s="3">
        <v>40581</v>
      </c>
      <c r="C847" s="2">
        <v>1</v>
      </c>
      <c r="D847" s="2">
        <v>0</v>
      </c>
      <c r="E847" s="2">
        <v>2</v>
      </c>
      <c r="F847" s="2">
        <v>16</v>
      </c>
      <c r="G847" s="2" t="b">
        <v>0</v>
      </c>
      <c r="H847" s="2">
        <v>1</v>
      </c>
      <c r="I847" s="2">
        <v>2</v>
      </c>
      <c r="J847" s="2">
        <v>0.36</v>
      </c>
      <c r="K847" s="2">
        <v>0.34849999999999998</v>
      </c>
      <c r="L847" s="2">
        <v>0.56999999999999995</v>
      </c>
      <c r="M847" s="2">
        <v>0.1343</v>
      </c>
      <c r="N847" s="2">
        <v>98</v>
      </c>
      <c r="O847" s="2">
        <v>114</v>
      </c>
      <c r="P847" s="2" t="str">
        <f t="shared" si="13"/>
        <v>Monday</v>
      </c>
      <c r="Q847" s="2" t="str">
        <f>IF(Table1[[#This Row],[temp]]&gt;=0.24,"cold","colder")</f>
        <v>cold</v>
      </c>
      <c r="R847" s="2">
        <v>16</v>
      </c>
      <c r="S847" s="16" t="str" cm="1">
        <f t="array" ref="S847">_xlfn.IFS(Table1[[#This Row],[weathersit]]=1,"clear sky",Table1[[#This Row],[weathersit]]=2,"mist",Table1[[#This Row],[weathersit]]=3,"partially dark",Table1[[#This Row],[weathersit]]=4,"rain")</f>
        <v>mist</v>
      </c>
    </row>
    <row r="848" spans="1:19" ht="13.8" x14ac:dyDescent="0.3">
      <c r="A848" s="2">
        <v>847</v>
      </c>
      <c r="B848" s="3">
        <v>40581</v>
      </c>
      <c r="C848" s="2">
        <v>1</v>
      </c>
      <c r="D848" s="2">
        <v>0</v>
      </c>
      <c r="E848" s="2">
        <v>2</v>
      </c>
      <c r="F848" s="2">
        <v>17</v>
      </c>
      <c r="G848" s="2" t="b">
        <v>0</v>
      </c>
      <c r="H848" s="2">
        <v>1</v>
      </c>
      <c r="I848" s="2">
        <v>2</v>
      </c>
      <c r="J848" s="2">
        <v>0.32</v>
      </c>
      <c r="K848" s="2">
        <v>0.31819999999999998</v>
      </c>
      <c r="L848" s="2">
        <v>0.7</v>
      </c>
      <c r="M848" s="2">
        <v>0.16420000000000001</v>
      </c>
      <c r="N848" s="2">
        <v>207</v>
      </c>
      <c r="O848" s="2">
        <v>216</v>
      </c>
      <c r="P848" s="2" t="str">
        <f t="shared" si="13"/>
        <v>Monday</v>
      </c>
      <c r="Q848" s="2" t="str">
        <f>IF(Table1[[#This Row],[temp]]&gt;=0.24,"cold","colder")</f>
        <v>cold</v>
      </c>
      <c r="R848" s="2">
        <v>9</v>
      </c>
      <c r="S848" s="16" t="str" cm="1">
        <f t="array" ref="S848">_xlfn.IFS(Table1[[#This Row],[weathersit]]=1,"clear sky",Table1[[#This Row],[weathersit]]=2,"mist",Table1[[#This Row],[weathersit]]=3,"partially dark",Table1[[#This Row],[weathersit]]=4,"rain")</f>
        <v>mist</v>
      </c>
    </row>
    <row r="849" spans="1:19" ht="13.8" x14ac:dyDescent="0.3">
      <c r="A849" s="2">
        <v>848</v>
      </c>
      <c r="B849" s="3">
        <v>40581</v>
      </c>
      <c r="C849" s="2">
        <v>1</v>
      </c>
      <c r="D849" s="2">
        <v>0</v>
      </c>
      <c r="E849" s="2">
        <v>2</v>
      </c>
      <c r="F849" s="2">
        <v>18</v>
      </c>
      <c r="G849" s="2" t="b">
        <v>0</v>
      </c>
      <c r="H849" s="2">
        <v>1</v>
      </c>
      <c r="I849" s="2">
        <v>2</v>
      </c>
      <c r="J849" s="2">
        <v>0.34</v>
      </c>
      <c r="K849" s="2">
        <v>0.33329999999999999</v>
      </c>
      <c r="L849" s="2">
        <v>0.66</v>
      </c>
      <c r="M849" s="2">
        <v>0.1343</v>
      </c>
      <c r="N849" s="2">
        <v>170</v>
      </c>
      <c r="O849" s="2">
        <v>175</v>
      </c>
      <c r="P849" s="2" t="str">
        <f t="shared" si="13"/>
        <v>Monday</v>
      </c>
      <c r="Q849" s="2" t="str">
        <f>IF(Table1[[#This Row],[temp]]&gt;=0.24,"cold","colder")</f>
        <v>cold</v>
      </c>
      <c r="R849" s="2">
        <v>5</v>
      </c>
      <c r="S849" s="16" t="str" cm="1">
        <f t="array" ref="S849">_xlfn.IFS(Table1[[#This Row],[weathersit]]=1,"clear sky",Table1[[#This Row],[weathersit]]=2,"mist",Table1[[#This Row],[weathersit]]=3,"partially dark",Table1[[#This Row],[weathersit]]=4,"rain")</f>
        <v>mist</v>
      </c>
    </row>
    <row r="850" spans="1:19" ht="13.8" x14ac:dyDescent="0.3">
      <c r="A850" s="2">
        <v>849</v>
      </c>
      <c r="B850" s="3">
        <v>40581</v>
      </c>
      <c r="C850" s="2">
        <v>1</v>
      </c>
      <c r="D850" s="2">
        <v>0</v>
      </c>
      <c r="E850" s="2">
        <v>2</v>
      </c>
      <c r="F850" s="2">
        <v>19</v>
      </c>
      <c r="G850" s="2" t="b">
        <v>0</v>
      </c>
      <c r="H850" s="2">
        <v>1</v>
      </c>
      <c r="I850" s="2">
        <v>2</v>
      </c>
      <c r="J850" s="2">
        <v>0.32</v>
      </c>
      <c r="K850" s="2">
        <v>0.34849999999999998</v>
      </c>
      <c r="L850" s="2">
        <v>0.7</v>
      </c>
      <c r="M850" s="2">
        <v>0</v>
      </c>
      <c r="N850" s="2">
        <v>123</v>
      </c>
      <c r="O850" s="2">
        <v>128</v>
      </c>
      <c r="P850" s="2" t="str">
        <f t="shared" si="13"/>
        <v>Monday</v>
      </c>
      <c r="Q850" s="2" t="str">
        <f>IF(Table1[[#This Row],[temp]]&gt;=0.24,"cold","colder")</f>
        <v>cold</v>
      </c>
      <c r="R850" s="2">
        <v>5</v>
      </c>
      <c r="S850" s="16" t="str" cm="1">
        <f t="array" ref="S850">_xlfn.IFS(Table1[[#This Row],[weathersit]]=1,"clear sky",Table1[[#This Row],[weathersit]]=2,"mist",Table1[[#This Row],[weathersit]]=3,"partially dark",Table1[[#This Row],[weathersit]]=4,"rain")</f>
        <v>mist</v>
      </c>
    </row>
    <row r="851" spans="1:19" ht="13.8" x14ac:dyDescent="0.3">
      <c r="A851" s="2">
        <v>850</v>
      </c>
      <c r="B851" s="3">
        <v>40581</v>
      </c>
      <c r="C851" s="2">
        <v>1</v>
      </c>
      <c r="D851" s="2">
        <v>0</v>
      </c>
      <c r="E851" s="2">
        <v>2</v>
      </c>
      <c r="F851" s="2">
        <v>20</v>
      </c>
      <c r="G851" s="2" t="b">
        <v>0</v>
      </c>
      <c r="H851" s="2">
        <v>1</v>
      </c>
      <c r="I851" s="2">
        <v>2</v>
      </c>
      <c r="J851" s="2">
        <v>0.32</v>
      </c>
      <c r="K851" s="2">
        <v>0.33329999999999999</v>
      </c>
      <c r="L851" s="2">
        <v>0.7</v>
      </c>
      <c r="M851" s="2">
        <v>0.1045</v>
      </c>
      <c r="N851" s="2">
        <v>82</v>
      </c>
      <c r="O851" s="2">
        <v>88</v>
      </c>
      <c r="P851" s="2" t="str">
        <f t="shared" si="13"/>
        <v>Monday</v>
      </c>
      <c r="Q851" s="2" t="str">
        <f>IF(Table1[[#This Row],[temp]]&gt;=0.24,"cold","colder")</f>
        <v>cold</v>
      </c>
      <c r="R851" s="2">
        <v>6</v>
      </c>
      <c r="S851" s="16" t="str" cm="1">
        <f t="array" ref="S851">_xlfn.IFS(Table1[[#This Row],[weathersit]]=1,"clear sky",Table1[[#This Row],[weathersit]]=2,"mist",Table1[[#This Row],[weathersit]]=3,"partially dark",Table1[[#This Row],[weathersit]]=4,"rain")</f>
        <v>mist</v>
      </c>
    </row>
    <row r="852" spans="1:19" ht="13.8" x14ac:dyDescent="0.3">
      <c r="A852" s="2">
        <v>851</v>
      </c>
      <c r="B852" s="3">
        <v>40581</v>
      </c>
      <c r="C852" s="2">
        <v>1</v>
      </c>
      <c r="D852" s="2">
        <v>0</v>
      </c>
      <c r="E852" s="2">
        <v>2</v>
      </c>
      <c r="F852" s="2">
        <v>21</v>
      </c>
      <c r="G852" s="2" t="b">
        <v>0</v>
      </c>
      <c r="H852" s="2">
        <v>1</v>
      </c>
      <c r="I852" s="2">
        <v>1</v>
      </c>
      <c r="J852" s="2">
        <v>0.32</v>
      </c>
      <c r="K852" s="2">
        <v>0.34849999999999998</v>
      </c>
      <c r="L852" s="2">
        <v>0.7</v>
      </c>
      <c r="M852" s="2">
        <v>0</v>
      </c>
      <c r="N852" s="2">
        <v>75</v>
      </c>
      <c r="O852" s="2">
        <v>78</v>
      </c>
      <c r="P852" s="2" t="str">
        <f t="shared" si="13"/>
        <v>Monday</v>
      </c>
      <c r="Q852" s="2" t="str">
        <f>IF(Table1[[#This Row],[temp]]&gt;=0.24,"cold","colder")</f>
        <v>cold</v>
      </c>
      <c r="R852" s="2">
        <v>3</v>
      </c>
      <c r="S852" s="16" t="str" cm="1">
        <f t="array" ref="S852">_xlfn.IFS(Table1[[#This Row],[weathersit]]=1,"clear sky",Table1[[#This Row],[weathersit]]=2,"mist",Table1[[#This Row],[weathersit]]=3,"partially dark",Table1[[#This Row],[weathersit]]=4,"rain")</f>
        <v>clear sky</v>
      </c>
    </row>
    <row r="853" spans="1:19" ht="13.8" x14ac:dyDescent="0.3">
      <c r="A853" s="2">
        <v>852</v>
      </c>
      <c r="B853" s="3">
        <v>40581</v>
      </c>
      <c r="C853" s="2">
        <v>1</v>
      </c>
      <c r="D853" s="2">
        <v>0</v>
      </c>
      <c r="E853" s="2">
        <v>2</v>
      </c>
      <c r="F853" s="2">
        <v>22</v>
      </c>
      <c r="G853" s="2" t="b">
        <v>0</v>
      </c>
      <c r="H853" s="2">
        <v>1</v>
      </c>
      <c r="I853" s="2">
        <v>1</v>
      </c>
      <c r="J853" s="2">
        <v>0.28000000000000003</v>
      </c>
      <c r="K853" s="2">
        <v>0.30299999999999999</v>
      </c>
      <c r="L853" s="2">
        <v>0.81</v>
      </c>
      <c r="M853" s="2">
        <v>8.9599999999999999E-2</v>
      </c>
      <c r="N853" s="2">
        <v>34</v>
      </c>
      <c r="O853" s="2">
        <v>37</v>
      </c>
      <c r="P853" s="2" t="str">
        <f t="shared" si="13"/>
        <v>Monday</v>
      </c>
      <c r="Q853" s="2" t="str">
        <f>IF(Table1[[#This Row],[temp]]&gt;=0.24,"cold","colder")</f>
        <v>cold</v>
      </c>
      <c r="R853" s="2">
        <v>3</v>
      </c>
      <c r="S853" s="16" t="str" cm="1">
        <f t="array" ref="S853">_xlfn.IFS(Table1[[#This Row],[weathersit]]=1,"clear sky",Table1[[#This Row],[weathersit]]=2,"mist",Table1[[#This Row],[weathersit]]=3,"partially dark",Table1[[#This Row],[weathersit]]=4,"rain")</f>
        <v>clear sky</v>
      </c>
    </row>
    <row r="854" spans="1:19" ht="13.8" x14ac:dyDescent="0.3">
      <c r="A854" s="2">
        <v>853</v>
      </c>
      <c r="B854" s="3">
        <v>40581</v>
      </c>
      <c r="C854" s="2">
        <v>1</v>
      </c>
      <c r="D854" s="2">
        <v>0</v>
      </c>
      <c r="E854" s="2">
        <v>2</v>
      </c>
      <c r="F854" s="2">
        <v>23</v>
      </c>
      <c r="G854" s="2" t="b">
        <v>0</v>
      </c>
      <c r="H854" s="2">
        <v>1</v>
      </c>
      <c r="I854" s="2">
        <v>2</v>
      </c>
      <c r="J854" s="2">
        <v>0.3</v>
      </c>
      <c r="K854" s="2">
        <v>0.33329999999999999</v>
      </c>
      <c r="L854" s="2">
        <v>0.81</v>
      </c>
      <c r="M854" s="2">
        <v>0</v>
      </c>
      <c r="N854" s="2">
        <v>19</v>
      </c>
      <c r="O854" s="2">
        <v>25</v>
      </c>
      <c r="P854" s="2" t="str">
        <f t="shared" si="13"/>
        <v>Monday</v>
      </c>
      <c r="Q854" s="2" t="str">
        <f>IF(Table1[[#This Row],[temp]]&gt;=0.24,"cold","colder")</f>
        <v>cold</v>
      </c>
      <c r="R854" s="2">
        <v>6</v>
      </c>
      <c r="S854" s="16" t="str" cm="1">
        <f t="array" ref="S854">_xlfn.IFS(Table1[[#This Row],[weathersit]]=1,"clear sky",Table1[[#This Row],[weathersit]]=2,"mist",Table1[[#This Row],[weathersit]]=3,"partially dark",Table1[[#This Row],[weathersit]]=4,"rain")</f>
        <v>mist</v>
      </c>
    </row>
    <row r="855" spans="1:19" ht="13.8" x14ac:dyDescent="0.3">
      <c r="A855" s="2">
        <v>854</v>
      </c>
      <c r="B855" s="3">
        <v>40582</v>
      </c>
      <c r="C855" s="2">
        <v>1</v>
      </c>
      <c r="D855" s="2">
        <v>0</v>
      </c>
      <c r="E855" s="2">
        <v>2</v>
      </c>
      <c r="F855" s="2">
        <v>0</v>
      </c>
      <c r="G855" s="2" t="b">
        <v>0</v>
      </c>
      <c r="H855" s="2">
        <v>2</v>
      </c>
      <c r="I855" s="2">
        <v>2</v>
      </c>
      <c r="J855" s="2">
        <v>0.28000000000000003</v>
      </c>
      <c r="K855" s="2">
        <v>0.31819999999999998</v>
      </c>
      <c r="L855" s="2">
        <v>0.87</v>
      </c>
      <c r="M855" s="2">
        <v>0</v>
      </c>
      <c r="N855" s="2">
        <v>6</v>
      </c>
      <c r="O855" s="2">
        <v>10</v>
      </c>
      <c r="P855" s="2" t="str">
        <f t="shared" si="13"/>
        <v>Tuesday</v>
      </c>
      <c r="Q855" s="2" t="str">
        <f>IF(Table1[[#This Row],[temp]]&gt;=0.24,"cold","colder")</f>
        <v>cold</v>
      </c>
      <c r="R855" s="2">
        <v>4</v>
      </c>
      <c r="S855" s="16" t="str" cm="1">
        <f t="array" ref="S855">_xlfn.IFS(Table1[[#This Row],[weathersit]]=1,"clear sky",Table1[[#This Row],[weathersit]]=2,"mist",Table1[[#This Row],[weathersit]]=3,"partially dark",Table1[[#This Row],[weathersit]]=4,"rain")</f>
        <v>mist</v>
      </c>
    </row>
    <row r="856" spans="1:19" ht="13.8" x14ac:dyDescent="0.3">
      <c r="A856" s="2">
        <v>855</v>
      </c>
      <c r="B856" s="3">
        <v>40582</v>
      </c>
      <c r="C856" s="2">
        <v>1</v>
      </c>
      <c r="D856" s="2">
        <v>0</v>
      </c>
      <c r="E856" s="2">
        <v>2</v>
      </c>
      <c r="F856" s="2">
        <v>1</v>
      </c>
      <c r="G856" s="2" t="b">
        <v>0</v>
      </c>
      <c r="H856" s="2">
        <v>2</v>
      </c>
      <c r="I856" s="2">
        <v>2</v>
      </c>
      <c r="J856" s="2">
        <v>0.28000000000000003</v>
      </c>
      <c r="K856" s="2">
        <v>0.31819999999999998</v>
      </c>
      <c r="L856" s="2">
        <v>0.87</v>
      </c>
      <c r="M856" s="2">
        <v>0</v>
      </c>
      <c r="N856" s="2">
        <v>4</v>
      </c>
      <c r="O856" s="2">
        <v>4</v>
      </c>
      <c r="P856" s="2" t="str">
        <f t="shared" si="13"/>
        <v>Tuesday</v>
      </c>
      <c r="Q856" s="2" t="str">
        <f>IF(Table1[[#This Row],[temp]]&gt;=0.24,"cold","colder")</f>
        <v>cold</v>
      </c>
      <c r="R856" s="2">
        <v>0</v>
      </c>
      <c r="S856" s="16" t="str" cm="1">
        <f t="array" ref="S856">_xlfn.IFS(Table1[[#This Row],[weathersit]]=1,"clear sky",Table1[[#This Row],[weathersit]]=2,"mist",Table1[[#This Row],[weathersit]]=3,"partially dark",Table1[[#This Row],[weathersit]]=4,"rain")</f>
        <v>mist</v>
      </c>
    </row>
    <row r="857" spans="1:19" ht="13.8" x14ac:dyDescent="0.3">
      <c r="A857" s="2">
        <v>856</v>
      </c>
      <c r="B857" s="3">
        <v>40582</v>
      </c>
      <c r="C857" s="2">
        <v>1</v>
      </c>
      <c r="D857" s="2">
        <v>0</v>
      </c>
      <c r="E857" s="2">
        <v>2</v>
      </c>
      <c r="F857" s="2">
        <v>2</v>
      </c>
      <c r="G857" s="2" t="b">
        <v>0</v>
      </c>
      <c r="H857" s="2">
        <v>2</v>
      </c>
      <c r="I857" s="2">
        <v>2</v>
      </c>
      <c r="J857" s="2">
        <v>0.26</v>
      </c>
      <c r="K857" s="2">
        <v>0.2727</v>
      </c>
      <c r="L857" s="2">
        <v>0.93</v>
      </c>
      <c r="M857" s="2">
        <v>0.1045</v>
      </c>
      <c r="N857" s="2">
        <v>1</v>
      </c>
      <c r="O857" s="2">
        <v>2</v>
      </c>
      <c r="P857" s="2" t="str">
        <f t="shared" si="13"/>
        <v>Tuesday</v>
      </c>
      <c r="Q857" s="2" t="str">
        <f>IF(Table1[[#This Row],[temp]]&gt;=0.24,"cold","colder")</f>
        <v>cold</v>
      </c>
      <c r="R857" s="2">
        <v>1</v>
      </c>
      <c r="S857" s="16" t="str" cm="1">
        <f t="array" ref="S857">_xlfn.IFS(Table1[[#This Row],[weathersit]]=1,"clear sky",Table1[[#This Row],[weathersit]]=2,"mist",Table1[[#This Row],[weathersit]]=3,"partially dark",Table1[[#This Row],[weathersit]]=4,"rain")</f>
        <v>mist</v>
      </c>
    </row>
    <row r="858" spans="1:19" ht="13.8" x14ac:dyDescent="0.3">
      <c r="A858" s="2">
        <v>857</v>
      </c>
      <c r="B858" s="3">
        <v>40582</v>
      </c>
      <c r="C858" s="2">
        <v>1</v>
      </c>
      <c r="D858" s="2">
        <v>0</v>
      </c>
      <c r="E858" s="2">
        <v>2</v>
      </c>
      <c r="F858" s="2">
        <v>3</v>
      </c>
      <c r="G858" s="2" t="b">
        <v>0</v>
      </c>
      <c r="H858" s="2">
        <v>2</v>
      </c>
      <c r="I858" s="2">
        <v>3</v>
      </c>
      <c r="J858" s="2">
        <v>0.28000000000000003</v>
      </c>
      <c r="K858" s="2">
        <v>0.2727</v>
      </c>
      <c r="L858" s="2">
        <v>0.93</v>
      </c>
      <c r="M858" s="2">
        <v>0.16420000000000001</v>
      </c>
      <c r="N858" s="2">
        <v>1</v>
      </c>
      <c r="O858" s="2">
        <v>1</v>
      </c>
      <c r="P858" s="2" t="str">
        <f t="shared" si="13"/>
        <v>Tuesday</v>
      </c>
      <c r="Q858" s="2" t="str">
        <f>IF(Table1[[#This Row],[temp]]&gt;=0.24,"cold","colder")</f>
        <v>cold</v>
      </c>
      <c r="R858" s="2">
        <v>0</v>
      </c>
      <c r="S858" s="16" t="str" cm="1">
        <f t="array" ref="S858">_xlfn.IFS(Table1[[#This Row],[weathersit]]=1,"clear sky",Table1[[#This Row],[weathersit]]=2,"mist",Table1[[#This Row],[weathersit]]=3,"partially dark",Table1[[#This Row],[weathersit]]=4,"rain")</f>
        <v>partially dark</v>
      </c>
    </row>
    <row r="859" spans="1:19" ht="13.8" x14ac:dyDescent="0.3">
      <c r="A859" s="2">
        <v>858</v>
      </c>
      <c r="B859" s="3">
        <v>40582</v>
      </c>
      <c r="C859" s="2">
        <v>1</v>
      </c>
      <c r="D859" s="2">
        <v>0</v>
      </c>
      <c r="E859" s="2">
        <v>2</v>
      </c>
      <c r="F859" s="2">
        <v>4</v>
      </c>
      <c r="G859" s="2" t="b">
        <v>0</v>
      </c>
      <c r="H859" s="2">
        <v>2</v>
      </c>
      <c r="I859" s="2">
        <v>1</v>
      </c>
      <c r="J859" s="2">
        <v>0.26</v>
      </c>
      <c r="K859" s="2">
        <v>0.2576</v>
      </c>
      <c r="L859" s="2">
        <v>0.93</v>
      </c>
      <c r="M859" s="2">
        <v>0.16420000000000001</v>
      </c>
      <c r="N859" s="2">
        <v>3</v>
      </c>
      <c r="O859" s="2">
        <v>3</v>
      </c>
      <c r="P859" s="2" t="str">
        <f t="shared" si="13"/>
        <v>Tuesday</v>
      </c>
      <c r="Q859" s="2" t="str">
        <f>IF(Table1[[#This Row],[temp]]&gt;=0.24,"cold","colder")</f>
        <v>cold</v>
      </c>
      <c r="R859" s="2">
        <v>0</v>
      </c>
      <c r="S859" s="16" t="str" cm="1">
        <f t="array" ref="S859">_xlfn.IFS(Table1[[#This Row],[weathersit]]=1,"clear sky",Table1[[#This Row],[weathersit]]=2,"mist",Table1[[#This Row],[weathersit]]=3,"partially dark",Table1[[#This Row],[weathersit]]=4,"rain")</f>
        <v>clear sky</v>
      </c>
    </row>
    <row r="860" spans="1:19" ht="13.8" x14ac:dyDescent="0.3">
      <c r="A860" s="2">
        <v>859</v>
      </c>
      <c r="B860" s="3">
        <v>40582</v>
      </c>
      <c r="C860" s="2">
        <v>1</v>
      </c>
      <c r="D860" s="2">
        <v>0</v>
      </c>
      <c r="E860" s="2">
        <v>2</v>
      </c>
      <c r="F860" s="2">
        <v>5</v>
      </c>
      <c r="G860" s="2" t="b">
        <v>0</v>
      </c>
      <c r="H860" s="2">
        <v>2</v>
      </c>
      <c r="I860" s="2">
        <v>1</v>
      </c>
      <c r="J860" s="2">
        <v>0.26</v>
      </c>
      <c r="K860" s="2">
        <v>0.2273</v>
      </c>
      <c r="L860" s="2">
        <v>0.81</v>
      </c>
      <c r="M860" s="2">
        <v>0.32840000000000003</v>
      </c>
      <c r="N860" s="2">
        <v>2</v>
      </c>
      <c r="O860" s="2">
        <v>2</v>
      </c>
      <c r="P860" s="2" t="str">
        <f t="shared" si="13"/>
        <v>Tuesday</v>
      </c>
      <c r="Q860" s="2" t="str">
        <f>IF(Table1[[#This Row],[temp]]&gt;=0.24,"cold","colder")</f>
        <v>cold</v>
      </c>
      <c r="R860" s="2">
        <v>0</v>
      </c>
      <c r="S860" s="16" t="str" cm="1">
        <f t="array" ref="S860">_xlfn.IFS(Table1[[#This Row],[weathersit]]=1,"clear sky",Table1[[#This Row],[weathersit]]=2,"mist",Table1[[#This Row],[weathersit]]=3,"partially dark",Table1[[#This Row],[weathersit]]=4,"rain")</f>
        <v>clear sky</v>
      </c>
    </row>
    <row r="861" spans="1:19" ht="13.8" x14ac:dyDescent="0.3">
      <c r="A861" s="2">
        <v>860</v>
      </c>
      <c r="B861" s="3">
        <v>40582</v>
      </c>
      <c r="C861" s="2">
        <v>1</v>
      </c>
      <c r="D861" s="2">
        <v>0</v>
      </c>
      <c r="E861" s="2">
        <v>2</v>
      </c>
      <c r="F861" s="2">
        <v>6</v>
      </c>
      <c r="G861" s="2" t="b">
        <v>0</v>
      </c>
      <c r="H861" s="2">
        <v>2</v>
      </c>
      <c r="I861" s="2">
        <v>1</v>
      </c>
      <c r="J861" s="2">
        <v>0.26</v>
      </c>
      <c r="K861" s="2">
        <v>0.2273</v>
      </c>
      <c r="L861" s="2">
        <v>0.7</v>
      </c>
      <c r="M861" s="2">
        <v>0.32840000000000003</v>
      </c>
      <c r="N861" s="2">
        <v>39</v>
      </c>
      <c r="O861" s="2">
        <v>39</v>
      </c>
      <c r="P861" s="2" t="str">
        <f t="shared" si="13"/>
        <v>Tuesday</v>
      </c>
      <c r="Q861" s="2" t="str">
        <f>IF(Table1[[#This Row],[temp]]&gt;=0.24,"cold","colder")</f>
        <v>cold</v>
      </c>
      <c r="R861" s="2">
        <v>0</v>
      </c>
      <c r="S861" s="16" t="str" cm="1">
        <f t="array" ref="S861">_xlfn.IFS(Table1[[#This Row],[weathersit]]=1,"clear sky",Table1[[#This Row],[weathersit]]=2,"mist",Table1[[#This Row],[weathersit]]=3,"partially dark",Table1[[#This Row],[weathersit]]=4,"rain")</f>
        <v>clear sky</v>
      </c>
    </row>
    <row r="862" spans="1:19" ht="13.8" x14ac:dyDescent="0.3">
      <c r="A862" s="2">
        <v>861</v>
      </c>
      <c r="B862" s="3">
        <v>40582</v>
      </c>
      <c r="C862" s="2">
        <v>1</v>
      </c>
      <c r="D862" s="2">
        <v>0</v>
      </c>
      <c r="E862" s="2">
        <v>2</v>
      </c>
      <c r="F862" s="2">
        <v>7</v>
      </c>
      <c r="G862" s="2" t="b">
        <v>0</v>
      </c>
      <c r="H862" s="2">
        <v>2</v>
      </c>
      <c r="I862" s="2">
        <v>1</v>
      </c>
      <c r="J862" s="2">
        <v>0.24</v>
      </c>
      <c r="K862" s="2">
        <v>0.19700000000000001</v>
      </c>
      <c r="L862" s="2">
        <v>0.65</v>
      </c>
      <c r="M862" s="2">
        <v>0.41789999999999999</v>
      </c>
      <c r="N862" s="2">
        <v>97</v>
      </c>
      <c r="O862" s="2">
        <v>100</v>
      </c>
      <c r="P862" s="2" t="str">
        <f t="shared" si="13"/>
        <v>Tuesday</v>
      </c>
      <c r="Q862" s="2" t="str">
        <f>IF(Table1[[#This Row],[temp]]&gt;=0.24,"cold","colder")</f>
        <v>cold</v>
      </c>
      <c r="R862" s="2">
        <v>3</v>
      </c>
      <c r="S862" s="16" t="str" cm="1">
        <f t="array" ref="S862">_xlfn.IFS(Table1[[#This Row],[weathersit]]=1,"clear sky",Table1[[#This Row],[weathersit]]=2,"mist",Table1[[#This Row],[weathersit]]=3,"partially dark",Table1[[#This Row],[weathersit]]=4,"rain")</f>
        <v>clear sky</v>
      </c>
    </row>
    <row r="863" spans="1:19" ht="13.8" x14ac:dyDescent="0.3">
      <c r="A863" s="2">
        <v>862</v>
      </c>
      <c r="B863" s="3">
        <v>40582</v>
      </c>
      <c r="C863" s="2">
        <v>1</v>
      </c>
      <c r="D863" s="2">
        <v>0</v>
      </c>
      <c r="E863" s="2">
        <v>2</v>
      </c>
      <c r="F863" s="2">
        <v>8</v>
      </c>
      <c r="G863" s="2" t="b">
        <v>0</v>
      </c>
      <c r="H863" s="2">
        <v>2</v>
      </c>
      <c r="I863" s="2">
        <v>1</v>
      </c>
      <c r="J863" s="2">
        <v>0.24</v>
      </c>
      <c r="K863" s="2">
        <v>0.19700000000000001</v>
      </c>
      <c r="L863" s="2">
        <v>0.56000000000000005</v>
      </c>
      <c r="M863" s="2">
        <v>0.49249999999999999</v>
      </c>
      <c r="N863" s="2">
        <v>236</v>
      </c>
      <c r="O863" s="2">
        <v>243</v>
      </c>
      <c r="P863" s="2" t="str">
        <f t="shared" si="13"/>
        <v>Tuesday</v>
      </c>
      <c r="Q863" s="2" t="str">
        <f>IF(Table1[[#This Row],[temp]]&gt;=0.24,"cold","colder")</f>
        <v>cold</v>
      </c>
      <c r="R863" s="2">
        <v>7</v>
      </c>
      <c r="S863" s="16" t="str" cm="1">
        <f t="array" ref="S863">_xlfn.IFS(Table1[[#This Row],[weathersit]]=1,"clear sky",Table1[[#This Row],[weathersit]]=2,"mist",Table1[[#This Row],[weathersit]]=3,"partially dark",Table1[[#This Row],[weathersit]]=4,"rain")</f>
        <v>clear sky</v>
      </c>
    </row>
    <row r="864" spans="1:19" ht="13.8" x14ac:dyDescent="0.3">
      <c r="A864" s="2">
        <v>863</v>
      </c>
      <c r="B864" s="3">
        <v>40582</v>
      </c>
      <c r="C864" s="2">
        <v>1</v>
      </c>
      <c r="D864" s="2">
        <v>0</v>
      </c>
      <c r="E864" s="2">
        <v>2</v>
      </c>
      <c r="F864" s="2">
        <v>9</v>
      </c>
      <c r="G864" s="2" t="b">
        <v>0</v>
      </c>
      <c r="H864" s="2">
        <v>2</v>
      </c>
      <c r="I864" s="2">
        <v>1</v>
      </c>
      <c r="J864" s="2">
        <v>0.24</v>
      </c>
      <c r="K864" s="2">
        <v>0.19700000000000001</v>
      </c>
      <c r="L864" s="2">
        <v>0.52</v>
      </c>
      <c r="M864" s="2">
        <v>0.49249999999999999</v>
      </c>
      <c r="N864" s="2">
        <v>128</v>
      </c>
      <c r="O864" s="2">
        <v>135</v>
      </c>
      <c r="P864" s="2" t="str">
        <f t="shared" si="13"/>
        <v>Tuesday</v>
      </c>
      <c r="Q864" s="2" t="str">
        <f>IF(Table1[[#This Row],[temp]]&gt;=0.24,"cold","colder")</f>
        <v>cold</v>
      </c>
      <c r="R864" s="2">
        <v>7</v>
      </c>
      <c r="S864" s="16" t="str" cm="1">
        <f t="array" ref="S864">_xlfn.IFS(Table1[[#This Row],[weathersit]]=1,"clear sky",Table1[[#This Row],[weathersit]]=2,"mist",Table1[[#This Row],[weathersit]]=3,"partially dark",Table1[[#This Row],[weathersit]]=4,"rain")</f>
        <v>clear sky</v>
      </c>
    </row>
    <row r="865" spans="1:19" ht="13.8" x14ac:dyDescent="0.3">
      <c r="A865" s="2">
        <v>864</v>
      </c>
      <c r="B865" s="3">
        <v>40582</v>
      </c>
      <c r="C865" s="2">
        <v>1</v>
      </c>
      <c r="D865" s="2">
        <v>0</v>
      </c>
      <c r="E865" s="2">
        <v>2</v>
      </c>
      <c r="F865" s="2">
        <v>10</v>
      </c>
      <c r="G865" s="2" t="b">
        <v>0</v>
      </c>
      <c r="H865" s="2">
        <v>2</v>
      </c>
      <c r="I865" s="2">
        <v>1</v>
      </c>
      <c r="J865" s="2">
        <v>0.22</v>
      </c>
      <c r="K865" s="2">
        <v>0.18179999999999999</v>
      </c>
      <c r="L865" s="2">
        <v>0.47</v>
      </c>
      <c r="M865" s="2">
        <v>0.55220000000000002</v>
      </c>
      <c r="N865" s="2">
        <v>44</v>
      </c>
      <c r="O865" s="2">
        <v>48</v>
      </c>
      <c r="P865" s="2" t="str">
        <f t="shared" si="13"/>
        <v>Tuesday</v>
      </c>
      <c r="Q865" s="2" t="str">
        <f>IF(Table1[[#This Row],[temp]]&gt;=0.24,"cold","colder")</f>
        <v>colder</v>
      </c>
      <c r="R865" s="2">
        <v>4</v>
      </c>
      <c r="S865" s="16" t="str" cm="1">
        <f t="array" ref="S865">_xlfn.IFS(Table1[[#This Row],[weathersit]]=1,"clear sky",Table1[[#This Row],[weathersit]]=2,"mist",Table1[[#This Row],[weathersit]]=3,"partially dark",Table1[[#This Row],[weathersit]]=4,"rain")</f>
        <v>clear sky</v>
      </c>
    </row>
    <row r="866" spans="1:19" ht="13.8" x14ac:dyDescent="0.3">
      <c r="A866" s="2">
        <v>865</v>
      </c>
      <c r="B866" s="3">
        <v>40582</v>
      </c>
      <c r="C866" s="2">
        <v>1</v>
      </c>
      <c r="D866" s="2">
        <v>0</v>
      </c>
      <c r="E866" s="2">
        <v>2</v>
      </c>
      <c r="F866" s="2">
        <v>11</v>
      </c>
      <c r="G866" s="2" t="b">
        <v>0</v>
      </c>
      <c r="H866" s="2">
        <v>2</v>
      </c>
      <c r="I866" s="2">
        <v>1</v>
      </c>
      <c r="J866" s="2">
        <v>0.22</v>
      </c>
      <c r="K866" s="2">
        <v>0.18179999999999999</v>
      </c>
      <c r="L866" s="2">
        <v>0.47</v>
      </c>
      <c r="M866" s="2">
        <v>0.4627</v>
      </c>
      <c r="N866" s="2">
        <v>49</v>
      </c>
      <c r="O866" s="2">
        <v>50</v>
      </c>
      <c r="P866" s="2" t="str">
        <f t="shared" si="13"/>
        <v>Tuesday</v>
      </c>
      <c r="Q866" s="2" t="str">
        <f>IF(Table1[[#This Row],[temp]]&gt;=0.24,"cold","colder")</f>
        <v>colder</v>
      </c>
      <c r="R866" s="2">
        <v>1</v>
      </c>
      <c r="S866" s="16" t="str" cm="1">
        <f t="array" ref="S866">_xlfn.IFS(Table1[[#This Row],[weathersit]]=1,"clear sky",Table1[[#This Row],[weathersit]]=2,"mist",Table1[[#This Row],[weathersit]]=3,"partially dark",Table1[[#This Row],[weathersit]]=4,"rain")</f>
        <v>clear sky</v>
      </c>
    </row>
    <row r="867" spans="1:19" ht="13.8" x14ac:dyDescent="0.3">
      <c r="A867" s="2">
        <v>866</v>
      </c>
      <c r="B867" s="3">
        <v>40582</v>
      </c>
      <c r="C867" s="2">
        <v>1</v>
      </c>
      <c r="D867" s="2">
        <v>0</v>
      </c>
      <c r="E867" s="2">
        <v>2</v>
      </c>
      <c r="F867" s="2">
        <v>12</v>
      </c>
      <c r="G867" s="2" t="b">
        <v>0</v>
      </c>
      <c r="H867" s="2">
        <v>2</v>
      </c>
      <c r="I867" s="2">
        <v>1</v>
      </c>
      <c r="J867" s="2">
        <v>0.24</v>
      </c>
      <c r="K867" s="2">
        <v>0.19700000000000001</v>
      </c>
      <c r="L867" s="2">
        <v>0.38</v>
      </c>
      <c r="M867" s="2">
        <v>0.49249999999999999</v>
      </c>
      <c r="N867" s="2">
        <v>63</v>
      </c>
      <c r="O867" s="2">
        <v>65</v>
      </c>
      <c r="P867" s="2" t="str">
        <f t="shared" si="13"/>
        <v>Tuesday</v>
      </c>
      <c r="Q867" s="2" t="str">
        <f>IF(Table1[[#This Row],[temp]]&gt;=0.24,"cold","colder")</f>
        <v>cold</v>
      </c>
      <c r="R867" s="2">
        <v>2</v>
      </c>
      <c r="S867" s="16" t="str" cm="1">
        <f t="array" ref="S867">_xlfn.IFS(Table1[[#This Row],[weathersit]]=1,"clear sky",Table1[[#This Row],[weathersit]]=2,"mist",Table1[[#This Row],[weathersit]]=3,"partially dark",Table1[[#This Row],[weathersit]]=4,"rain")</f>
        <v>clear sky</v>
      </c>
    </row>
    <row r="868" spans="1:19" ht="13.8" x14ac:dyDescent="0.3">
      <c r="A868" s="2">
        <v>867</v>
      </c>
      <c r="B868" s="3">
        <v>40582</v>
      </c>
      <c r="C868" s="2">
        <v>1</v>
      </c>
      <c r="D868" s="2">
        <v>0</v>
      </c>
      <c r="E868" s="2">
        <v>2</v>
      </c>
      <c r="F868" s="2">
        <v>13</v>
      </c>
      <c r="G868" s="2" t="b">
        <v>0</v>
      </c>
      <c r="H868" s="2">
        <v>2</v>
      </c>
      <c r="I868" s="2">
        <v>2</v>
      </c>
      <c r="J868" s="2">
        <v>0.24</v>
      </c>
      <c r="K868" s="2">
        <v>0.19700000000000001</v>
      </c>
      <c r="L868" s="2">
        <v>0.32</v>
      </c>
      <c r="M868" s="2">
        <v>0.44779999999999998</v>
      </c>
      <c r="N868" s="2">
        <v>48</v>
      </c>
      <c r="O868" s="2">
        <v>50</v>
      </c>
      <c r="P868" s="2" t="str">
        <f t="shared" si="13"/>
        <v>Tuesday</v>
      </c>
      <c r="Q868" s="2" t="str">
        <f>IF(Table1[[#This Row],[temp]]&gt;=0.24,"cold","colder")</f>
        <v>cold</v>
      </c>
      <c r="R868" s="2">
        <v>2</v>
      </c>
      <c r="S868" s="16" t="str" cm="1">
        <f t="array" ref="S868">_xlfn.IFS(Table1[[#This Row],[weathersit]]=1,"clear sky",Table1[[#This Row],[weathersit]]=2,"mist",Table1[[#This Row],[weathersit]]=3,"partially dark",Table1[[#This Row],[weathersit]]=4,"rain")</f>
        <v>mist</v>
      </c>
    </row>
    <row r="869" spans="1:19" ht="13.8" x14ac:dyDescent="0.3">
      <c r="A869" s="2">
        <v>868</v>
      </c>
      <c r="B869" s="3">
        <v>40582</v>
      </c>
      <c r="C869" s="2">
        <v>1</v>
      </c>
      <c r="D869" s="2">
        <v>0</v>
      </c>
      <c r="E869" s="2">
        <v>2</v>
      </c>
      <c r="F869" s="2">
        <v>14</v>
      </c>
      <c r="G869" s="2" t="b">
        <v>0</v>
      </c>
      <c r="H869" s="2">
        <v>2</v>
      </c>
      <c r="I869" s="2">
        <v>1</v>
      </c>
      <c r="J869" s="2">
        <v>0.22</v>
      </c>
      <c r="K869" s="2">
        <v>0.19700000000000001</v>
      </c>
      <c r="L869" s="2">
        <v>0.37</v>
      </c>
      <c r="M869" s="2">
        <v>0.41789999999999999</v>
      </c>
      <c r="N869" s="2">
        <v>61</v>
      </c>
      <c r="O869" s="2">
        <v>64</v>
      </c>
      <c r="P869" s="2" t="str">
        <f t="shared" si="13"/>
        <v>Tuesday</v>
      </c>
      <c r="Q869" s="2" t="str">
        <f>IF(Table1[[#This Row],[temp]]&gt;=0.24,"cold","colder")</f>
        <v>colder</v>
      </c>
      <c r="R869" s="2">
        <v>3</v>
      </c>
      <c r="S869" s="16" t="str" cm="1">
        <f t="array" ref="S869">_xlfn.IFS(Table1[[#This Row],[weathersit]]=1,"clear sky",Table1[[#This Row],[weathersit]]=2,"mist",Table1[[#This Row],[weathersit]]=3,"partially dark",Table1[[#This Row],[weathersit]]=4,"rain")</f>
        <v>clear sky</v>
      </c>
    </row>
    <row r="870" spans="1:19" ht="13.8" x14ac:dyDescent="0.3">
      <c r="A870" s="2">
        <v>869</v>
      </c>
      <c r="B870" s="3">
        <v>40582</v>
      </c>
      <c r="C870" s="2">
        <v>1</v>
      </c>
      <c r="D870" s="2">
        <v>0</v>
      </c>
      <c r="E870" s="2">
        <v>2</v>
      </c>
      <c r="F870" s="2">
        <v>15</v>
      </c>
      <c r="G870" s="2" t="b">
        <v>0</v>
      </c>
      <c r="H870" s="2">
        <v>2</v>
      </c>
      <c r="I870" s="2">
        <v>1</v>
      </c>
      <c r="J870" s="2">
        <v>0.22</v>
      </c>
      <c r="K870" s="2">
        <v>0.19700000000000001</v>
      </c>
      <c r="L870" s="2">
        <v>0.35</v>
      </c>
      <c r="M870" s="2">
        <v>0.3881</v>
      </c>
      <c r="N870" s="2">
        <v>45</v>
      </c>
      <c r="O870" s="2">
        <v>51</v>
      </c>
      <c r="P870" s="2" t="str">
        <f t="shared" si="13"/>
        <v>Tuesday</v>
      </c>
      <c r="Q870" s="2" t="str">
        <f>IF(Table1[[#This Row],[temp]]&gt;=0.24,"cold","colder")</f>
        <v>colder</v>
      </c>
      <c r="R870" s="2">
        <v>6</v>
      </c>
      <c r="S870" s="16" t="str" cm="1">
        <f t="array" ref="S870">_xlfn.IFS(Table1[[#This Row],[weathersit]]=1,"clear sky",Table1[[#This Row],[weathersit]]=2,"mist",Table1[[#This Row],[weathersit]]=3,"partially dark",Table1[[#This Row],[weathersit]]=4,"rain")</f>
        <v>clear sky</v>
      </c>
    </row>
    <row r="871" spans="1:19" ht="13.8" x14ac:dyDescent="0.3">
      <c r="A871" s="2">
        <v>870</v>
      </c>
      <c r="B871" s="3">
        <v>40582</v>
      </c>
      <c r="C871" s="2">
        <v>1</v>
      </c>
      <c r="D871" s="2">
        <v>0</v>
      </c>
      <c r="E871" s="2">
        <v>2</v>
      </c>
      <c r="F871" s="2">
        <v>16</v>
      </c>
      <c r="G871" s="2" t="b">
        <v>0</v>
      </c>
      <c r="H871" s="2">
        <v>2</v>
      </c>
      <c r="I871" s="2">
        <v>1</v>
      </c>
      <c r="J871" s="2">
        <v>0.22</v>
      </c>
      <c r="K871" s="2">
        <v>0.18179999999999999</v>
      </c>
      <c r="L871" s="2">
        <v>0.35</v>
      </c>
      <c r="M871" s="2">
        <v>0.52239999999999998</v>
      </c>
      <c r="N871" s="2">
        <v>79</v>
      </c>
      <c r="O871" s="2">
        <v>83</v>
      </c>
      <c r="P871" s="2" t="str">
        <f t="shared" si="13"/>
        <v>Tuesday</v>
      </c>
      <c r="Q871" s="2" t="str">
        <f>IF(Table1[[#This Row],[temp]]&gt;=0.24,"cold","colder")</f>
        <v>colder</v>
      </c>
      <c r="R871" s="2">
        <v>4</v>
      </c>
      <c r="S871" s="16" t="str" cm="1">
        <f t="array" ref="S871">_xlfn.IFS(Table1[[#This Row],[weathersit]]=1,"clear sky",Table1[[#This Row],[weathersit]]=2,"mist",Table1[[#This Row],[weathersit]]=3,"partially dark",Table1[[#This Row],[weathersit]]=4,"rain")</f>
        <v>clear sky</v>
      </c>
    </row>
    <row r="872" spans="1:19" ht="13.8" x14ac:dyDescent="0.3">
      <c r="A872" s="2">
        <v>871</v>
      </c>
      <c r="B872" s="3">
        <v>40582</v>
      </c>
      <c r="C872" s="2">
        <v>1</v>
      </c>
      <c r="D872" s="2">
        <v>0</v>
      </c>
      <c r="E872" s="2">
        <v>2</v>
      </c>
      <c r="F872" s="2">
        <v>17</v>
      </c>
      <c r="G872" s="2" t="b">
        <v>0</v>
      </c>
      <c r="H872" s="2">
        <v>2</v>
      </c>
      <c r="I872" s="2">
        <v>1</v>
      </c>
      <c r="J872" s="2">
        <v>0.22</v>
      </c>
      <c r="K872" s="2">
        <v>0.18179999999999999</v>
      </c>
      <c r="L872" s="2">
        <v>0.32</v>
      </c>
      <c r="M872" s="2">
        <v>0.58209999999999995</v>
      </c>
      <c r="N872" s="2">
        <v>172</v>
      </c>
      <c r="O872" s="2">
        <v>176</v>
      </c>
      <c r="P872" s="2" t="str">
        <f t="shared" si="13"/>
        <v>Tuesday</v>
      </c>
      <c r="Q872" s="2" t="str">
        <f>IF(Table1[[#This Row],[temp]]&gt;=0.24,"cold","colder")</f>
        <v>colder</v>
      </c>
      <c r="R872" s="2">
        <v>4</v>
      </c>
      <c r="S872" s="16" t="str" cm="1">
        <f t="array" ref="S872">_xlfn.IFS(Table1[[#This Row],[weathersit]]=1,"clear sky",Table1[[#This Row],[weathersit]]=2,"mist",Table1[[#This Row],[weathersit]]=3,"partially dark",Table1[[#This Row],[weathersit]]=4,"rain")</f>
        <v>clear sky</v>
      </c>
    </row>
    <row r="873" spans="1:19" ht="13.8" x14ac:dyDescent="0.3">
      <c r="A873" s="2">
        <v>872</v>
      </c>
      <c r="B873" s="3">
        <v>40582</v>
      </c>
      <c r="C873" s="2">
        <v>1</v>
      </c>
      <c r="D873" s="2">
        <v>0</v>
      </c>
      <c r="E873" s="2">
        <v>2</v>
      </c>
      <c r="F873" s="2">
        <v>18</v>
      </c>
      <c r="G873" s="2" t="b">
        <v>0</v>
      </c>
      <c r="H873" s="2">
        <v>2</v>
      </c>
      <c r="I873" s="2">
        <v>1</v>
      </c>
      <c r="J873" s="2">
        <v>0.2</v>
      </c>
      <c r="K873" s="2">
        <v>0.18179999999999999</v>
      </c>
      <c r="L873" s="2">
        <v>0.32</v>
      </c>
      <c r="M873" s="2">
        <v>0.3881</v>
      </c>
      <c r="N873" s="2">
        <v>151</v>
      </c>
      <c r="O873" s="2">
        <v>152</v>
      </c>
      <c r="P873" s="2" t="str">
        <f t="shared" si="13"/>
        <v>Tuesday</v>
      </c>
      <c r="Q873" s="2" t="str">
        <f>IF(Table1[[#This Row],[temp]]&gt;=0.24,"cold","colder")</f>
        <v>colder</v>
      </c>
      <c r="R873" s="2">
        <v>1</v>
      </c>
      <c r="S873" s="16" t="str" cm="1">
        <f t="array" ref="S873">_xlfn.IFS(Table1[[#This Row],[weathersit]]=1,"clear sky",Table1[[#This Row],[weathersit]]=2,"mist",Table1[[#This Row],[weathersit]]=3,"partially dark",Table1[[#This Row],[weathersit]]=4,"rain")</f>
        <v>clear sky</v>
      </c>
    </row>
    <row r="874" spans="1:19" ht="13.8" x14ac:dyDescent="0.3">
      <c r="A874" s="2">
        <v>873</v>
      </c>
      <c r="B874" s="3">
        <v>40582</v>
      </c>
      <c r="C874" s="2">
        <v>1</v>
      </c>
      <c r="D874" s="2">
        <v>0</v>
      </c>
      <c r="E874" s="2">
        <v>2</v>
      </c>
      <c r="F874" s="2">
        <v>19</v>
      </c>
      <c r="G874" s="2" t="b">
        <v>0</v>
      </c>
      <c r="H874" s="2">
        <v>2</v>
      </c>
      <c r="I874" s="2">
        <v>1</v>
      </c>
      <c r="J874" s="2">
        <v>0.16</v>
      </c>
      <c r="K874" s="2">
        <v>0.1212</v>
      </c>
      <c r="L874" s="2">
        <v>0.4</v>
      </c>
      <c r="M874" s="2">
        <v>0.4627</v>
      </c>
      <c r="N874" s="2">
        <v>100</v>
      </c>
      <c r="O874" s="2">
        <v>101</v>
      </c>
      <c r="P874" s="2" t="str">
        <f t="shared" si="13"/>
        <v>Tuesday</v>
      </c>
      <c r="Q874" s="2" t="str">
        <f>IF(Table1[[#This Row],[temp]]&gt;=0.24,"cold","colder")</f>
        <v>colder</v>
      </c>
      <c r="R874" s="2">
        <v>1</v>
      </c>
      <c r="S874" s="16" t="str" cm="1">
        <f t="array" ref="S874">_xlfn.IFS(Table1[[#This Row],[weathersit]]=1,"clear sky",Table1[[#This Row],[weathersit]]=2,"mist",Table1[[#This Row],[weathersit]]=3,"partially dark",Table1[[#This Row],[weathersit]]=4,"rain")</f>
        <v>clear sky</v>
      </c>
    </row>
    <row r="875" spans="1:19" ht="13.8" x14ac:dyDescent="0.3">
      <c r="A875" s="2">
        <v>874</v>
      </c>
      <c r="B875" s="3">
        <v>40582</v>
      </c>
      <c r="C875" s="2">
        <v>1</v>
      </c>
      <c r="D875" s="2">
        <v>0</v>
      </c>
      <c r="E875" s="2">
        <v>2</v>
      </c>
      <c r="F875" s="2">
        <v>20</v>
      </c>
      <c r="G875" s="2" t="b">
        <v>0</v>
      </c>
      <c r="H875" s="2">
        <v>2</v>
      </c>
      <c r="I875" s="2">
        <v>1</v>
      </c>
      <c r="J875" s="2">
        <v>0.16</v>
      </c>
      <c r="K875" s="2">
        <v>0.13639999999999999</v>
      </c>
      <c r="L875" s="2">
        <v>0.4</v>
      </c>
      <c r="M875" s="2">
        <v>0.32840000000000003</v>
      </c>
      <c r="N875" s="2">
        <v>53</v>
      </c>
      <c r="O875" s="2">
        <v>56</v>
      </c>
      <c r="P875" s="2" t="str">
        <f t="shared" si="13"/>
        <v>Tuesday</v>
      </c>
      <c r="Q875" s="2" t="str">
        <f>IF(Table1[[#This Row],[temp]]&gt;=0.24,"cold","colder")</f>
        <v>colder</v>
      </c>
      <c r="R875" s="2">
        <v>3</v>
      </c>
      <c r="S875" s="16" t="str" cm="1">
        <f t="array" ref="S875">_xlfn.IFS(Table1[[#This Row],[weathersit]]=1,"clear sky",Table1[[#This Row],[weathersit]]=2,"mist",Table1[[#This Row],[weathersit]]=3,"partially dark",Table1[[#This Row],[weathersit]]=4,"rain")</f>
        <v>clear sky</v>
      </c>
    </row>
    <row r="876" spans="1:19" ht="13.8" x14ac:dyDescent="0.3">
      <c r="A876" s="2">
        <v>875</v>
      </c>
      <c r="B876" s="3">
        <v>40582</v>
      </c>
      <c r="C876" s="2">
        <v>1</v>
      </c>
      <c r="D876" s="2">
        <v>0</v>
      </c>
      <c r="E876" s="2">
        <v>2</v>
      </c>
      <c r="F876" s="2">
        <v>21</v>
      </c>
      <c r="G876" s="2" t="b">
        <v>0</v>
      </c>
      <c r="H876" s="2">
        <v>2</v>
      </c>
      <c r="I876" s="2">
        <v>1</v>
      </c>
      <c r="J876" s="2">
        <v>0.14000000000000001</v>
      </c>
      <c r="K876" s="2">
        <v>0.1061</v>
      </c>
      <c r="L876" s="2">
        <v>0.33</v>
      </c>
      <c r="M876" s="2">
        <v>0.4627</v>
      </c>
      <c r="N876" s="2">
        <v>46</v>
      </c>
      <c r="O876" s="2">
        <v>54</v>
      </c>
      <c r="P876" s="2" t="str">
        <f t="shared" si="13"/>
        <v>Tuesday</v>
      </c>
      <c r="Q876" s="2" t="str">
        <f>IF(Table1[[#This Row],[temp]]&gt;=0.24,"cold","colder")</f>
        <v>colder</v>
      </c>
      <c r="R876" s="2">
        <v>8</v>
      </c>
      <c r="S876" s="16" t="str" cm="1">
        <f t="array" ref="S876">_xlfn.IFS(Table1[[#This Row],[weathersit]]=1,"clear sky",Table1[[#This Row],[weathersit]]=2,"mist",Table1[[#This Row],[weathersit]]=3,"partially dark",Table1[[#This Row],[weathersit]]=4,"rain")</f>
        <v>clear sky</v>
      </c>
    </row>
    <row r="877" spans="1:19" ht="13.8" x14ac:dyDescent="0.3">
      <c r="A877" s="2">
        <v>876</v>
      </c>
      <c r="B877" s="3">
        <v>40582</v>
      </c>
      <c r="C877" s="2">
        <v>1</v>
      </c>
      <c r="D877" s="2">
        <v>0</v>
      </c>
      <c r="E877" s="2">
        <v>2</v>
      </c>
      <c r="F877" s="2">
        <v>22</v>
      </c>
      <c r="G877" s="2" t="b">
        <v>0</v>
      </c>
      <c r="H877" s="2">
        <v>2</v>
      </c>
      <c r="I877" s="2">
        <v>1</v>
      </c>
      <c r="J877" s="2">
        <v>0.12</v>
      </c>
      <c r="K877" s="2">
        <v>0.1061</v>
      </c>
      <c r="L877" s="2">
        <v>0.33</v>
      </c>
      <c r="M877" s="2">
        <v>0.35820000000000002</v>
      </c>
      <c r="N877" s="2">
        <v>29</v>
      </c>
      <c r="O877" s="2">
        <v>29</v>
      </c>
      <c r="P877" s="2" t="str">
        <f t="shared" si="13"/>
        <v>Tuesday</v>
      </c>
      <c r="Q877" s="2" t="str">
        <f>IF(Table1[[#This Row],[temp]]&gt;=0.24,"cold","colder")</f>
        <v>colder</v>
      </c>
      <c r="R877" s="2">
        <v>0</v>
      </c>
      <c r="S877" s="16" t="str" cm="1">
        <f t="array" ref="S877">_xlfn.IFS(Table1[[#This Row],[weathersit]]=1,"clear sky",Table1[[#This Row],[weathersit]]=2,"mist",Table1[[#This Row],[weathersit]]=3,"partially dark",Table1[[#This Row],[weathersit]]=4,"rain")</f>
        <v>clear sky</v>
      </c>
    </row>
    <row r="878" spans="1:19" ht="13.8" x14ac:dyDescent="0.3">
      <c r="A878" s="2">
        <v>877</v>
      </c>
      <c r="B878" s="3">
        <v>40582</v>
      </c>
      <c r="C878" s="2">
        <v>1</v>
      </c>
      <c r="D878" s="2">
        <v>0</v>
      </c>
      <c r="E878" s="2">
        <v>2</v>
      </c>
      <c r="F878" s="2">
        <v>23</v>
      </c>
      <c r="G878" s="2" t="b">
        <v>0</v>
      </c>
      <c r="H878" s="2">
        <v>2</v>
      </c>
      <c r="I878" s="2">
        <v>1</v>
      </c>
      <c r="J878" s="2">
        <v>0.12</v>
      </c>
      <c r="K878" s="2">
        <v>0.1061</v>
      </c>
      <c r="L878" s="2">
        <v>0.33</v>
      </c>
      <c r="M878" s="2">
        <v>0.32840000000000003</v>
      </c>
      <c r="N878" s="2">
        <v>9</v>
      </c>
      <c r="O878" s="2">
        <v>12</v>
      </c>
      <c r="P878" s="2" t="str">
        <f t="shared" si="13"/>
        <v>Tuesday</v>
      </c>
      <c r="Q878" s="2" t="str">
        <f>IF(Table1[[#This Row],[temp]]&gt;=0.24,"cold","colder")</f>
        <v>colder</v>
      </c>
      <c r="R878" s="2">
        <v>3</v>
      </c>
      <c r="S878" s="16" t="str" cm="1">
        <f t="array" ref="S878">_xlfn.IFS(Table1[[#This Row],[weathersit]]=1,"clear sky",Table1[[#This Row],[weathersit]]=2,"mist",Table1[[#This Row],[weathersit]]=3,"partially dark",Table1[[#This Row],[weathersit]]=4,"rain")</f>
        <v>clear sky</v>
      </c>
    </row>
    <row r="879" spans="1:19" ht="13.8" x14ac:dyDescent="0.3">
      <c r="A879" s="2">
        <v>878</v>
      </c>
      <c r="B879" s="3">
        <v>40583</v>
      </c>
      <c r="C879" s="2">
        <v>1</v>
      </c>
      <c r="D879" s="2">
        <v>0</v>
      </c>
      <c r="E879" s="2">
        <v>2</v>
      </c>
      <c r="F879" s="2">
        <v>0</v>
      </c>
      <c r="G879" s="2" t="b">
        <v>0</v>
      </c>
      <c r="H879" s="2">
        <v>3</v>
      </c>
      <c r="I879" s="2">
        <v>1</v>
      </c>
      <c r="J879" s="2">
        <v>0.1</v>
      </c>
      <c r="K879" s="2">
        <v>7.5800000000000006E-2</v>
      </c>
      <c r="L879" s="2">
        <v>0.36</v>
      </c>
      <c r="M879" s="2">
        <v>0.35820000000000002</v>
      </c>
      <c r="N879" s="2">
        <v>17</v>
      </c>
      <c r="O879" s="2">
        <v>17</v>
      </c>
      <c r="P879" s="2" t="str">
        <f t="shared" si="13"/>
        <v>Wednesday</v>
      </c>
      <c r="Q879" s="2" t="str">
        <f>IF(Table1[[#This Row],[temp]]&gt;=0.24,"cold","colder")</f>
        <v>colder</v>
      </c>
      <c r="R879" s="2">
        <v>0</v>
      </c>
      <c r="S879" s="16" t="str" cm="1">
        <f t="array" ref="S879">_xlfn.IFS(Table1[[#This Row],[weathersit]]=1,"clear sky",Table1[[#This Row],[weathersit]]=2,"mist",Table1[[#This Row],[weathersit]]=3,"partially dark",Table1[[#This Row],[weathersit]]=4,"rain")</f>
        <v>clear sky</v>
      </c>
    </row>
    <row r="880" spans="1:19" ht="13.8" x14ac:dyDescent="0.3">
      <c r="A880" s="2">
        <v>879</v>
      </c>
      <c r="B880" s="3">
        <v>40583</v>
      </c>
      <c r="C880" s="2">
        <v>1</v>
      </c>
      <c r="D880" s="2">
        <v>0</v>
      </c>
      <c r="E880" s="2">
        <v>2</v>
      </c>
      <c r="F880" s="2">
        <v>1</v>
      </c>
      <c r="G880" s="2" t="b">
        <v>0</v>
      </c>
      <c r="H880" s="2">
        <v>3</v>
      </c>
      <c r="I880" s="2">
        <v>1</v>
      </c>
      <c r="J880" s="2">
        <v>0.1</v>
      </c>
      <c r="K880" s="2">
        <v>0.1061</v>
      </c>
      <c r="L880" s="2">
        <v>0.36</v>
      </c>
      <c r="M880" s="2">
        <v>0.22389999999999999</v>
      </c>
      <c r="N880" s="2">
        <v>7</v>
      </c>
      <c r="O880" s="2">
        <v>7</v>
      </c>
      <c r="P880" s="2" t="str">
        <f t="shared" si="13"/>
        <v>Wednesday</v>
      </c>
      <c r="Q880" s="2" t="str">
        <f>IF(Table1[[#This Row],[temp]]&gt;=0.24,"cold","colder")</f>
        <v>colder</v>
      </c>
      <c r="R880" s="2">
        <v>0</v>
      </c>
      <c r="S880" s="16" t="str" cm="1">
        <f t="array" ref="S880">_xlfn.IFS(Table1[[#This Row],[weathersit]]=1,"clear sky",Table1[[#This Row],[weathersit]]=2,"mist",Table1[[#This Row],[weathersit]]=3,"partially dark",Table1[[#This Row],[weathersit]]=4,"rain")</f>
        <v>clear sky</v>
      </c>
    </row>
    <row r="881" spans="1:19" ht="13.8" x14ac:dyDescent="0.3">
      <c r="A881" s="2">
        <v>880</v>
      </c>
      <c r="B881" s="3">
        <v>40583</v>
      </c>
      <c r="C881" s="2">
        <v>1</v>
      </c>
      <c r="D881" s="2">
        <v>0</v>
      </c>
      <c r="E881" s="2">
        <v>2</v>
      </c>
      <c r="F881" s="2">
        <v>2</v>
      </c>
      <c r="G881" s="2" t="b">
        <v>0</v>
      </c>
      <c r="H881" s="2">
        <v>3</v>
      </c>
      <c r="I881" s="2">
        <v>1</v>
      </c>
      <c r="J881" s="2">
        <v>0.08</v>
      </c>
      <c r="K881" s="2">
        <v>7.5800000000000006E-2</v>
      </c>
      <c r="L881" s="2">
        <v>0.38</v>
      </c>
      <c r="M881" s="2">
        <v>0.28360000000000002</v>
      </c>
      <c r="N881" s="2">
        <v>2</v>
      </c>
      <c r="O881" s="2">
        <v>3</v>
      </c>
      <c r="P881" s="2" t="str">
        <f t="shared" si="13"/>
        <v>Wednesday</v>
      </c>
      <c r="Q881" s="2" t="str">
        <f>IF(Table1[[#This Row],[temp]]&gt;=0.24,"cold","colder")</f>
        <v>colder</v>
      </c>
      <c r="R881" s="2">
        <v>1</v>
      </c>
      <c r="S881" s="16" t="str" cm="1">
        <f t="array" ref="S881">_xlfn.IFS(Table1[[#This Row],[weathersit]]=1,"clear sky",Table1[[#This Row],[weathersit]]=2,"mist",Table1[[#This Row],[weathersit]]=3,"partially dark",Table1[[#This Row],[weathersit]]=4,"rain")</f>
        <v>clear sky</v>
      </c>
    </row>
    <row r="882" spans="1:19" ht="13.8" x14ac:dyDescent="0.3">
      <c r="A882" s="2">
        <v>881</v>
      </c>
      <c r="B882" s="3">
        <v>40583</v>
      </c>
      <c r="C882" s="2">
        <v>1</v>
      </c>
      <c r="D882" s="2">
        <v>0</v>
      </c>
      <c r="E882" s="2">
        <v>2</v>
      </c>
      <c r="F882" s="2">
        <v>3</v>
      </c>
      <c r="G882" s="2" t="b">
        <v>0</v>
      </c>
      <c r="H882" s="2">
        <v>3</v>
      </c>
      <c r="I882" s="2">
        <v>1</v>
      </c>
      <c r="J882" s="2">
        <v>0.06</v>
      </c>
      <c r="K882" s="2">
        <v>7.5800000000000006E-2</v>
      </c>
      <c r="L882" s="2">
        <v>0.45</v>
      </c>
      <c r="M882" s="2">
        <v>0.1343</v>
      </c>
      <c r="N882" s="2">
        <v>2</v>
      </c>
      <c r="O882" s="2">
        <v>2</v>
      </c>
      <c r="P882" s="2" t="str">
        <f t="shared" si="13"/>
        <v>Wednesday</v>
      </c>
      <c r="Q882" s="2" t="str">
        <f>IF(Table1[[#This Row],[temp]]&gt;=0.24,"cold","colder")</f>
        <v>colder</v>
      </c>
      <c r="R882" s="2">
        <v>0</v>
      </c>
      <c r="S882" s="16" t="str" cm="1">
        <f t="array" ref="S882">_xlfn.IFS(Table1[[#This Row],[weathersit]]=1,"clear sky",Table1[[#This Row],[weathersit]]=2,"mist",Table1[[#This Row],[weathersit]]=3,"partially dark",Table1[[#This Row],[weathersit]]=4,"rain")</f>
        <v>clear sky</v>
      </c>
    </row>
    <row r="883" spans="1:19" ht="13.8" x14ac:dyDescent="0.3">
      <c r="A883" s="2">
        <v>882</v>
      </c>
      <c r="B883" s="3">
        <v>40583</v>
      </c>
      <c r="C883" s="2">
        <v>1</v>
      </c>
      <c r="D883" s="2">
        <v>0</v>
      </c>
      <c r="E883" s="2">
        <v>2</v>
      </c>
      <c r="F883" s="2">
        <v>5</v>
      </c>
      <c r="G883" s="2" t="b">
        <v>0</v>
      </c>
      <c r="H883" s="2">
        <v>3</v>
      </c>
      <c r="I883" s="2">
        <v>1</v>
      </c>
      <c r="J883" s="2">
        <v>0.06</v>
      </c>
      <c r="K883" s="2">
        <v>0.1061</v>
      </c>
      <c r="L883" s="2">
        <v>0.45</v>
      </c>
      <c r="M883" s="2">
        <v>0.1045</v>
      </c>
      <c r="N883" s="2">
        <v>7</v>
      </c>
      <c r="O883" s="2">
        <v>7</v>
      </c>
      <c r="P883" s="2" t="str">
        <f t="shared" si="13"/>
        <v>Wednesday</v>
      </c>
      <c r="Q883" s="2" t="str">
        <f>IF(Table1[[#This Row],[temp]]&gt;=0.24,"cold","colder")</f>
        <v>colder</v>
      </c>
      <c r="R883" s="2">
        <v>0</v>
      </c>
      <c r="S883" s="16" t="str" cm="1">
        <f t="array" ref="S883">_xlfn.IFS(Table1[[#This Row],[weathersit]]=1,"clear sky",Table1[[#This Row],[weathersit]]=2,"mist",Table1[[#This Row],[weathersit]]=3,"partially dark",Table1[[#This Row],[weathersit]]=4,"rain")</f>
        <v>clear sky</v>
      </c>
    </row>
    <row r="884" spans="1:19" ht="13.8" x14ac:dyDescent="0.3">
      <c r="A884" s="2">
        <v>883</v>
      </c>
      <c r="B884" s="3">
        <v>40583</v>
      </c>
      <c r="C884" s="2">
        <v>1</v>
      </c>
      <c r="D884" s="2">
        <v>0</v>
      </c>
      <c r="E884" s="2">
        <v>2</v>
      </c>
      <c r="F884" s="2">
        <v>6</v>
      </c>
      <c r="G884" s="2" t="b">
        <v>0</v>
      </c>
      <c r="H884" s="2">
        <v>3</v>
      </c>
      <c r="I884" s="2">
        <v>1</v>
      </c>
      <c r="J884" s="2">
        <v>0.06</v>
      </c>
      <c r="K884" s="2">
        <v>0.1515</v>
      </c>
      <c r="L884" s="2">
        <v>0.45</v>
      </c>
      <c r="M884" s="2">
        <v>0</v>
      </c>
      <c r="N884" s="2">
        <v>43</v>
      </c>
      <c r="O884" s="2">
        <v>43</v>
      </c>
      <c r="P884" s="2" t="str">
        <f t="shared" si="13"/>
        <v>Wednesday</v>
      </c>
      <c r="Q884" s="2" t="str">
        <f>IF(Table1[[#This Row],[temp]]&gt;=0.24,"cold","colder")</f>
        <v>colder</v>
      </c>
      <c r="R884" s="2">
        <v>0</v>
      </c>
      <c r="S884" s="16" t="str" cm="1">
        <f t="array" ref="S884">_xlfn.IFS(Table1[[#This Row],[weathersit]]=1,"clear sky",Table1[[#This Row],[weathersit]]=2,"mist",Table1[[#This Row],[weathersit]]=3,"partially dark",Table1[[#This Row],[weathersit]]=4,"rain")</f>
        <v>clear sky</v>
      </c>
    </row>
    <row r="885" spans="1:19" ht="13.8" x14ac:dyDescent="0.3">
      <c r="A885" s="2">
        <v>884</v>
      </c>
      <c r="B885" s="3">
        <v>40583</v>
      </c>
      <c r="C885" s="2">
        <v>1</v>
      </c>
      <c r="D885" s="2">
        <v>0</v>
      </c>
      <c r="E885" s="2">
        <v>2</v>
      </c>
      <c r="F885" s="2">
        <v>7</v>
      </c>
      <c r="G885" s="2" t="b">
        <v>0</v>
      </c>
      <c r="H885" s="2">
        <v>3</v>
      </c>
      <c r="I885" s="2">
        <v>1</v>
      </c>
      <c r="J885" s="2">
        <v>0.06</v>
      </c>
      <c r="K885" s="2">
        <v>0.1061</v>
      </c>
      <c r="L885" s="2">
        <v>0.49</v>
      </c>
      <c r="M885" s="2">
        <v>0.1045</v>
      </c>
      <c r="N885" s="2">
        <v>95</v>
      </c>
      <c r="O885" s="2">
        <v>99</v>
      </c>
      <c r="P885" s="2" t="str">
        <f t="shared" si="13"/>
        <v>Wednesday</v>
      </c>
      <c r="Q885" s="2" t="str">
        <f>IF(Table1[[#This Row],[temp]]&gt;=0.24,"cold","colder")</f>
        <v>colder</v>
      </c>
      <c r="R885" s="2">
        <v>4</v>
      </c>
      <c r="S885" s="16" t="str" cm="1">
        <f t="array" ref="S885">_xlfn.IFS(Table1[[#This Row],[weathersit]]=1,"clear sky",Table1[[#This Row],[weathersit]]=2,"mist",Table1[[#This Row],[weathersit]]=3,"partially dark",Table1[[#This Row],[weathersit]]=4,"rain")</f>
        <v>clear sky</v>
      </c>
    </row>
    <row r="886" spans="1:19" ht="13.8" x14ac:dyDescent="0.3">
      <c r="A886" s="2">
        <v>885</v>
      </c>
      <c r="B886" s="3">
        <v>40583</v>
      </c>
      <c r="C886" s="2">
        <v>1</v>
      </c>
      <c r="D886" s="2">
        <v>0</v>
      </c>
      <c r="E886" s="2">
        <v>2</v>
      </c>
      <c r="F886" s="2">
        <v>8</v>
      </c>
      <c r="G886" s="2" t="b">
        <v>0</v>
      </c>
      <c r="H886" s="2">
        <v>3</v>
      </c>
      <c r="I886" s="2">
        <v>1</v>
      </c>
      <c r="J886" s="2">
        <v>0.1</v>
      </c>
      <c r="K886" s="2">
        <v>0.13639999999999999</v>
      </c>
      <c r="L886" s="2">
        <v>0.42</v>
      </c>
      <c r="M886" s="2">
        <v>0</v>
      </c>
      <c r="N886" s="2">
        <v>198</v>
      </c>
      <c r="O886" s="2">
        <v>199</v>
      </c>
      <c r="P886" s="2" t="str">
        <f t="shared" si="13"/>
        <v>Wednesday</v>
      </c>
      <c r="Q886" s="2" t="str">
        <f>IF(Table1[[#This Row],[temp]]&gt;=0.24,"cold","colder")</f>
        <v>colder</v>
      </c>
      <c r="R886" s="2">
        <v>1</v>
      </c>
      <c r="S886" s="16" t="str" cm="1">
        <f t="array" ref="S886">_xlfn.IFS(Table1[[#This Row],[weathersit]]=1,"clear sky",Table1[[#This Row],[weathersit]]=2,"mist",Table1[[#This Row],[weathersit]]=3,"partially dark",Table1[[#This Row],[weathersit]]=4,"rain")</f>
        <v>clear sky</v>
      </c>
    </row>
    <row r="887" spans="1:19" ht="13.8" x14ac:dyDescent="0.3">
      <c r="A887" s="2">
        <v>886</v>
      </c>
      <c r="B887" s="3">
        <v>40583</v>
      </c>
      <c r="C887" s="2">
        <v>1</v>
      </c>
      <c r="D887" s="2">
        <v>0</v>
      </c>
      <c r="E887" s="2">
        <v>2</v>
      </c>
      <c r="F887" s="2">
        <v>9</v>
      </c>
      <c r="G887" s="2" t="b">
        <v>0</v>
      </c>
      <c r="H887" s="2">
        <v>3</v>
      </c>
      <c r="I887" s="2">
        <v>1</v>
      </c>
      <c r="J887" s="2">
        <v>0.12</v>
      </c>
      <c r="K887" s="2">
        <v>0.13639999999999999</v>
      </c>
      <c r="L887" s="2">
        <v>0.39</v>
      </c>
      <c r="M887" s="2">
        <v>0.16420000000000001</v>
      </c>
      <c r="N887" s="2">
        <v>119</v>
      </c>
      <c r="O887" s="2">
        <v>123</v>
      </c>
      <c r="P887" s="2" t="str">
        <f t="shared" si="13"/>
        <v>Wednesday</v>
      </c>
      <c r="Q887" s="2" t="str">
        <f>IF(Table1[[#This Row],[temp]]&gt;=0.24,"cold","colder")</f>
        <v>colder</v>
      </c>
      <c r="R887" s="2">
        <v>4</v>
      </c>
      <c r="S887" s="16" t="str" cm="1">
        <f t="array" ref="S887">_xlfn.IFS(Table1[[#This Row],[weathersit]]=1,"clear sky",Table1[[#This Row],[weathersit]]=2,"mist",Table1[[#This Row],[weathersit]]=3,"partially dark",Table1[[#This Row],[weathersit]]=4,"rain")</f>
        <v>clear sky</v>
      </c>
    </row>
    <row r="888" spans="1:19" ht="13.8" x14ac:dyDescent="0.3">
      <c r="A888" s="2">
        <v>887</v>
      </c>
      <c r="B888" s="3">
        <v>40583</v>
      </c>
      <c r="C888" s="2">
        <v>1</v>
      </c>
      <c r="D888" s="2">
        <v>0</v>
      </c>
      <c r="E888" s="2">
        <v>2</v>
      </c>
      <c r="F888" s="2">
        <v>10</v>
      </c>
      <c r="G888" s="2" t="b">
        <v>0</v>
      </c>
      <c r="H888" s="2">
        <v>3</v>
      </c>
      <c r="I888" s="2">
        <v>1</v>
      </c>
      <c r="J888" s="2">
        <v>0.14000000000000001</v>
      </c>
      <c r="K888" s="2">
        <v>0.18179999999999999</v>
      </c>
      <c r="L888" s="2">
        <v>0.36</v>
      </c>
      <c r="M888" s="2">
        <v>0</v>
      </c>
      <c r="N888" s="2">
        <v>51</v>
      </c>
      <c r="O888" s="2">
        <v>59</v>
      </c>
      <c r="P888" s="2" t="str">
        <f t="shared" si="13"/>
        <v>Wednesday</v>
      </c>
      <c r="Q888" s="2" t="str">
        <f>IF(Table1[[#This Row],[temp]]&gt;=0.24,"cold","colder")</f>
        <v>colder</v>
      </c>
      <c r="R888" s="2">
        <v>8</v>
      </c>
      <c r="S888" s="16" t="str" cm="1">
        <f t="array" ref="S888">_xlfn.IFS(Table1[[#This Row],[weathersit]]=1,"clear sky",Table1[[#This Row],[weathersit]]=2,"mist",Table1[[#This Row],[weathersit]]=3,"partially dark",Table1[[#This Row],[weathersit]]=4,"rain")</f>
        <v>clear sky</v>
      </c>
    </row>
    <row r="889" spans="1:19" ht="13.8" x14ac:dyDescent="0.3">
      <c r="A889" s="2">
        <v>888</v>
      </c>
      <c r="B889" s="3">
        <v>40583</v>
      </c>
      <c r="C889" s="2">
        <v>1</v>
      </c>
      <c r="D889" s="2">
        <v>0</v>
      </c>
      <c r="E889" s="2">
        <v>2</v>
      </c>
      <c r="F889" s="2">
        <v>11</v>
      </c>
      <c r="G889" s="2" t="b">
        <v>0</v>
      </c>
      <c r="H889" s="2">
        <v>3</v>
      </c>
      <c r="I889" s="2">
        <v>2</v>
      </c>
      <c r="J889" s="2">
        <v>0.14000000000000001</v>
      </c>
      <c r="K889" s="2">
        <v>0.1515</v>
      </c>
      <c r="L889" s="2">
        <v>0.43</v>
      </c>
      <c r="M889" s="2">
        <v>0.16420000000000001</v>
      </c>
      <c r="N889" s="2">
        <v>40</v>
      </c>
      <c r="O889" s="2">
        <v>41</v>
      </c>
      <c r="P889" s="2" t="str">
        <f t="shared" si="13"/>
        <v>Wednesday</v>
      </c>
      <c r="Q889" s="2" t="str">
        <f>IF(Table1[[#This Row],[temp]]&gt;=0.24,"cold","colder")</f>
        <v>colder</v>
      </c>
      <c r="R889" s="2">
        <v>1</v>
      </c>
      <c r="S889" s="16" t="str" cm="1">
        <f t="array" ref="S889">_xlfn.IFS(Table1[[#This Row],[weathersit]]=1,"clear sky",Table1[[#This Row],[weathersit]]=2,"mist",Table1[[#This Row],[weathersit]]=3,"partially dark",Table1[[#This Row],[weathersit]]=4,"rain")</f>
        <v>mist</v>
      </c>
    </row>
    <row r="890" spans="1:19" ht="13.8" x14ac:dyDescent="0.3">
      <c r="A890" s="2">
        <v>889</v>
      </c>
      <c r="B890" s="3">
        <v>40583</v>
      </c>
      <c r="C890" s="2">
        <v>1</v>
      </c>
      <c r="D890" s="2">
        <v>0</v>
      </c>
      <c r="E890" s="2">
        <v>2</v>
      </c>
      <c r="F890" s="2">
        <v>12</v>
      </c>
      <c r="G890" s="2" t="b">
        <v>0</v>
      </c>
      <c r="H890" s="2">
        <v>3</v>
      </c>
      <c r="I890" s="2">
        <v>2</v>
      </c>
      <c r="J890" s="2">
        <v>0.18</v>
      </c>
      <c r="K890" s="2">
        <v>0.18179999999999999</v>
      </c>
      <c r="L890" s="2">
        <v>0.4</v>
      </c>
      <c r="M890" s="2">
        <v>0.22389999999999999</v>
      </c>
      <c r="N890" s="2">
        <v>57</v>
      </c>
      <c r="O890" s="2">
        <v>61</v>
      </c>
      <c r="P890" s="2" t="str">
        <f t="shared" si="13"/>
        <v>Wednesday</v>
      </c>
      <c r="Q890" s="2" t="str">
        <f>IF(Table1[[#This Row],[temp]]&gt;=0.24,"cold","colder")</f>
        <v>colder</v>
      </c>
      <c r="R890" s="2">
        <v>4</v>
      </c>
      <c r="S890" s="16" t="str" cm="1">
        <f t="array" ref="S890">_xlfn.IFS(Table1[[#This Row],[weathersit]]=1,"clear sky",Table1[[#This Row],[weathersit]]=2,"mist",Table1[[#This Row],[weathersit]]=3,"partially dark",Table1[[#This Row],[weathersit]]=4,"rain")</f>
        <v>mist</v>
      </c>
    </row>
    <row r="891" spans="1:19" ht="13.8" x14ac:dyDescent="0.3">
      <c r="A891" s="2">
        <v>890</v>
      </c>
      <c r="B891" s="3">
        <v>40583</v>
      </c>
      <c r="C891" s="2">
        <v>1</v>
      </c>
      <c r="D891" s="2">
        <v>0</v>
      </c>
      <c r="E891" s="2">
        <v>2</v>
      </c>
      <c r="F891" s="2">
        <v>13</v>
      </c>
      <c r="G891" s="2" t="b">
        <v>0</v>
      </c>
      <c r="H891" s="2">
        <v>3</v>
      </c>
      <c r="I891" s="2">
        <v>1</v>
      </c>
      <c r="J891" s="2">
        <v>0.18</v>
      </c>
      <c r="K891" s="2">
        <v>0.16669999999999999</v>
      </c>
      <c r="L891" s="2">
        <v>0.4</v>
      </c>
      <c r="M891" s="2">
        <v>0.25369999999999998</v>
      </c>
      <c r="N891" s="2">
        <v>67</v>
      </c>
      <c r="O891" s="2">
        <v>69</v>
      </c>
      <c r="P891" s="2" t="str">
        <f t="shared" si="13"/>
        <v>Wednesday</v>
      </c>
      <c r="Q891" s="2" t="str">
        <f>IF(Table1[[#This Row],[temp]]&gt;=0.24,"cold","colder")</f>
        <v>colder</v>
      </c>
      <c r="R891" s="2">
        <v>2</v>
      </c>
      <c r="S891" s="16" t="str" cm="1">
        <f t="array" ref="S891">_xlfn.IFS(Table1[[#This Row],[weathersit]]=1,"clear sky",Table1[[#This Row],[weathersit]]=2,"mist",Table1[[#This Row],[weathersit]]=3,"partially dark",Table1[[#This Row],[weathersit]]=4,"rain")</f>
        <v>clear sky</v>
      </c>
    </row>
    <row r="892" spans="1:19" ht="13.8" x14ac:dyDescent="0.3">
      <c r="A892" s="2">
        <v>891</v>
      </c>
      <c r="B892" s="3">
        <v>40583</v>
      </c>
      <c r="C892" s="2">
        <v>1</v>
      </c>
      <c r="D892" s="2">
        <v>0</v>
      </c>
      <c r="E892" s="2">
        <v>2</v>
      </c>
      <c r="F892" s="2">
        <v>14</v>
      </c>
      <c r="G892" s="2" t="b">
        <v>0</v>
      </c>
      <c r="H892" s="2">
        <v>3</v>
      </c>
      <c r="I892" s="2">
        <v>1</v>
      </c>
      <c r="J892" s="2">
        <v>0.2</v>
      </c>
      <c r="K892" s="2">
        <v>0.18179999999999999</v>
      </c>
      <c r="L892" s="2">
        <v>0.34</v>
      </c>
      <c r="M892" s="2">
        <v>0.29849999999999999</v>
      </c>
      <c r="N892" s="2">
        <v>56</v>
      </c>
      <c r="O892" s="2">
        <v>58</v>
      </c>
      <c r="P892" s="2" t="str">
        <f t="shared" si="13"/>
        <v>Wednesday</v>
      </c>
      <c r="Q892" s="2" t="str">
        <f>IF(Table1[[#This Row],[temp]]&gt;=0.24,"cold","colder")</f>
        <v>colder</v>
      </c>
      <c r="R892" s="2">
        <v>2</v>
      </c>
      <c r="S892" s="16" t="str" cm="1">
        <f t="array" ref="S892">_xlfn.IFS(Table1[[#This Row],[weathersit]]=1,"clear sky",Table1[[#This Row],[weathersit]]=2,"mist",Table1[[#This Row],[weathersit]]=3,"partially dark",Table1[[#This Row],[weathersit]]=4,"rain")</f>
        <v>clear sky</v>
      </c>
    </row>
    <row r="893" spans="1:19" ht="13.8" x14ac:dyDescent="0.3">
      <c r="A893" s="2">
        <v>892</v>
      </c>
      <c r="B893" s="3">
        <v>40583</v>
      </c>
      <c r="C893" s="2">
        <v>1</v>
      </c>
      <c r="D893" s="2">
        <v>0</v>
      </c>
      <c r="E893" s="2">
        <v>2</v>
      </c>
      <c r="F893" s="2">
        <v>15</v>
      </c>
      <c r="G893" s="2" t="b">
        <v>0</v>
      </c>
      <c r="H893" s="2">
        <v>3</v>
      </c>
      <c r="I893" s="2">
        <v>2</v>
      </c>
      <c r="J893" s="2">
        <v>0.2</v>
      </c>
      <c r="K893" s="2">
        <v>0.18179999999999999</v>
      </c>
      <c r="L893" s="2">
        <v>0.34</v>
      </c>
      <c r="M893" s="2">
        <v>0.28360000000000002</v>
      </c>
      <c r="N893" s="2">
        <v>61</v>
      </c>
      <c r="O893" s="2">
        <v>64</v>
      </c>
      <c r="P893" s="2" t="str">
        <f t="shared" si="13"/>
        <v>Wednesday</v>
      </c>
      <c r="Q893" s="2" t="str">
        <f>IF(Table1[[#This Row],[temp]]&gt;=0.24,"cold","colder")</f>
        <v>colder</v>
      </c>
      <c r="R893" s="2">
        <v>3</v>
      </c>
      <c r="S893" s="16" t="str" cm="1">
        <f t="array" ref="S893">_xlfn.IFS(Table1[[#This Row],[weathersit]]=1,"clear sky",Table1[[#This Row],[weathersit]]=2,"mist",Table1[[#This Row],[weathersit]]=3,"partially dark",Table1[[#This Row],[weathersit]]=4,"rain")</f>
        <v>mist</v>
      </c>
    </row>
    <row r="894" spans="1:19" ht="13.8" x14ac:dyDescent="0.3">
      <c r="A894" s="2">
        <v>893</v>
      </c>
      <c r="B894" s="3">
        <v>40583</v>
      </c>
      <c r="C894" s="2">
        <v>1</v>
      </c>
      <c r="D894" s="2">
        <v>0</v>
      </c>
      <c r="E894" s="2">
        <v>2</v>
      </c>
      <c r="F894" s="2">
        <v>16</v>
      </c>
      <c r="G894" s="2" t="b">
        <v>0</v>
      </c>
      <c r="H894" s="2">
        <v>3</v>
      </c>
      <c r="I894" s="2">
        <v>2</v>
      </c>
      <c r="J894" s="2">
        <v>0.2</v>
      </c>
      <c r="K894" s="2">
        <v>0.19700000000000001</v>
      </c>
      <c r="L894" s="2">
        <v>0.37</v>
      </c>
      <c r="M894" s="2">
        <v>0.25369999999999998</v>
      </c>
      <c r="N894" s="2">
        <v>72</v>
      </c>
      <c r="O894" s="2">
        <v>79</v>
      </c>
      <c r="P894" s="2" t="str">
        <f t="shared" si="13"/>
        <v>Wednesday</v>
      </c>
      <c r="Q894" s="2" t="str">
        <f>IF(Table1[[#This Row],[temp]]&gt;=0.24,"cold","colder")</f>
        <v>colder</v>
      </c>
      <c r="R894" s="2">
        <v>7</v>
      </c>
      <c r="S894" s="16" t="str" cm="1">
        <f t="array" ref="S894">_xlfn.IFS(Table1[[#This Row],[weathersit]]=1,"clear sky",Table1[[#This Row],[weathersit]]=2,"mist",Table1[[#This Row],[weathersit]]=3,"partially dark",Table1[[#This Row],[weathersit]]=4,"rain")</f>
        <v>mist</v>
      </c>
    </row>
    <row r="895" spans="1:19" ht="13.8" x14ac:dyDescent="0.3">
      <c r="A895" s="2">
        <v>894</v>
      </c>
      <c r="B895" s="3">
        <v>40583</v>
      </c>
      <c r="C895" s="2">
        <v>1</v>
      </c>
      <c r="D895" s="2">
        <v>0</v>
      </c>
      <c r="E895" s="2">
        <v>2</v>
      </c>
      <c r="F895" s="2">
        <v>17</v>
      </c>
      <c r="G895" s="2" t="b">
        <v>0</v>
      </c>
      <c r="H895" s="2">
        <v>3</v>
      </c>
      <c r="I895" s="2">
        <v>2</v>
      </c>
      <c r="J895" s="2">
        <v>0.2</v>
      </c>
      <c r="K895" s="2">
        <v>0.19700000000000001</v>
      </c>
      <c r="L895" s="2">
        <v>0.34</v>
      </c>
      <c r="M895" s="2">
        <v>0.25369999999999998</v>
      </c>
      <c r="N895" s="2">
        <v>157</v>
      </c>
      <c r="O895" s="2">
        <v>166</v>
      </c>
      <c r="P895" s="2" t="str">
        <f t="shared" si="13"/>
        <v>Wednesday</v>
      </c>
      <c r="Q895" s="2" t="str">
        <f>IF(Table1[[#This Row],[temp]]&gt;=0.24,"cold","colder")</f>
        <v>colder</v>
      </c>
      <c r="R895" s="2">
        <v>9</v>
      </c>
      <c r="S895" s="16" t="str" cm="1">
        <f t="array" ref="S895">_xlfn.IFS(Table1[[#This Row],[weathersit]]=1,"clear sky",Table1[[#This Row],[weathersit]]=2,"mist",Table1[[#This Row],[weathersit]]=3,"partially dark",Table1[[#This Row],[weathersit]]=4,"rain")</f>
        <v>mist</v>
      </c>
    </row>
    <row r="896" spans="1:19" ht="13.8" x14ac:dyDescent="0.3">
      <c r="A896" s="2">
        <v>895</v>
      </c>
      <c r="B896" s="3">
        <v>40583</v>
      </c>
      <c r="C896" s="2">
        <v>1</v>
      </c>
      <c r="D896" s="2">
        <v>0</v>
      </c>
      <c r="E896" s="2">
        <v>2</v>
      </c>
      <c r="F896" s="2">
        <v>18</v>
      </c>
      <c r="G896" s="2" t="b">
        <v>0</v>
      </c>
      <c r="H896" s="2">
        <v>3</v>
      </c>
      <c r="I896" s="2">
        <v>2</v>
      </c>
      <c r="J896" s="2">
        <v>0.18</v>
      </c>
      <c r="K896" s="2">
        <v>0.16669999999999999</v>
      </c>
      <c r="L896" s="2">
        <v>0.47</v>
      </c>
      <c r="M896" s="2">
        <v>0.29849999999999999</v>
      </c>
      <c r="N896" s="2">
        <v>168</v>
      </c>
      <c r="O896" s="2">
        <v>170</v>
      </c>
      <c r="P896" s="2" t="str">
        <f t="shared" si="13"/>
        <v>Wednesday</v>
      </c>
      <c r="Q896" s="2" t="str">
        <f>IF(Table1[[#This Row],[temp]]&gt;=0.24,"cold","colder")</f>
        <v>colder</v>
      </c>
      <c r="R896" s="2">
        <v>2</v>
      </c>
      <c r="S896" s="16" t="str" cm="1">
        <f t="array" ref="S896">_xlfn.IFS(Table1[[#This Row],[weathersit]]=1,"clear sky",Table1[[#This Row],[weathersit]]=2,"mist",Table1[[#This Row],[weathersit]]=3,"partially dark",Table1[[#This Row],[weathersit]]=4,"rain")</f>
        <v>mist</v>
      </c>
    </row>
    <row r="897" spans="1:19" ht="13.8" x14ac:dyDescent="0.3">
      <c r="A897" s="2">
        <v>896</v>
      </c>
      <c r="B897" s="3">
        <v>40583</v>
      </c>
      <c r="C897" s="2">
        <v>1</v>
      </c>
      <c r="D897" s="2">
        <v>0</v>
      </c>
      <c r="E897" s="2">
        <v>2</v>
      </c>
      <c r="F897" s="2">
        <v>19</v>
      </c>
      <c r="G897" s="2" t="b">
        <v>0</v>
      </c>
      <c r="H897" s="2">
        <v>3</v>
      </c>
      <c r="I897" s="2">
        <v>3</v>
      </c>
      <c r="J897" s="2">
        <v>0.14000000000000001</v>
      </c>
      <c r="K897" s="2">
        <v>0.1212</v>
      </c>
      <c r="L897" s="2">
        <v>0.86</v>
      </c>
      <c r="M897" s="2">
        <v>0.25369999999999998</v>
      </c>
      <c r="N897" s="2">
        <v>87</v>
      </c>
      <c r="O897" s="2">
        <v>88</v>
      </c>
      <c r="P897" s="2" t="str">
        <f t="shared" si="13"/>
        <v>Wednesday</v>
      </c>
      <c r="Q897" s="2" t="str">
        <f>IF(Table1[[#This Row],[temp]]&gt;=0.24,"cold","colder")</f>
        <v>colder</v>
      </c>
      <c r="R897" s="2">
        <v>1</v>
      </c>
      <c r="S897" s="16" t="str" cm="1">
        <f t="array" ref="S897">_xlfn.IFS(Table1[[#This Row],[weathersit]]=1,"clear sky",Table1[[#This Row],[weathersit]]=2,"mist",Table1[[#This Row],[weathersit]]=3,"partially dark",Table1[[#This Row],[weathersit]]=4,"rain")</f>
        <v>partially dark</v>
      </c>
    </row>
    <row r="898" spans="1:19" ht="13.8" x14ac:dyDescent="0.3">
      <c r="A898" s="2">
        <v>897</v>
      </c>
      <c r="B898" s="3">
        <v>40583</v>
      </c>
      <c r="C898" s="2">
        <v>1</v>
      </c>
      <c r="D898" s="2">
        <v>0</v>
      </c>
      <c r="E898" s="2">
        <v>2</v>
      </c>
      <c r="F898" s="2">
        <v>20</v>
      </c>
      <c r="G898" s="2" t="b">
        <v>0</v>
      </c>
      <c r="H898" s="2">
        <v>3</v>
      </c>
      <c r="I898" s="2">
        <v>3</v>
      </c>
      <c r="J898" s="2">
        <v>0.14000000000000001</v>
      </c>
      <c r="K898" s="2">
        <v>0.1515</v>
      </c>
      <c r="L898" s="2">
        <v>0.86</v>
      </c>
      <c r="M898" s="2">
        <v>0.16420000000000001</v>
      </c>
      <c r="N898" s="2">
        <v>84</v>
      </c>
      <c r="O898" s="2">
        <v>84</v>
      </c>
      <c r="P898" s="2" t="str">
        <f t="shared" ref="P898:P961" si="14">TEXT(B898,"dddd")</f>
        <v>Wednesday</v>
      </c>
      <c r="Q898" s="2" t="str">
        <f>IF(Table1[[#This Row],[temp]]&gt;=0.24,"cold","colder")</f>
        <v>colder</v>
      </c>
      <c r="R898" s="2">
        <v>0</v>
      </c>
      <c r="S898" s="16" t="str" cm="1">
        <f t="array" ref="S898">_xlfn.IFS(Table1[[#This Row],[weathersit]]=1,"clear sky",Table1[[#This Row],[weathersit]]=2,"mist",Table1[[#This Row],[weathersit]]=3,"partially dark",Table1[[#This Row],[weathersit]]=4,"rain")</f>
        <v>partially dark</v>
      </c>
    </row>
    <row r="899" spans="1:19" ht="13.8" x14ac:dyDescent="0.3">
      <c r="A899" s="2">
        <v>898</v>
      </c>
      <c r="B899" s="3">
        <v>40583</v>
      </c>
      <c r="C899" s="2">
        <v>1</v>
      </c>
      <c r="D899" s="2">
        <v>0</v>
      </c>
      <c r="E899" s="2">
        <v>2</v>
      </c>
      <c r="F899" s="2">
        <v>21</v>
      </c>
      <c r="G899" s="2" t="b">
        <v>0</v>
      </c>
      <c r="H899" s="2">
        <v>3</v>
      </c>
      <c r="I899" s="2">
        <v>2</v>
      </c>
      <c r="J899" s="2">
        <v>0.14000000000000001</v>
      </c>
      <c r="K899" s="2">
        <v>0.1515</v>
      </c>
      <c r="L899" s="2">
        <v>0.86</v>
      </c>
      <c r="M899" s="2">
        <v>0.16420000000000001</v>
      </c>
      <c r="N899" s="2">
        <v>83</v>
      </c>
      <c r="O899" s="2">
        <v>83</v>
      </c>
      <c r="P899" s="2" t="str">
        <f t="shared" si="14"/>
        <v>Wednesday</v>
      </c>
      <c r="Q899" s="2" t="str">
        <f>IF(Table1[[#This Row],[temp]]&gt;=0.24,"cold","colder")</f>
        <v>colder</v>
      </c>
      <c r="R899" s="2">
        <v>0</v>
      </c>
      <c r="S899" s="16" t="str" cm="1">
        <f t="array" ref="S899">_xlfn.IFS(Table1[[#This Row],[weathersit]]=1,"clear sky",Table1[[#This Row],[weathersit]]=2,"mist",Table1[[#This Row],[weathersit]]=3,"partially dark",Table1[[#This Row],[weathersit]]=4,"rain")</f>
        <v>mist</v>
      </c>
    </row>
    <row r="900" spans="1:19" ht="13.8" x14ac:dyDescent="0.3">
      <c r="A900" s="2">
        <v>899</v>
      </c>
      <c r="B900" s="3">
        <v>40583</v>
      </c>
      <c r="C900" s="2">
        <v>1</v>
      </c>
      <c r="D900" s="2">
        <v>0</v>
      </c>
      <c r="E900" s="2">
        <v>2</v>
      </c>
      <c r="F900" s="2">
        <v>22</v>
      </c>
      <c r="G900" s="2" t="b">
        <v>0</v>
      </c>
      <c r="H900" s="2">
        <v>3</v>
      </c>
      <c r="I900" s="2">
        <v>3</v>
      </c>
      <c r="J900" s="2">
        <v>0.16</v>
      </c>
      <c r="K900" s="2">
        <v>0.16669999999999999</v>
      </c>
      <c r="L900" s="2">
        <v>0.8</v>
      </c>
      <c r="M900" s="2">
        <v>0.16420000000000001</v>
      </c>
      <c r="N900" s="2">
        <v>42</v>
      </c>
      <c r="O900" s="2">
        <v>46</v>
      </c>
      <c r="P900" s="2" t="str">
        <f t="shared" si="14"/>
        <v>Wednesday</v>
      </c>
      <c r="Q900" s="2" t="str">
        <f>IF(Table1[[#This Row],[temp]]&gt;=0.24,"cold","colder")</f>
        <v>colder</v>
      </c>
      <c r="R900" s="2">
        <v>4</v>
      </c>
      <c r="S900" s="16" t="str" cm="1">
        <f t="array" ref="S900">_xlfn.IFS(Table1[[#This Row],[weathersit]]=1,"clear sky",Table1[[#This Row],[weathersit]]=2,"mist",Table1[[#This Row],[weathersit]]=3,"partially dark",Table1[[#This Row],[weathersit]]=4,"rain")</f>
        <v>partially dark</v>
      </c>
    </row>
    <row r="901" spans="1:19" ht="13.8" x14ac:dyDescent="0.3">
      <c r="A901" s="2">
        <v>900</v>
      </c>
      <c r="B901" s="3">
        <v>40583</v>
      </c>
      <c r="C901" s="2">
        <v>1</v>
      </c>
      <c r="D901" s="2">
        <v>0</v>
      </c>
      <c r="E901" s="2">
        <v>2</v>
      </c>
      <c r="F901" s="2">
        <v>23</v>
      </c>
      <c r="G901" s="2" t="b">
        <v>0</v>
      </c>
      <c r="H901" s="2">
        <v>3</v>
      </c>
      <c r="I901" s="2">
        <v>3</v>
      </c>
      <c r="J901" s="2">
        <v>0.16</v>
      </c>
      <c r="K901" s="2">
        <v>0.1515</v>
      </c>
      <c r="L901" s="2">
        <v>0.8</v>
      </c>
      <c r="M901" s="2">
        <v>0.19400000000000001</v>
      </c>
      <c r="N901" s="2">
        <v>37</v>
      </c>
      <c r="O901" s="2">
        <v>37</v>
      </c>
      <c r="P901" s="2" t="str">
        <f t="shared" si="14"/>
        <v>Wednesday</v>
      </c>
      <c r="Q901" s="2" t="str">
        <f>IF(Table1[[#This Row],[temp]]&gt;=0.24,"cold","colder")</f>
        <v>colder</v>
      </c>
      <c r="R901" s="2">
        <v>0</v>
      </c>
      <c r="S901" s="16" t="str" cm="1">
        <f t="array" ref="S901">_xlfn.IFS(Table1[[#This Row],[weathersit]]=1,"clear sky",Table1[[#This Row],[weathersit]]=2,"mist",Table1[[#This Row],[weathersit]]=3,"partially dark",Table1[[#This Row],[weathersit]]=4,"rain")</f>
        <v>partially dark</v>
      </c>
    </row>
    <row r="902" spans="1:19" ht="13.8" x14ac:dyDescent="0.3">
      <c r="A902" s="2">
        <v>901</v>
      </c>
      <c r="B902" s="3">
        <v>40584</v>
      </c>
      <c r="C902" s="2">
        <v>1</v>
      </c>
      <c r="D902" s="2">
        <v>0</v>
      </c>
      <c r="E902" s="2">
        <v>2</v>
      </c>
      <c r="F902" s="2">
        <v>0</v>
      </c>
      <c r="G902" s="2" t="b">
        <v>0</v>
      </c>
      <c r="H902" s="2">
        <v>4</v>
      </c>
      <c r="I902" s="2">
        <v>3</v>
      </c>
      <c r="J902" s="2">
        <v>0.14000000000000001</v>
      </c>
      <c r="K902" s="2">
        <v>0.13639999999999999</v>
      </c>
      <c r="L902" s="2">
        <v>0.86</v>
      </c>
      <c r="M902" s="2">
        <v>0.19400000000000001</v>
      </c>
      <c r="N902" s="2">
        <v>16</v>
      </c>
      <c r="O902" s="2">
        <v>16</v>
      </c>
      <c r="P902" s="2" t="str">
        <f t="shared" si="14"/>
        <v>Thursday</v>
      </c>
      <c r="Q902" s="2" t="str">
        <f>IF(Table1[[#This Row],[temp]]&gt;=0.24,"cold","colder")</f>
        <v>colder</v>
      </c>
      <c r="R902" s="2">
        <v>0</v>
      </c>
      <c r="S902" s="16" t="str" cm="1">
        <f t="array" ref="S902">_xlfn.IFS(Table1[[#This Row],[weathersit]]=1,"clear sky",Table1[[#This Row],[weathersit]]=2,"mist",Table1[[#This Row],[weathersit]]=3,"partially dark",Table1[[#This Row],[weathersit]]=4,"rain")</f>
        <v>partially dark</v>
      </c>
    </row>
    <row r="903" spans="1:19" ht="13.8" x14ac:dyDescent="0.3">
      <c r="A903" s="2">
        <v>902</v>
      </c>
      <c r="B903" s="3">
        <v>40584</v>
      </c>
      <c r="C903" s="2">
        <v>1</v>
      </c>
      <c r="D903" s="2">
        <v>0</v>
      </c>
      <c r="E903" s="2">
        <v>2</v>
      </c>
      <c r="F903" s="2">
        <v>1</v>
      </c>
      <c r="G903" s="2" t="b">
        <v>0</v>
      </c>
      <c r="H903" s="2">
        <v>4</v>
      </c>
      <c r="I903" s="2">
        <v>3</v>
      </c>
      <c r="J903" s="2">
        <v>0.14000000000000001</v>
      </c>
      <c r="K903" s="2">
        <v>0.1515</v>
      </c>
      <c r="L903" s="2">
        <v>0.8</v>
      </c>
      <c r="M903" s="2">
        <v>0.1343</v>
      </c>
      <c r="N903" s="2">
        <v>7</v>
      </c>
      <c r="O903" s="2">
        <v>7</v>
      </c>
      <c r="P903" s="2" t="str">
        <f t="shared" si="14"/>
        <v>Thursday</v>
      </c>
      <c r="Q903" s="2" t="str">
        <f>IF(Table1[[#This Row],[temp]]&gt;=0.24,"cold","colder")</f>
        <v>colder</v>
      </c>
      <c r="R903" s="2">
        <v>0</v>
      </c>
      <c r="S903" s="16" t="str" cm="1">
        <f t="array" ref="S903">_xlfn.IFS(Table1[[#This Row],[weathersit]]=1,"clear sky",Table1[[#This Row],[weathersit]]=2,"mist",Table1[[#This Row],[weathersit]]=3,"partially dark",Table1[[#This Row],[weathersit]]=4,"rain")</f>
        <v>partially dark</v>
      </c>
    </row>
    <row r="904" spans="1:19" ht="13.8" x14ac:dyDescent="0.3">
      <c r="A904" s="2">
        <v>903</v>
      </c>
      <c r="B904" s="3">
        <v>40584</v>
      </c>
      <c r="C904" s="2">
        <v>1</v>
      </c>
      <c r="D904" s="2">
        <v>0</v>
      </c>
      <c r="E904" s="2">
        <v>2</v>
      </c>
      <c r="F904" s="2">
        <v>2</v>
      </c>
      <c r="G904" s="2" t="b">
        <v>0</v>
      </c>
      <c r="H904" s="2">
        <v>4</v>
      </c>
      <c r="I904" s="2">
        <v>3</v>
      </c>
      <c r="J904" s="2">
        <v>0.14000000000000001</v>
      </c>
      <c r="K904" s="2">
        <v>0.1515</v>
      </c>
      <c r="L904" s="2">
        <v>0.8</v>
      </c>
      <c r="M904" s="2">
        <v>0.1343</v>
      </c>
      <c r="N904" s="2">
        <v>3</v>
      </c>
      <c r="O904" s="2">
        <v>3</v>
      </c>
      <c r="P904" s="2" t="str">
        <f t="shared" si="14"/>
        <v>Thursday</v>
      </c>
      <c r="Q904" s="2" t="str">
        <f>IF(Table1[[#This Row],[temp]]&gt;=0.24,"cold","colder")</f>
        <v>colder</v>
      </c>
      <c r="R904" s="2">
        <v>0</v>
      </c>
      <c r="S904" s="16" t="str" cm="1">
        <f t="array" ref="S904">_xlfn.IFS(Table1[[#This Row],[weathersit]]=1,"clear sky",Table1[[#This Row],[weathersit]]=2,"mist",Table1[[#This Row],[weathersit]]=3,"partially dark",Table1[[#This Row],[weathersit]]=4,"rain")</f>
        <v>partially dark</v>
      </c>
    </row>
    <row r="905" spans="1:19" ht="13.8" x14ac:dyDescent="0.3">
      <c r="A905" s="2">
        <v>904</v>
      </c>
      <c r="B905" s="3">
        <v>40584</v>
      </c>
      <c r="C905" s="2">
        <v>1</v>
      </c>
      <c r="D905" s="2">
        <v>0</v>
      </c>
      <c r="E905" s="2">
        <v>2</v>
      </c>
      <c r="F905" s="2">
        <v>4</v>
      </c>
      <c r="G905" s="2" t="b">
        <v>0</v>
      </c>
      <c r="H905" s="2">
        <v>4</v>
      </c>
      <c r="I905" s="2">
        <v>2</v>
      </c>
      <c r="J905" s="2">
        <v>0.14000000000000001</v>
      </c>
      <c r="K905" s="2">
        <v>0.13639999999999999</v>
      </c>
      <c r="L905" s="2">
        <v>0.59</v>
      </c>
      <c r="M905" s="2">
        <v>0.22389999999999999</v>
      </c>
      <c r="N905" s="2">
        <v>1</v>
      </c>
      <c r="O905" s="2">
        <v>1</v>
      </c>
      <c r="P905" s="2" t="str">
        <f t="shared" si="14"/>
        <v>Thursday</v>
      </c>
      <c r="Q905" s="2" t="str">
        <f>IF(Table1[[#This Row],[temp]]&gt;=0.24,"cold","colder")</f>
        <v>colder</v>
      </c>
      <c r="R905" s="2">
        <v>0</v>
      </c>
      <c r="S905" s="16" t="str" cm="1">
        <f t="array" ref="S905">_xlfn.IFS(Table1[[#This Row],[weathersit]]=1,"clear sky",Table1[[#This Row],[weathersit]]=2,"mist",Table1[[#This Row],[weathersit]]=3,"partially dark",Table1[[#This Row],[weathersit]]=4,"rain")</f>
        <v>mist</v>
      </c>
    </row>
    <row r="906" spans="1:19" ht="13.8" x14ac:dyDescent="0.3">
      <c r="A906" s="2">
        <v>905</v>
      </c>
      <c r="B906" s="3">
        <v>40584</v>
      </c>
      <c r="C906" s="2">
        <v>1</v>
      </c>
      <c r="D906" s="2">
        <v>0</v>
      </c>
      <c r="E906" s="2">
        <v>2</v>
      </c>
      <c r="F906" s="2">
        <v>5</v>
      </c>
      <c r="G906" s="2" t="b">
        <v>0</v>
      </c>
      <c r="H906" s="2">
        <v>4</v>
      </c>
      <c r="I906" s="2">
        <v>2</v>
      </c>
      <c r="J906" s="2">
        <v>0.12</v>
      </c>
      <c r="K906" s="2">
        <v>0.1212</v>
      </c>
      <c r="L906" s="2">
        <v>0.5</v>
      </c>
      <c r="M906" s="2">
        <v>0.22389999999999999</v>
      </c>
      <c r="N906" s="2">
        <v>6</v>
      </c>
      <c r="O906" s="2">
        <v>6</v>
      </c>
      <c r="P906" s="2" t="str">
        <f t="shared" si="14"/>
        <v>Thursday</v>
      </c>
      <c r="Q906" s="2" t="str">
        <f>IF(Table1[[#This Row],[temp]]&gt;=0.24,"cold","colder")</f>
        <v>colder</v>
      </c>
      <c r="R906" s="2">
        <v>0</v>
      </c>
      <c r="S906" s="16" t="str" cm="1">
        <f t="array" ref="S906">_xlfn.IFS(Table1[[#This Row],[weathersit]]=1,"clear sky",Table1[[#This Row],[weathersit]]=2,"mist",Table1[[#This Row],[weathersit]]=3,"partially dark",Table1[[#This Row],[weathersit]]=4,"rain")</f>
        <v>mist</v>
      </c>
    </row>
    <row r="907" spans="1:19" ht="13.8" x14ac:dyDescent="0.3">
      <c r="A907" s="2">
        <v>906</v>
      </c>
      <c r="B907" s="3">
        <v>40584</v>
      </c>
      <c r="C907" s="2">
        <v>1</v>
      </c>
      <c r="D907" s="2">
        <v>0</v>
      </c>
      <c r="E907" s="2">
        <v>2</v>
      </c>
      <c r="F907" s="2">
        <v>6</v>
      </c>
      <c r="G907" s="2" t="b">
        <v>0</v>
      </c>
      <c r="H907" s="2">
        <v>4</v>
      </c>
      <c r="I907" s="2">
        <v>2</v>
      </c>
      <c r="J907" s="2">
        <v>0.12</v>
      </c>
      <c r="K907" s="2">
        <v>0.1212</v>
      </c>
      <c r="L907" s="2">
        <v>0.54</v>
      </c>
      <c r="M907" s="2">
        <v>0.28360000000000002</v>
      </c>
      <c r="N907" s="2">
        <v>26</v>
      </c>
      <c r="O907" s="2">
        <v>26</v>
      </c>
      <c r="P907" s="2" t="str">
        <f t="shared" si="14"/>
        <v>Thursday</v>
      </c>
      <c r="Q907" s="2" t="str">
        <f>IF(Table1[[#This Row],[temp]]&gt;=0.24,"cold","colder")</f>
        <v>colder</v>
      </c>
      <c r="R907" s="2">
        <v>0</v>
      </c>
      <c r="S907" s="16" t="str" cm="1">
        <f t="array" ref="S907">_xlfn.IFS(Table1[[#This Row],[weathersit]]=1,"clear sky",Table1[[#This Row],[weathersit]]=2,"mist",Table1[[#This Row],[weathersit]]=3,"partially dark",Table1[[#This Row],[weathersit]]=4,"rain")</f>
        <v>mist</v>
      </c>
    </row>
    <row r="908" spans="1:19" ht="13.8" x14ac:dyDescent="0.3">
      <c r="A908" s="2">
        <v>907</v>
      </c>
      <c r="B908" s="3">
        <v>40584</v>
      </c>
      <c r="C908" s="2">
        <v>1</v>
      </c>
      <c r="D908" s="2">
        <v>0</v>
      </c>
      <c r="E908" s="2">
        <v>2</v>
      </c>
      <c r="F908" s="2">
        <v>7</v>
      </c>
      <c r="G908" s="2" t="b">
        <v>0</v>
      </c>
      <c r="H908" s="2">
        <v>4</v>
      </c>
      <c r="I908" s="2">
        <v>1</v>
      </c>
      <c r="J908" s="2">
        <v>0.1</v>
      </c>
      <c r="K908" s="2">
        <v>7.5800000000000006E-2</v>
      </c>
      <c r="L908" s="2">
        <v>0.5</v>
      </c>
      <c r="M908" s="2">
        <v>0.41789999999999999</v>
      </c>
      <c r="N908" s="2">
        <v>99</v>
      </c>
      <c r="O908" s="2">
        <v>99</v>
      </c>
      <c r="P908" s="2" t="str">
        <f t="shared" si="14"/>
        <v>Thursday</v>
      </c>
      <c r="Q908" s="2" t="str">
        <f>IF(Table1[[#This Row],[temp]]&gt;=0.24,"cold","colder")</f>
        <v>colder</v>
      </c>
      <c r="R908" s="2">
        <v>0</v>
      </c>
      <c r="S908" s="16" t="str" cm="1">
        <f t="array" ref="S908">_xlfn.IFS(Table1[[#This Row],[weathersit]]=1,"clear sky",Table1[[#This Row],[weathersit]]=2,"mist",Table1[[#This Row],[weathersit]]=3,"partially dark",Table1[[#This Row],[weathersit]]=4,"rain")</f>
        <v>clear sky</v>
      </c>
    </row>
    <row r="909" spans="1:19" ht="13.8" x14ac:dyDescent="0.3">
      <c r="A909" s="2">
        <v>908</v>
      </c>
      <c r="B909" s="3">
        <v>40584</v>
      </c>
      <c r="C909" s="2">
        <v>1</v>
      </c>
      <c r="D909" s="2">
        <v>0</v>
      </c>
      <c r="E909" s="2">
        <v>2</v>
      </c>
      <c r="F909" s="2">
        <v>8</v>
      </c>
      <c r="G909" s="2" t="b">
        <v>0</v>
      </c>
      <c r="H909" s="2">
        <v>4</v>
      </c>
      <c r="I909" s="2">
        <v>1</v>
      </c>
      <c r="J909" s="2">
        <v>0.1</v>
      </c>
      <c r="K909" s="2">
        <v>7.5800000000000006E-2</v>
      </c>
      <c r="L909" s="2">
        <v>0.49</v>
      </c>
      <c r="M909" s="2">
        <v>0.32840000000000003</v>
      </c>
      <c r="N909" s="2">
        <v>173</v>
      </c>
      <c r="O909" s="2">
        <v>178</v>
      </c>
      <c r="P909" s="2" t="str">
        <f t="shared" si="14"/>
        <v>Thursday</v>
      </c>
      <c r="Q909" s="2" t="str">
        <f>IF(Table1[[#This Row],[temp]]&gt;=0.24,"cold","colder")</f>
        <v>colder</v>
      </c>
      <c r="R909" s="2">
        <v>5</v>
      </c>
      <c r="S909" s="16" t="str" cm="1">
        <f t="array" ref="S909">_xlfn.IFS(Table1[[#This Row],[weathersit]]=1,"clear sky",Table1[[#This Row],[weathersit]]=2,"mist",Table1[[#This Row],[weathersit]]=3,"partially dark",Table1[[#This Row],[weathersit]]=4,"rain")</f>
        <v>clear sky</v>
      </c>
    </row>
    <row r="910" spans="1:19" ht="13.8" x14ac:dyDescent="0.3">
      <c r="A910" s="2">
        <v>909</v>
      </c>
      <c r="B910" s="3">
        <v>40584</v>
      </c>
      <c r="C910" s="2">
        <v>1</v>
      </c>
      <c r="D910" s="2">
        <v>0</v>
      </c>
      <c r="E910" s="2">
        <v>2</v>
      </c>
      <c r="F910" s="2">
        <v>9</v>
      </c>
      <c r="G910" s="2" t="b">
        <v>0</v>
      </c>
      <c r="H910" s="2">
        <v>4</v>
      </c>
      <c r="I910" s="2">
        <v>1</v>
      </c>
      <c r="J910" s="2">
        <v>0.12</v>
      </c>
      <c r="K910" s="2">
        <v>0.1061</v>
      </c>
      <c r="L910" s="2">
        <v>0.42</v>
      </c>
      <c r="M910" s="2">
        <v>0.35820000000000002</v>
      </c>
      <c r="N910" s="2">
        <v>121</v>
      </c>
      <c r="O910" s="2">
        <v>122</v>
      </c>
      <c r="P910" s="2" t="str">
        <f t="shared" si="14"/>
        <v>Thursday</v>
      </c>
      <c r="Q910" s="2" t="str">
        <f>IF(Table1[[#This Row],[temp]]&gt;=0.24,"cold","colder")</f>
        <v>colder</v>
      </c>
      <c r="R910" s="2">
        <v>1</v>
      </c>
      <c r="S910" s="16" t="str" cm="1">
        <f t="array" ref="S910">_xlfn.IFS(Table1[[#This Row],[weathersit]]=1,"clear sky",Table1[[#This Row],[weathersit]]=2,"mist",Table1[[#This Row],[weathersit]]=3,"partially dark",Table1[[#This Row],[weathersit]]=4,"rain")</f>
        <v>clear sky</v>
      </c>
    </row>
    <row r="911" spans="1:19" ht="13.8" x14ac:dyDescent="0.3">
      <c r="A911" s="2">
        <v>910</v>
      </c>
      <c r="B911" s="3">
        <v>40584</v>
      </c>
      <c r="C911" s="2">
        <v>1</v>
      </c>
      <c r="D911" s="2">
        <v>0</v>
      </c>
      <c r="E911" s="2">
        <v>2</v>
      </c>
      <c r="F911" s="2">
        <v>10</v>
      </c>
      <c r="G911" s="2" t="b">
        <v>0</v>
      </c>
      <c r="H911" s="2">
        <v>4</v>
      </c>
      <c r="I911" s="2">
        <v>1</v>
      </c>
      <c r="J911" s="2">
        <v>0.12</v>
      </c>
      <c r="K911" s="2">
        <v>0.1061</v>
      </c>
      <c r="L911" s="2">
        <v>0.42</v>
      </c>
      <c r="M911" s="2">
        <v>0.29849999999999999</v>
      </c>
      <c r="N911" s="2">
        <v>34</v>
      </c>
      <c r="O911" s="2">
        <v>35</v>
      </c>
      <c r="P911" s="2" t="str">
        <f t="shared" si="14"/>
        <v>Thursday</v>
      </c>
      <c r="Q911" s="2" t="str">
        <f>IF(Table1[[#This Row],[temp]]&gt;=0.24,"cold","colder")</f>
        <v>colder</v>
      </c>
      <c r="R911" s="2">
        <v>1</v>
      </c>
      <c r="S911" s="16" t="str" cm="1">
        <f t="array" ref="S911">_xlfn.IFS(Table1[[#This Row],[weathersit]]=1,"clear sky",Table1[[#This Row],[weathersit]]=2,"mist",Table1[[#This Row],[weathersit]]=3,"partially dark",Table1[[#This Row],[weathersit]]=4,"rain")</f>
        <v>clear sky</v>
      </c>
    </row>
    <row r="912" spans="1:19" ht="13.8" x14ac:dyDescent="0.3">
      <c r="A912" s="2">
        <v>911</v>
      </c>
      <c r="B912" s="3">
        <v>40584</v>
      </c>
      <c r="C912" s="2">
        <v>1</v>
      </c>
      <c r="D912" s="2">
        <v>0</v>
      </c>
      <c r="E912" s="2">
        <v>2</v>
      </c>
      <c r="F912" s="2">
        <v>11</v>
      </c>
      <c r="G912" s="2" t="b">
        <v>0</v>
      </c>
      <c r="H912" s="2">
        <v>4</v>
      </c>
      <c r="I912" s="2">
        <v>1</v>
      </c>
      <c r="J912" s="2">
        <v>0.14000000000000001</v>
      </c>
      <c r="K912" s="2">
        <v>0.1212</v>
      </c>
      <c r="L912" s="2">
        <v>0.39</v>
      </c>
      <c r="M912" s="2">
        <v>0.35820000000000002</v>
      </c>
      <c r="N912" s="2">
        <v>44</v>
      </c>
      <c r="O912" s="2">
        <v>45</v>
      </c>
      <c r="P912" s="2" t="str">
        <f t="shared" si="14"/>
        <v>Thursday</v>
      </c>
      <c r="Q912" s="2" t="str">
        <f>IF(Table1[[#This Row],[temp]]&gt;=0.24,"cold","colder")</f>
        <v>colder</v>
      </c>
      <c r="R912" s="2">
        <v>1</v>
      </c>
      <c r="S912" s="16" t="str" cm="1">
        <f t="array" ref="S912">_xlfn.IFS(Table1[[#This Row],[weathersit]]=1,"clear sky",Table1[[#This Row],[weathersit]]=2,"mist",Table1[[#This Row],[weathersit]]=3,"partially dark",Table1[[#This Row],[weathersit]]=4,"rain")</f>
        <v>clear sky</v>
      </c>
    </row>
    <row r="913" spans="1:19" ht="13.8" x14ac:dyDescent="0.3">
      <c r="A913" s="2">
        <v>912</v>
      </c>
      <c r="B913" s="3">
        <v>40584</v>
      </c>
      <c r="C913" s="2">
        <v>1</v>
      </c>
      <c r="D913" s="2">
        <v>0</v>
      </c>
      <c r="E913" s="2">
        <v>2</v>
      </c>
      <c r="F913" s="2">
        <v>12</v>
      </c>
      <c r="G913" s="2" t="b">
        <v>0</v>
      </c>
      <c r="H913" s="2">
        <v>4</v>
      </c>
      <c r="I913" s="2">
        <v>1</v>
      </c>
      <c r="J913" s="2">
        <v>0.16</v>
      </c>
      <c r="K913" s="2">
        <v>0.13639999999999999</v>
      </c>
      <c r="L913" s="2">
        <v>0.34</v>
      </c>
      <c r="M913" s="2">
        <v>0.3881</v>
      </c>
      <c r="N913" s="2">
        <v>65</v>
      </c>
      <c r="O913" s="2">
        <v>69</v>
      </c>
      <c r="P913" s="2" t="str">
        <f t="shared" si="14"/>
        <v>Thursday</v>
      </c>
      <c r="Q913" s="2" t="str">
        <f>IF(Table1[[#This Row],[temp]]&gt;=0.24,"cold","colder")</f>
        <v>colder</v>
      </c>
      <c r="R913" s="2">
        <v>4</v>
      </c>
      <c r="S913" s="16" t="str" cm="1">
        <f t="array" ref="S913">_xlfn.IFS(Table1[[#This Row],[weathersit]]=1,"clear sky",Table1[[#This Row],[weathersit]]=2,"mist",Table1[[#This Row],[weathersit]]=3,"partially dark",Table1[[#This Row],[weathersit]]=4,"rain")</f>
        <v>clear sky</v>
      </c>
    </row>
    <row r="914" spans="1:19" ht="13.8" x14ac:dyDescent="0.3">
      <c r="A914" s="2">
        <v>913</v>
      </c>
      <c r="B914" s="3">
        <v>40584</v>
      </c>
      <c r="C914" s="2">
        <v>1</v>
      </c>
      <c r="D914" s="2">
        <v>0</v>
      </c>
      <c r="E914" s="2">
        <v>2</v>
      </c>
      <c r="F914" s="2">
        <v>13</v>
      </c>
      <c r="G914" s="2" t="b">
        <v>0</v>
      </c>
      <c r="H914" s="2">
        <v>4</v>
      </c>
      <c r="I914" s="2">
        <v>1</v>
      </c>
      <c r="J914" s="2">
        <v>0.18</v>
      </c>
      <c r="K914" s="2">
        <v>0.16669999999999999</v>
      </c>
      <c r="L914" s="2">
        <v>0.28999999999999998</v>
      </c>
      <c r="M914" s="2">
        <v>0.29849999999999999</v>
      </c>
      <c r="N914" s="2">
        <v>59</v>
      </c>
      <c r="O914" s="2">
        <v>62</v>
      </c>
      <c r="P914" s="2" t="str">
        <f t="shared" si="14"/>
        <v>Thursday</v>
      </c>
      <c r="Q914" s="2" t="str">
        <f>IF(Table1[[#This Row],[temp]]&gt;=0.24,"cold","colder")</f>
        <v>colder</v>
      </c>
      <c r="R914" s="2">
        <v>3</v>
      </c>
      <c r="S914" s="16" t="str" cm="1">
        <f t="array" ref="S914">_xlfn.IFS(Table1[[#This Row],[weathersit]]=1,"clear sky",Table1[[#This Row],[weathersit]]=2,"mist",Table1[[#This Row],[weathersit]]=3,"partially dark",Table1[[#This Row],[weathersit]]=4,"rain")</f>
        <v>clear sky</v>
      </c>
    </row>
    <row r="915" spans="1:19" ht="13.8" x14ac:dyDescent="0.3">
      <c r="A915" s="2">
        <v>914</v>
      </c>
      <c r="B915" s="3">
        <v>40584</v>
      </c>
      <c r="C915" s="2">
        <v>1</v>
      </c>
      <c r="D915" s="2">
        <v>0</v>
      </c>
      <c r="E915" s="2">
        <v>2</v>
      </c>
      <c r="F915" s="2">
        <v>14</v>
      </c>
      <c r="G915" s="2" t="b">
        <v>0</v>
      </c>
      <c r="H915" s="2">
        <v>4</v>
      </c>
      <c r="I915" s="2">
        <v>1</v>
      </c>
      <c r="J915" s="2">
        <v>0.2</v>
      </c>
      <c r="K915" s="2">
        <v>0.18179999999999999</v>
      </c>
      <c r="L915" s="2">
        <v>0.27</v>
      </c>
      <c r="M915" s="2">
        <v>0.28360000000000002</v>
      </c>
      <c r="N915" s="2">
        <v>42</v>
      </c>
      <c r="O915" s="2">
        <v>48</v>
      </c>
      <c r="P915" s="2" t="str">
        <f t="shared" si="14"/>
        <v>Thursday</v>
      </c>
      <c r="Q915" s="2" t="str">
        <f>IF(Table1[[#This Row],[temp]]&gt;=0.24,"cold","colder")</f>
        <v>colder</v>
      </c>
      <c r="R915" s="2">
        <v>6</v>
      </c>
      <c r="S915" s="16" t="str" cm="1">
        <f t="array" ref="S915">_xlfn.IFS(Table1[[#This Row],[weathersit]]=1,"clear sky",Table1[[#This Row],[weathersit]]=2,"mist",Table1[[#This Row],[weathersit]]=3,"partially dark",Table1[[#This Row],[weathersit]]=4,"rain")</f>
        <v>clear sky</v>
      </c>
    </row>
    <row r="916" spans="1:19" ht="13.8" x14ac:dyDescent="0.3">
      <c r="A916" s="2">
        <v>915</v>
      </c>
      <c r="B916" s="3">
        <v>40584</v>
      </c>
      <c r="C916" s="2">
        <v>1</v>
      </c>
      <c r="D916" s="2">
        <v>0</v>
      </c>
      <c r="E916" s="2">
        <v>2</v>
      </c>
      <c r="F916" s="2">
        <v>15</v>
      </c>
      <c r="G916" s="2" t="b">
        <v>0</v>
      </c>
      <c r="H916" s="2">
        <v>4</v>
      </c>
      <c r="I916" s="2">
        <v>1</v>
      </c>
      <c r="J916" s="2">
        <v>0.2</v>
      </c>
      <c r="K916" s="2">
        <v>0.19700000000000001</v>
      </c>
      <c r="L916" s="2">
        <v>0.25</v>
      </c>
      <c r="M916" s="2">
        <v>0.25369999999999998</v>
      </c>
      <c r="N916" s="2">
        <v>50</v>
      </c>
      <c r="O916" s="2">
        <v>50</v>
      </c>
      <c r="P916" s="2" t="str">
        <f t="shared" si="14"/>
        <v>Thursday</v>
      </c>
      <c r="Q916" s="2" t="str">
        <f>IF(Table1[[#This Row],[temp]]&gt;=0.24,"cold","colder")</f>
        <v>colder</v>
      </c>
      <c r="R916" s="2">
        <v>0</v>
      </c>
      <c r="S916" s="16" t="str" cm="1">
        <f t="array" ref="S916">_xlfn.IFS(Table1[[#This Row],[weathersit]]=1,"clear sky",Table1[[#This Row],[weathersit]]=2,"mist",Table1[[#This Row],[weathersit]]=3,"partially dark",Table1[[#This Row],[weathersit]]=4,"rain")</f>
        <v>clear sky</v>
      </c>
    </row>
    <row r="917" spans="1:19" ht="13.8" x14ac:dyDescent="0.3">
      <c r="A917" s="2">
        <v>916</v>
      </c>
      <c r="B917" s="3">
        <v>40584</v>
      </c>
      <c r="C917" s="2">
        <v>1</v>
      </c>
      <c r="D917" s="2">
        <v>0</v>
      </c>
      <c r="E917" s="2">
        <v>2</v>
      </c>
      <c r="F917" s="2">
        <v>16</v>
      </c>
      <c r="G917" s="2" t="b">
        <v>0</v>
      </c>
      <c r="H917" s="2">
        <v>4</v>
      </c>
      <c r="I917" s="2">
        <v>1</v>
      </c>
      <c r="J917" s="2">
        <v>0.2</v>
      </c>
      <c r="K917" s="2">
        <v>0.18179999999999999</v>
      </c>
      <c r="L917" s="2">
        <v>0.27</v>
      </c>
      <c r="M917" s="2">
        <v>0.29849999999999999</v>
      </c>
      <c r="N917" s="2">
        <v>76</v>
      </c>
      <c r="O917" s="2">
        <v>80</v>
      </c>
      <c r="P917" s="2" t="str">
        <f t="shared" si="14"/>
        <v>Thursday</v>
      </c>
      <c r="Q917" s="2" t="str">
        <f>IF(Table1[[#This Row],[temp]]&gt;=0.24,"cold","colder")</f>
        <v>colder</v>
      </c>
      <c r="R917" s="2">
        <v>4</v>
      </c>
      <c r="S917" s="16" t="str" cm="1">
        <f t="array" ref="S917">_xlfn.IFS(Table1[[#This Row],[weathersit]]=1,"clear sky",Table1[[#This Row],[weathersit]]=2,"mist",Table1[[#This Row],[weathersit]]=3,"partially dark",Table1[[#This Row],[weathersit]]=4,"rain")</f>
        <v>clear sky</v>
      </c>
    </row>
    <row r="918" spans="1:19" ht="13.8" x14ac:dyDescent="0.3">
      <c r="A918" s="2">
        <v>917</v>
      </c>
      <c r="B918" s="3">
        <v>40584</v>
      </c>
      <c r="C918" s="2">
        <v>1</v>
      </c>
      <c r="D918" s="2">
        <v>0</v>
      </c>
      <c r="E918" s="2">
        <v>2</v>
      </c>
      <c r="F918" s="2">
        <v>17</v>
      </c>
      <c r="G918" s="2" t="b">
        <v>0</v>
      </c>
      <c r="H918" s="2">
        <v>4</v>
      </c>
      <c r="I918" s="2">
        <v>1</v>
      </c>
      <c r="J918" s="2">
        <v>0.18</v>
      </c>
      <c r="K918" s="2">
        <v>0.18179999999999999</v>
      </c>
      <c r="L918" s="2">
        <v>0.26</v>
      </c>
      <c r="M918" s="2">
        <v>0.19400000000000001</v>
      </c>
      <c r="N918" s="2">
        <v>159</v>
      </c>
      <c r="O918" s="2">
        <v>165</v>
      </c>
      <c r="P918" s="2" t="str">
        <f t="shared" si="14"/>
        <v>Thursday</v>
      </c>
      <c r="Q918" s="2" t="str">
        <f>IF(Table1[[#This Row],[temp]]&gt;=0.24,"cold","colder")</f>
        <v>colder</v>
      </c>
      <c r="R918" s="2">
        <v>6</v>
      </c>
      <c r="S918" s="16" t="str" cm="1">
        <f t="array" ref="S918">_xlfn.IFS(Table1[[#This Row],[weathersit]]=1,"clear sky",Table1[[#This Row],[weathersit]]=2,"mist",Table1[[#This Row],[weathersit]]=3,"partially dark",Table1[[#This Row],[weathersit]]=4,"rain")</f>
        <v>clear sky</v>
      </c>
    </row>
    <row r="919" spans="1:19" ht="13.8" x14ac:dyDescent="0.3">
      <c r="A919" s="2">
        <v>918</v>
      </c>
      <c r="B919" s="3">
        <v>40584</v>
      </c>
      <c r="C919" s="2">
        <v>1</v>
      </c>
      <c r="D919" s="2">
        <v>0</v>
      </c>
      <c r="E919" s="2">
        <v>2</v>
      </c>
      <c r="F919" s="2">
        <v>18</v>
      </c>
      <c r="G919" s="2" t="b">
        <v>0</v>
      </c>
      <c r="H919" s="2">
        <v>4</v>
      </c>
      <c r="I919" s="2">
        <v>1</v>
      </c>
      <c r="J919" s="2">
        <v>0.16</v>
      </c>
      <c r="K919" s="2">
        <v>0.18179999999999999</v>
      </c>
      <c r="L919" s="2">
        <v>0.28000000000000003</v>
      </c>
      <c r="M919" s="2">
        <v>0.1343</v>
      </c>
      <c r="N919" s="2">
        <v>157</v>
      </c>
      <c r="O919" s="2">
        <v>160</v>
      </c>
      <c r="P919" s="2" t="str">
        <f t="shared" si="14"/>
        <v>Thursday</v>
      </c>
      <c r="Q919" s="2" t="str">
        <f>IF(Table1[[#This Row],[temp]]&gt;=0.24,"cold","colder")</f>
        <v>colder</v>
      </c>
      <c r="R919" s="2">
        <v>3</v>
      </c>
      <c r="S919" s="16" t="str" cm="1">
        <f t="array" ref="S919">_xlfn.IFS(Table1[[#This Row],[weathersit]]=1,"clear sky",Table1[[#This Row],[weathersit]]=2,"mist",Table1[[#This Row],[weathersit]]=3,"partially dark",Table1[[#This Row],[weathersit]]=4,"rain")</f>
        <v>clear sky</v>
      </c>
    </row>
    <row r="920" spans="1:19" ht="13.8" x14ac:dyDescent="0.3">
      <c r="A920" s="2">
        <v>919</v>
      </c>
      <c r="B920" s="3">
        <v>40584</v>
      </c>
      <c r="C920" s="2">
        <v>1</v>
      </c>
      <c r="D920" s="2">
        <v>0</v>
      </c>
      <c r="E920" s="2">
        <v>2</v>
      </c>
      <c r="F920" s="2">
        <v>19</v>
      </c>
      <c r="G920" s="2" t="b">
        <v>0</v>
      </c>
      <c r="H920" s="2">
        <v>4</v>
      </c>
      <c r="I920" s="2">
        <v>1</v>
      </c>
      <c r="J920" s="2">
        <v>0.14000000000000001</v>
      </c>
      <c r="K920" s="2">
        <v>0.16669999999999999</v>
      </c>
      <c r="L920" s="2">
        <v>0.28000000000000003</v>
      </c>
      <c r="M920" s="2">
        <v>0.1045</v>
      </c>
      <c r="N920" s="2">
        <v>110</v>
      </c>
      <c r="O920" s="2">
        <v>112</v>
      </c>
      <c r="P920" s="2" t="str">
        <f t="shared" si="14"/>
        <v>Thursday</v>
      </c>
      <c r="Q920" s="2" t="str">
        <f>IF(Table1[[#This Row],[temp]]&gt;=0.24,"cold","colder")</f>
        <v>colder</v>
      </c>
      <c r="R920" s="2">
        <v>2</v>
      </c>
      <c r="S920" s="16" t="str" cm="1">
        <f t="array" ref="S920">_xlfn.IFS(Table1[[#This Row],[weathersit]]=1,"clear sky",Table1[[#This Row],[weathersit]]=2,"mist",Table1[[#This Row],[weathersit]]=3,"partially dark",Table1[[#This Row],[weathersit]]=4,"rain")</f>
        <v>clear sky</v>
      </c>
    </row>
    <row r="921" spans="1:19" ht="13.8" x14ac:dyDescent="0.3">
      <c r="A921" s="2">
        <v>920</v>
      </c>
      <c r="B921" s="3">
        <v>40584</v>
      </c>
      <c r="C921" s="2">
        <v>1</v>
      </c>
      <c r="D921" s="2">
        <v>0</v>
      </c>
      <c r="E921" s="2">
        <v>2</v>
      </c>
      <c r="F921" s="2">
        <v>20</v>
      </c>
      <c r="G921" s="2" t="b">
        <v>0</v>
      </c>
      <c r="H921" s="2">
        <v>4</v>
      </c>
      <c r="I921" s="2">
        <v>1</v>
      </c>
      <c r="J921" s="2">
        <v>0.14000000000000001</v>
      </c>
      <c r="K921" s="2">
        <v>0.18179999999999999</v>
      </c>
      <c r="L921" s="2">
        <v>0.31</v>
      </c>
      <c r="M921" s="2">
        <v>8.9599999999999999E-2</v>
      </c>
      <c r="N921" s="2">
        <v>93</v>
      </c>
      <c r="O921" s="2">
        <v>97</v>
      </c>
      <c r="P921" s="2" t="str">
        <f t="shared" si="14"/>
        <v>Thursday</v>
      </c>
      <c r="Q921" s="2" t="str">
        <f>IF(Table1[[#This Row],[temp]]&gt;=0.24,"cold","colder")</f>
        <v>colder</v>
      </c>
      <c r="R921" s="2">
        <v>4</v>
      </c>
      <c r="S921" s="16" t="str" cm="1">
        <f t="array" ref="S921">_xlfn.IFS(Table1[[#This Row],[weathersit]]=1,"clear sky",Table1[[#This Row],[weathersit]]=2,"mist",Table1[[#This Row],[weathersit]]=3,"partially dark",Table1[[#This Row],[weathersit]]=4,"rain")</f>
        <v>clear sky</v>
      </c>
    </row>
    <row r="922" spans="1:19" ht="13.8" x14ac:dyDescent="0.3">
      <c r="A922" s="2">
        <v>921</v>
      </c>
      <c r="B922" s="3">
        <v>40584</v>
      </c>
      <c r="C922" s="2">
        <v>1</v>
      </c>
      <c r="D922" s="2">
        <v>0</v>
      </c>
      <c r="E922" s="2">
        <v>2</v>
      </c>
      <c r="F922" s="2">
        <v>21</v>
      </c>
      <c r="G922" s="2" t="b">
        <v>0</v>
      </c>
      <c r="H922" s="2">
        <v>4</v>
      </c>
      <c r="I922" s="2">
        <v>1</v>
      </c>
      <c r="J922" s="2">
        <v>0.14000000000000001</v>
      </c>
      <c r="K922" s="2">
        <v>0.21210000000000001</v>
      </c>
      <c r="L922" s="2">
        <v>0.39</v>
      </c>
      <c r="M922" s="2">
        <v>0</v>
      </c>
      <c r="N922" s="2">
        <v>70</v>
      </c>
      <c r="O922" s="2">
        <v>72</v>
      </c>
      <c r="P922" s="2" t="str">
        <f t="shared" si="14"/>
        <v>Thursday</v>
      </c>
      <c r="Q922" s="2" t="str">
        <f>IF(Table1[[#This Row],[temp]]&gt;=0.24,"cold","colder")</f>
        <v>colder</v>
      </c>
      <c r="R922" s="2">
        <v>2</v>
      </c>
      <c r="S922" s="16" t="str" cm="1">
        <f t="array" ref="S922">_xlfn.IFS(Table1[[#This Row],[weathersit]]=1,"clear sky",Table1[[#This Row],[weathersit]]=2,"mist",Table1[[#This Row],[weathersit]]=3,"partially dark",Table1[[#This Row],[weathersit]]=4,"rain")</f>
        <v>clear sky</v>
      </c>
    </row>
    <row r="923" spans="1:19" ht="13.8" x14ac:dyDescent="0.3">
      <c r="A923" s="2">
        <v>922</v>
      </c>
      <c r="B923" s="3">
        <v>40584</v>
      </c>
      <c r="C923" s="2">
        <v>1</v>
      </c>
      <c r="D923" s="2">
        <v>0</v>
      </c>
      <c r="E923" s="2">
        <v>2</v>
      </c>
      <c r="F923" s="2">
        <v>22</v>
      </c>
      <c r="G923" s="2" t="b">
        <v>0</v>
      </c>
      <c r="H923" s="2">
        <v>4</v>
      </c>
      <c r="I923" s="2">
        <v>1</v>
      </c>
      <c r="J923" s="2">
        <v>0.12</v>
      </c>
      <c r="K923" s="2">
        <v>0.19700000000000001</v>
      </c>
      <c r="L923" s="2">
        <v>0.39</v>
      </c>
      <c r="M923" s="2">
        <v>0</v>
      </c>
      <c r="N923" s="2">
        <v>47</v>
      </c>
      <c r="O923" s="2">
        <v>51</v>
      </c>
      <c r="P923" s="2" t="str">
        <f t="shared" si="14"/>
        <v>Thursday</v>
      </c>
      <c r="Q923" s="2" t="str">
        <f>IF(Table1[[#This Row],[temp]]&gt;=0.24,"cold","colder")</f>
        <v>colder</v>
      </c>
      <c r="R923" s="2">
        <v>4</v>
      </c>
      <c r="S923" s="16" t="str" cm="1">
        <f t="array" ref="S923">_xlfn.IFS(Table1[[#This Row],[weathersit]]=1,"clear sky",Table1[[#This Row],[weathersit]]=2,"mist",Table1[[#This Row],[weathersit]]=3,"partially dark",Table1[[#This Row],[weathersit]]=4,"rain")</f>
        <v>clear sky</v>
      </c>
    </row>
    <row r="924" spans="1:19" ht="13.8" x14ac:dyDescent="0.3">
      <c r="A924" s="2">
        <v>923</v>
      </c>
      <c r="B924" s="3">
        <v>40584</v>
      </c>
      <c r="C924" s="2">
        <v>1</v>
      </c>
      <c r="D924" s="2">
        <v>0</v>
      </c>
      <c r="E924" s="2">
        <v>2</v>
      </c>
      <c r="F924" s="2">
        <v>23</v>
      </c>
      <c r="G924" s="2" t="b">
        <v>0</v>
      </c>
      <c r="H924" s="2">
        <v>4</v>
      </c>
      <c r="I924" s="2">
        <v>1</v>
      </c>
      <c r="J924" s="2">
        <v>0.12</v>
      </c>
      <c r="K924" s="2">
        <v>0.1515</v>
      </c>
      <c r="L924" s="2">
        <v>0.42</v>
      </c>
      <c r="M924" s="2">
        <v>0.1045</v>
      </c>
      <c r="N924" s="2">
        <v>33</v>
      </c>
      <c r="O924" s="2">
        <v>34</v>
      </c>
      <c r="P924" s="2" t="str">
        <f t="shared" si="14"/>
        <v>Thursday</v>
      </c>
      <c r="Q924" s="2" t="str">
        <f>IF(Table1[[#This Row],[temp]]&gt;=0.24,"cold","colder")</f>
        <v>colder</v>
      </c>
      <c r="R924" s="2">
        <v>1</v>
      </c>
      <c r="S924" s="16" t="str" cm="1">
        <f t="array" ref="S924">_xlfn.IFS(Table1[[#This Row],[weathersit]]=1,"clear sky",Table1[[#This Row],[weathersit]]=2,"mist",Table1[[#This Row],[weathersit]]=3,"partially dark",Table1[[#This Row],[weathersit]]=4,"rain")</f>
        <v>clear sky</v>
      </c>
    </row>
    <row r="925" spans="1:19" ht="13.8" x14ac:dyDescent="0.3">
      <c r="A925" s="2">
        <v>924</v>
      </c>
      <c r="B925" s="3">
        <v>40585</v>
      </c>
      <c r="C925" s="2">
        <v>1</v>
      </c>
      <c r="D925" s="2">
        <v>0</v>
      </c>
      <c r="E925" s="2">
        <v>2</v>
      </c>
      <c r="F925" s="2">
        <v>0</v>
      </c>
      <c r="G925" s="2" t="b">
        <v>0</v>
      </c>
      <c r="H925" s="2">
        <v>5</v>
      </c>
      <c r="I925" s="2">
        <v>1</v>
      </c>
      <c r="J925" s="2">
        <v>0.1</v>
      </c>
      <c r="K925" s="2">
        <v>0.13639999999999999</v>
      </c>
      <c r="L925" s="2">
        <v>0.49</v>
      </c>
      <c r="M925" s="2">
        <v>0.1045</v>
      </c>
      <c r="N925" s="2">
        <v>12</v>
      </c>
      <c r="O925" s="2">
        <v>14</v>
      </c>
      <c r="P925" s="2" t="str">
        <f t="shared" si="14"/>
        <v>Friday</v>
      </c>
      <c r="Q925" s="2" t="str">
        <f>IF(Table1[[#This Row],[temp]]&gt;=0.24,"cold","colder")</f>
        <v>colder</v>
      </c>
      <c r="R925" s="2">
        <v>2</v>
      </c>
      <c r="S925" s="16" t="str" cm="1">
        <f t="array" ref="S925">_xlfn.IFS(Table1[[#This Row],[weathersit]]=1,"clear sky",Table1[[#This Row],[weathersit]]=2,"mist",Table1[[#This Row],[weathersit]]=3,"partially dark",Table1[[#This Row],[weathersit]]=4,"rain")</f>
        <v>clear sky</v>
      </c>
    </row>
    <row r="926" spans="1:19" ht="13.8" x14ac:dyDescent="0.3">
      <c r="A926" s="2">
        <v>925</v>
      </c>
      <c r="B926" s="3">
        <v>40585</v>
      </c>
      <c r="C926" s="2">
        <v>1</v>
      </c>
      <c r="D926" s="2">
        <v>0</v>
      </c>
      <c r="E926" s="2">
        <v>2</v>
      </c>
      <c r="F926" s="2">
        <v>1</v>
      </c>
      <c r="G926" s="2" t="b">
        <v>0</v>
      </c>
      <c r="H926" s="2">
        <v>5</v>
      </c>
      <c r="I926" s="2">
        <v>1</v>
      </c>
      <c r="J926" s="2">
        <v>0.1</v>
      </c>
      <c r="K926" s="2">
        <v>0.13639999999999999</v>
      </c>
      <c r="L926" s="2">
        <v>0.54</v>
      </c>
      <c r="M926" s="2">
        <v>8.9599999999999999E-2</v>
      </c>
      <c r="N926" s="2">
        <v>6</v>
      </c>
      <c r="O926" s="2">
        <v>7</v>
      </c>
      <c r="P926" s="2" t="str">
        <f t="shared" si="14"/>
        <v>Friday</v>
      </c>
      <c r="Q926" s="2" t="str">
        <f>IF(Table1[[#This Row],[temp]]&gt;=0.24,"cold","colder")</f>
        <v>colder</v>
      </c>
      <c r="R926" s="2">
        <v>1</v>
      </c>
      <c r="S926" s="16" t="str" cm="1">
        <f t="array" ref="S926">_xlfn.IFS(Table1[[#This Row],[weathersit]]=1,"clear sky",Table1[[#This Row],[weathersit]]=2,"mist",Table1[[#This Row],[weathersit]]=3,"partially dark",Table1[[#This Row],[weathersit]]=4,"rain")</f>
        <v>clear sky</v>
      </c>
    </row>
    <row r="927" spans="1:19" ht="13.8" x14ac:dyDescent="0.3">
      <c r="A927" s="2">
        <v>926</v>
      </c>
      <c r="B927" s="3">
        <v>40585</v>
      </c>
      <c r="C927" s="2">
        <v>1</v>
      </c>
      <c r="D927" s="2">
        <v>0</v>
      </c>
      <c r="E927" s="2">
        <v>2</v>
      </c>
      <c r="F927" s="2">
        <v>2</v>
      </c>
      <c r="G927" s="2" t="b">
        <v>0</v>
      </c>
      <c r="H927" s="2">
        <v>5</v>
      </c>
      <c r="I927" s="2">
        <v>1</v>
      </c>
      <c r="J927" s="2">
        <v>0.1</v>
      </c>
      <c r="K927" s="2">
        <v>0.13639999999999999</v>
      </c>
      <c r="L927" s="2">
        <v>0.54</v>
      </c>
      <c r="M927" s="2">
        <v>8.9599999999999999E-2</v>
      </c>
      <c r="N927" s="2">
        <v>3</v>
      </c>
      <c r="O927" s="2">
        <v>3</v>
      </c>
      <c r="P927" s="2" t="str">
        <f t="shared" si="14"/>
        <v>Friday</v>
      </c>
      <c r="Q927" s="2" t="str">
        <f>IF(Table1[[#This Row],[temp]]&gt;=0.24,"cold","colder")</f>
        <v>colder</v>
      </c>
      <c r="R927" s="2">
        <v>0</v>
      </c>
      <c r="S927" s="16" t="str" cm="1">
        <f t="array" ref="S927">_xlfn.IFS(Table1[[#This Row],[weathersit]]=1,"clear sky",Table1[[#This Row],[weathersit]]=2,"mist",Table1[[#This Row],[weathersit]]=3,"partially dark",Table1[[#This Row],[weathersit]]=4,"rain")</f>
        <v>clear sky</v>
      </c>
    </row>
    <row r="928" spans="1:19" ht="13.8" x14ac:dyDescent="0.3">
      <c r="A928" s="2">
        <v>927</v>
      </c>
      <c r="B928" s="3">
        <v>40585</v>
      </c>
      <c r="C928" s="2">
        <v>1</v>
      </c>
      <c r="D928" s="2">
        <v>0</v>
      </c>
      <c r="E928" s="2">
        <v>2</v>
      </c>
      <c r="F928" s="2">
        <v>5</v>
      </c>
      <c r="G928" s="2" t="b">
        <v>0</v>
      </c>
      <c r="H928" s="2">
        <v>5</v>
      </c>
      <c r="I928" s="2">
        <v>1</v>
      </c>
      <c r="J928" s="2">
        <v>0.08</v>
      </c>
      <c r="K928" s="2">
        <v>0.1212</v>
      </c>
      <c r="L928" s="2">
        <v>0.63</v>
      </c>
      <c r="M928" s="2">
        <v>8.9599999999999999E-2</v>
      </c>
      <c r="N928" s="2">
        <v>4</v>
      </c>
      <c r="O928" s="2">
        <v>4</v>
      </c>
      <c r="P928" s="2" t="str">
        <f t="shared" si="14"/>
        <v>Friday</v>
      </c>
      <c r="Q928" s="2" t="str">
        <f>IF(Table1[[#This Row],[temp]]&gt;=0.24,"cold","colder")</f>
        <v>colder</v>
      </c>
      <c r="R928" s="2">
        <v>0</v>
      </c>
      <c r="S928" s="16" t="str" cm="1">
        <f t="array" ref="S928">_xlfn.IFS(Table1[[#This Row],[weathersit]]=1,"clear sky",Table1[[#This Row],[weathersit]]=2,"mist",Table1[[#This Row],[weathersit]]=3,"partially dark",Table1[[#This Row],[weathersit]]=4,"rain")</f>
        <v>clear sky</v>
      </c>
    </row>
    <row r="929" spans="1:19" ht="13.8" x14ac:dyDescent="0.3">
      <c r="A929" s="2">
        <v>928</v>
      </c>
      <c r="B929" s="3">
        <v>40585</v>
      </c>
      <c r="C929" s="2">
        <v>1</v>
      </c>
      <c r="D929" s="2">
        <v>0</v>
      </c>
      <c r="E929" s="2">
        <v>2</v>
      </c>
      <c r="F929" s="2">
        <v>6</v>
      </c>
      <c r="G929" s="2" t="b">
        <v>0</v>
      </c>
      <c r="H929" s="2">
        <v>5</v>
      </c>
      <c r="I929" s="2">
        <v>1</v>
      </c>
      <c r="J929" s="2">
        <v>0.1</v>
      </c>
      <c r="K929" s="2">
        <v>0.18179999999999999</v>
      </c>
      <c r="L929" s="2">
        <v>0.68</v>
      </c>
      <c r="M929" s="2">
        <v>0</v>
      </c>
      <c r="N929" s="2">
        <v>23</v>
      </c>
      <c r="O929" s="2">
        <v>24</v>
      </c>
      <c r="P929" s="2" t="str">
        <f t="shared" si="14"/>
        <v>Friday</v>
      </c>
      <c r="Q929" s="2" t="str">
        <f>IF(Table1[[#This Row],[temp]]&gt;=0.24,"cold","colder")</f>
        <v>colder</v>
      </c>
      <c r="R929" s="2">
        <v>1</v>
      </c>
      <c r="S929" s="16" t="str" cm="1">
        <f t="array" ref="S929">_xlfn.IFS(Table1[[#This Row],[weathersit]]=1,"clear sky",Table1[[#This Row],[weathersit]]=2,"mist",Table1[[#This Row],[weathersit]]=3,"partially dark",Table1[[#This Row],[weathersit]]=4,"rain")</f>
        <v>clear sky</v>
      </c>
    </row>
    <row r="930" spans="1:19" ht="13.8" x14ac:dyDescent="0.3">
      <c r="A930" s="2">
        <v>929</v>
      </c>
      <c r="B930" s="3">
        <v>40585</v>
      </c>
      <c r="C930" s="2">
        <v>1</v>
      </c>
      <c r="D930" s="2">
        <v>0</v>
      </c>
      <c r="E930" s="2">
        <v>2</v>
      </c>
      <c r="F930" s="2">
        <v>7</v>
      </c>
      <c r="G930" s="2" t="b">
        <v>0</v>
      </c>
      <c r="H930" s="2">
        <v>5</v>
      </c>
      <c r="I930" s="2">
        <v>1</v>
      </c>
      <c r="J930" s="2">
        <v>0.08</v>
      </c>
      <c r="K930" s="2">
        <v>0.16669999999999999</v>
      </c>
      <c r="L930" s="2">
        <v>0.73</v>
      </c>
      <c r="M930" s="2">
        <v>0</v>
      </c>
      <c r="N930" s="2">
        <v>73</v>
      </c>
      <c r="O930" s="2">
        <v>74</v>
      </c>
      <c r="P930" s="2" t="str">
        <f t="shared" si="14"/>
        <v>Friday</v>
      </c>
      <c r="Q930" s="2" t="str">
        <f>IF(Table1[[#This Row],[temp]]&gt;=0.24,"cold","colder")</f>
        <v>colder</v>
      </c>
      <c r="R930" s="2">
        <v>1</v>
      </c>
      <c r="S930" s="16" t="str" cm="1">
        <f t="array" ref="S930">_xlfn.IFS(Table1[[#This Row],[weathersit]]=1,"clear sky",Table1[[#This Row],[weathersit]]=2,"mist",Table1[[#This Row],[weathersit]]=3,"partially dark",Table1[[#This Row],[weathersit]]=4,"rain")</f>
        <v>clear sky</v>
      </c>
    </row>
    <row r="931" spans="1:19" ht="13.8" x14ac:dyDescent="0.3">
      <c r="A931" s="2">
        <v>930</v>
      </c>
      <c r="B931" s="3">
        <v>40585</v>
      </c>
      <c r="C931" s="2">
        <v>1</v>
      </c>
      <c r="D931" s="2">
        <v>0</v>
      </c>
      <c r="E931" s="2">
        <v>2</v>
      </c>
      <c r="F931" s="2">
        <v>8</v>
      </c>
      <c r="G931" s="2" t="b">
        <v>0</v>
      </c>
      <c r="H931" s="2">
        <v>5</v>
      </c>
      <c r="I931" s="2">
        <v>1</v>
      </c>
      <c r="J931" s="2">
        <v>0.1</v>
      </c>
      <c r="K931" s="2">
        <v>0.1212</v>
      </c>
      <c r="L931" s="2">
        <v>0.74</v>
      </c>
      <c r="M931" s="2">
        <v>0.16420000000000001</v>
      </c>
      <c r="N931" s="2">
        <v>212</v>
      </c>
      <c r="O931" s="2">
        <v>216</v>
      </c>
      <c r="P931" s="2" t="str">
        <f t="shared" si="14"/>
        <v>Friday</v>
      </c>
      <c r="Q931" s="2" t="str">
        <f>IF(Table1[[#This Row],[temp]]&gt;=0.24,"cold","colder")</f>
        <v>colder</v>
      </c>
      <c r="R931" s="2">
        <v>4</v>
      </c>
      <c r="S931" s="16" t="str" cm="1">
        <f t="array" ref="S931">_xlfn.IFS(Table1[[#This Row],[weathersit]]=1,"clear sky",Table1[[#This Row],[weathersit]]=2,"mist",Table1[[#This Row],[weathersit]]=3,"partially dark",Table1[[#This Row],[weathersit]]=4,"rain")</f>
        <v>clear sky</v>
      </c>
    </row>
    <row r="932" spans="1:19" ht="13.8" x14ac:dyDescent="0.3">
      <c r="A932" s="2">
        <v>931</v>
      </c>
      <c r="B932" s="3">
        <v>40585</v>
      </c>
      <c r="C932" s="2">
        <v>1</v>
      </c>
      <c r="D932" s="2">
        <v>0</v>
      </c>
      <c r="E932" s="2">
        <v>2</v>
      </c>
      <c r="F932" s="2">
        <v>9</v>
      </c>
      <c r="G932" s="2" t="b">
        <v>0</v>
      </c>
      <c r="H932" s="2">
        <v>5</v>
      </c>
      <c r="I932" s="2">
        <v>1</v>
      </c>
      <c r="J932" s="2">
        <v>0.12</v>
      </c>
      <c r="K932" s="2">
        <v>0.1212</v>
      </c>
      <c r="L932" s="2">
        <v>0.74</v>
      </c>
      <c r="M932" s="2">
        <v>0.22389999999999999</v>
      </c>
      <c r="N932" s="2">
        <v>132</v>
      </c>
      <c r="O932" s="2">
        <v>140</v>
      </c>
      <c r="P932" s="2" t="str">
        <f t="shared" si="14"/>
        <v>Friday</v>
      </c>
      <c r="Q932" s="2" t="str">
        <f>IF(Table1[[#This Row],[temp]]&gt;=0.24,"cold","colder")</f>
        <v>colder</v>
      </c>
      <c r="R932" s="2">
        <v>8</v>
      </c>
      <c r="S932" s="16" t="str" cm="1">
        <f t="array" ref="S932">_xlfn.IFS(Table1[[#This Row],[weathersit]]=1,"clear sky",Table1[[#This Row],[weathersit]]=2,"mist",Table1[[#This Row],[weathersit]]=3,"partially dark",Table1[[#This Row],[weathersit]]=4,"rain")</f>
        <v>clear sky</v>
      </c>
    </row>
    <row r="933" spans="1:19" ht="13.8" x14ac:dyDescent="0.3">
      <c r="A933" s="2">
        <v>932</v>
      </c>
      <c r="B933" s="3">
        <v>40585</v>
      </c>
      <c r="C933" s="2">
        <v>1</v>
      </c>
      <c r="D933" s="2">
        <v>0</v>
      </c>
      <c r="E933" s="2">
        <v>2</v>
      </c>
      <c r="F933" s="2">
        <v>10</v>
      </c>
      <c r="G933" s="2" t="b">
        <v>0</v>
      </c>
      <c r="H933" s="2">
        <v>5</v>
      </c>
      <c r="I933" s="2">
        <v>1</v>
      </c>
      <c r="J933" s="2">
        <v>0.14000000000000001</v>
      </c>
      <c r="K933" s="2">
        <v>0.13639999999999999</v>
      </c>
      <c r="L933" s="2">
        <v>0.69</v>
      </c>
      <c r="M933" s="2">
        <v>0.19400000000000001</v>
      </c>
      <c r="N933" s="2">
        <v>39</v>
      </c>
      <c r="O933" s="2">
        <v>44</v>
      </c>
      <c r="P933" s="2" t="str">
        <f t="shared" si="14"/>
        <v>Friday</v>
      </c>
      <c r="Q933" s="2" t="str">
        <f>IF(Table1[[#This Row],[temp]]&gt;=0.24,"cold","colder")</f>
        <v>colder</v>
      </c>
      <c r="R933" s="2">
        <v>5</v>
      </c>
      <c r="S933" s="16" t="str" cm="1">
        <f t="array" ref="S933">_xlfn.IFS(Table1[[#This Row],[weathersit]]=1,"clear sky",Table1[[#This Row],[weathersit]]=2,"mist",Table1[[#This Row],[weathersit]]=3,"partially dark",Table1[[#This Row],[weathersit]]=4,"rain")</f>
        <v>clear sky</v>
      </c>
    </row>
    <row r="934" spans="1:19" ht="13.8" x14ac:dyDescent="0.3">
      <c r="A934" s="2">
        <v>933</v>
      </c>
      <c r="B934" s="3">
        <v>40585</v>
      </c>
      <c r="C934" s="2">
        <v>1</v>
      </c>
      <c r="D934" s="2">
        <v>0</v>
      </c>
      <c r="E934" s="2">
        <v>2</v>
      </c>
      <c r="F934" s="2">
        <v>11</v>
      </c>
      <c r="G934" s="2" t="b">
        <v>0</v>
      </c>
      <c r="H934" s="2">
        <v>5</v>
      </c>
      <c r="I934" s="2">
        <v>1</v>
      </c>
      <c r="J934" s="2">
        <v>0.22</v>
      </c>
      <c r="K934" s="2">
        <v>0.2273</v>
      </c>
      <c r="L934" s="2">
        <v>0.47</v>
      </c>
      <c r="M934" s="2">
        <v>0.1343</v>
      </c>
      <c r="N934" s="2">
        <v>52</v>
      </c>
      <c r="O934" s="2">
        <v>64</v>
      </c>
      <c r="P934" s="2" t="str">
        <f t="shared" si="14"/>
        <v>Friday</v>
      </c>
      <c r="Q934" s="2" t="str">
        <f>IF(Table1[[#This Row],[temp]]&gt;=0.24,"cold","colder")</f>
        <v>colder</v>
      </c>
      <c r="R934" s="2">
        <v>12</v>
      </c>
      <c r="S934" s="16" t="str" cm="1">
        <f t="array" ref="S934">_xlfn.IFS(Table1[[#This Row],[weathersit]]=1,"clear sky",Table1[[#This Row],[weathersit]]=2,"mist",Table1[[#This Row],[weathersit]]=3,"partially dark",Table1[[#This Row],[weathersit]]=4,"rain")</f>
        <v>clear sky</v>
      </c>
    </row>
    <row r="935" spans="1:19" ht="13.8" x14ac:dyDescent="0.3">
      <c r="A935" s="2">
        <v>934</v>
      </c>
      <c r="B935" s="3">
        <v>40585</v>
      </c>
      <c r="C935" s="2">
        <v>1</v>
      </c>
      <c r="D935" s="2">
        <v>0</v>
      </c>
      <c r="E935" s="2">
        <v>2</v>
      </c>
      <c r="F935" s="2">
        <v>12</v>
      </c>
      <c r="G935" s="2" t="b">
        <v>0</v>
      </c>
      <c r="H935" s="2">
        <v>5</v>
      </c>
      <c r="I935" s="2">
        <v>1</v>
      </c>
      <c r="J935" s="2">
        <v>0.22</v>
      </c>
      <c r="K935" s="2">
        <v>0.2273</v>
      </c>
      <c r="L935" s="2">
        <v>0.47</v>
      </c>
      <c r="M935" s="2">
        <v>0.1343</v>
      </c>
      <c r="N935" s="2">
        <v>64</v>
      </c>
      <c r="O935" s="2">
        <v>71</v>
      </c>
      <c r="P935" s="2" t="str">
        <f t="shared" si="14"/>
        <v>Friday</v>
      </c>
      <c r="Q935" s="2" t="str">
        <f>IF(Table1[[#This Row],[temp]]&gt;=0.24,"cold","colder")</f>
        <v>colder</v>
      </c>
      <c r="R935" s="2">
        <v>7</v>
      </c>
      <c r="S935" s="16" t="str" cm="1">
        <f t="array" ref="S935">_xlfn.IFS(Table1[[#This Row],[weathersit]]=1,"clear sky",Table1[[#This Row],[weathersit]]=2,"mist",Table1[[#This Row],[weathersit]]=3,"partially dark",Table1[[#This Row],[weathersit]]=4,"rain")</f>
        <v>clear sky</v>
      </c>
    </row>
    <row r="936" spans="1:19" ht="13.8" x14ac:dyDescent="0.3">
      <c r="A936" s="2">
        <v>935</v>
      </c>
      <c r="B936" s="3">
        <v>40585</v>
      </c>
      <c r="C936" s="2">
        <v>1</v>
      </c>
      <c r="D936" s="2">
        <v>0</v>
      </c>
      <c r="E936" s="2">
        <v>2</v>
      </c>
      <c r="F936" s="2">
        <v>13</v>
      </c>
      <c r="G936" s="2" t="b">
        <v>0</v>
      </c>
      <c r="H936" s="2">
        <v>5</v>
      </c>
      <c r="I936" s="2">
        <v>1</v>
      </c>
      <c r="J936" s="2">
        <v>0.24</v>
      </c>
      <c r="K936" s="2">
        <v>0.2273</v>
      </c>
      <c r="L936" s="2">
        <v>0.35</v>
      </c>
      <c r="M936" s="2">
        <v>0.19400000000000001</v>
      </c>
      <c r="N936" s="2">
        <v>89</v>
      </c>
      <c r="O936" s="2">
        <v>110</v>
      </c>
      <c r="P936" s="2" t="str">
        <f t="shared" si="14"/>
        <v>Friday</v>
      </c>
      <c r="Q936" s="2" t="str">
        <f>IF(Table1[[#This Row],[temp]]&gt;=0.24,"cold","colder")</f>
        <v>cold</v>
      </c>
      <c r="R936" s="2">
        <v>21</v>
      </c>
      <c r="S936" s="16" t="str" cm="1">
        <f t="array" ref="S936">_xlfn.IFS(Table1[[#This Row],[weathersit]]=1,"clear sky",Table1[[#This Row],[weathersit]]=2,"mist",Table1[[#This Row],[weathersit]]=3,"partially dark",Table1[[#This Row],[weathersit]]=4,"rain")</f>
        <v>clear sky</v>
      </c>
    </row>
    <row r="937" spans="1:19" ht="13.8" x14ac:dyDescent="0.3">
      <c r="A937" s="2">
        <v>936</v>
      </c>
      <c r="B937" s="3">
        <v>40585</v>
      </c>
      <c r="C937" s="2">
        <v>1</v>
      </c>
      <c r="D937" s="2">
        <v>0</v>
      </c>
      <c r="E937" s="2">
        <v>2</v>
      </c>
      <c r="F937" s="2">
        <v>14</v>
      </c>
      <c r="G937" s="2" t="b">
        <v>0</v>
      </c>
      <c r="H937" s="2">
        <v>5</v>
      </c>
      <c r="I937" s="2">
        <v>1</v>
      </c>
      <c r="J937" s="2">
        <v>0.3</v>
      </c>
      <c r="K937" s="2">
        <v>0.28789999999999999</v>
      </c>
      <c r="L937" s="2">
        <v>0.26</v>
      </c>
      <c r="M937" s="2">
        <v>0.25369999999999998</v>
      </c>
      <c r="N937" s="2">
        <v>67</v>
      </c>
      <c r="O937" s="2">
        <v>84</v>
      </c>
      <c r="P937" s="2" t="str">
        <f t="shared" si="14"/>
        <v>Friday</v>
      </c>
      <c r="Q937" s="2" t="str">
        <f>IF(Table1[[#This Row],[temp]]&gt;=0.24,"cold","colder")</f>
        <v>cold</v>
      </c>
      <c r="R937" s="2">
        <v>17</v>
      </c>
      <c r="S937" s="16" t="str" cm="1">
        <f t="array" ref="S937">_xlfn.IFS(Table1[[#This Row],[weathersit]]=1,"clear sky",Table1[[#This Row],[weathersit]]=2,"mist",Table1[[#This Row],[weathersit]]=3,"partially dark",Table1[[#This Row],[weathersit]]=4,"rain")</f>
        <v>clear sky</v>
      </c>
    </row>
    <row r="938" spans="1:19" ht="13.8" x14ac:dyDescent="0.3">
      <c r="A938" s="2">
        <v>937</v>
      </c>
      <c r="B938" s="3">
        <v>40585</v>
      </c>
      <c r="C938" s="2">
        <v>1</v>
      </c>
      <c r="D938" s="2">
        <v>0</v>
      </c>
      <c r="E938" s="2">
        <v>2</v>
      </c>
      <c r="F938" s="2">
        <v>15</v>
      </c>
      <c r="G938" s="2" t="b">
        <v>0</v>
      </c>
      <c r="H938" s="2">
        <v>5</v>
      </c>
      <c r="I938" s="2">
        <v>1</v>
      </c>
      <c r="J938" s="2">
        <v>0.32</v>
      </c>
      <c r="K938" s="2">
        <v>0.31819999999999998</v>
      </c>
      <c r="L938" s="2">
        <v>0.21</v>
      </c>
      <c r="M938" s="2">
        <v>0.16420000000000001</v>
      </c>
      <c r="N938" s="2">
        <v>62</v>
      </c>
      <c r="O938" s="2">
        <v>74</v>
      </c>
      <c r="P938" s="2" t="str">
        <f t="shared" si="14"/>
        <v>Friday</v>
      </c>
      <c r="Q938" s="2" t="str">
        <f>IF(Table1[[#This Row],[temp]]&gt;=0.24,"cold","colder")</f>
        <v>cold</v>
      </c>
      <c r="R938" s="2">
        <v>12</v>
      </c>
      <c r="S938" s="16" t="str" cm="1">
        <f t="array" ref="S938">_xlfn.IFS(Table1[[#This Row],[weathersit]]=1,"clear sky",Table1[[#This Row],[weathersit]]=2,"mist",Table1[[#This Row],[weathersit]]=3,"partially dark",Table1[[#This Row],[weathersit]]=4,"rain")</f>
        <v>clear sky</v>
      </c>
    </row>
    <row r="939" spans="1:19" ht="13.8" x14ac:dyDescent="0.3">
      <c r="A939" s="2">
        <v>938</v>
      </c>
      <c r="B939" s="3">
        <v>40585</v>
      </c>
      <c r="C939" s="2">
        <v>1</v>
      </c>
      <c r="D939" s="2">
        <v>0</v>
      </c>
      <c r="E939" s="2">
        <v>2</v>
      </c>
      <c r="F939" s="2">
        <v>16</v>
      </c>
      <c r="G939" s="2" t="b">
        <v>0</v>
      </c>
      <c r="H939" s="2">
        <v>5</v>
      </c>
      <c r="I939" s="2">
        <v>1</v>
      </c>
      <c r="J939" s="2">
        <v>0.3</v>
      </c>
      <c r="K939" s="2">
        <v>0.28789999999999999</v>
      </c>
      <c r="L939" s="2">
        <v>0.28000000000000003</v>
      </c>
      <c r="M939" s="2">
        <v>0.19400000000000001</v>
      </c>
      <c r="N939" s="2">
        <v>111</v>
      </c>
      <c r="O939" s="2">
        <v>125</v>
      </c>
      <c r="P939" s="2" t="str">
        <f t="shared" si="14"/>
        <v>Friday</v>
      </c>
      <c r="Q939" s="2" t="str">
        <f>IF(Table1[[#This Row],[temp]]&gt;=0.24,"cold","colder")</f>
        <v>cold</v>
      </c>
      <c r="R939" s="2">
        <v>14</v>
      </c>
      <c r="S939" s="16" t="str" cm="1">
        <f t="array" ref="S939">_xlfn.IFS(Table1[[#This Row],[weathersit]]=1,"clear sky",Table1[[#This Row],[weathersit]]=2,"mist",Table1[[#This Row],[weathersit]]=3,"partially dark",Table1[[#This Row],[weathersit]]=4,"rain")</f>
        <v>clear sky</v>
      </c>
    </row>
    <row r="940" spans="1:19" ht="13.8" x14ac:dyDescent="0.3">
      <c r="A940" s="2">
        <v>939</v>
      </c>
      <c r="B940" s="3">
        <v>40585</v>
      </c>
      <c r="C940" s="2">
        <v>1</v>
      </c>
      <c r="D940" s="2">
        <v>0</v>
      </c>
      <c r="E940" s="2">
        <v>2</v>
      </c>
      <c r="F940" s="2">
        <v>17</v>
      </c>
      <c r="G940" s="2" t="b">
        <v>0</v>
      </c>
      <c r="H940" s="2">
        <v>5</v>
      </c>
      <c r="I940" s="2">
        <v>1</v>
      </c>
      <c r="J940" s="2">
        <v>0.3</v>
      </c>
      <c r="K940" s="2">
        <v>0.33329999999999999</v>
      </c>
      <c r="L940" s="2">
        <v>0.24</v>
      </c>
      <c r="M940" s="2">
        <v>0</v>
      </c>
      <c r="N940" s="2">
        <v>193</v>
      </c>
      <c r="O940" s="2">
        <v>211</v>
      </c>
      <c r="P940" s="2" t="str">
        <f t="shared" si="14"/>
        <v>Friday</v>
      </c>
      <c r="Q940" s="2" t="str">
        <f>IF(Table1[[#This Row],[temp]]&gt;=0.24,"cold","colder")</f>
        <v>cold</v>
      </c>
      <c r="R940" s="2">
        <v>18</v>
      </c>
      <c r="S940" s="16" t="str" cm="1">
        <f t="array" ref="S940">_xlfn.IFS(Table1[[#This Row],[weathersit]]=1,"clear sky",Table1[[#This Row],[weathersit]]=2,"mist",Table1[[#This Row],[weathersit]]=3,"partially dark",Table1[[#This Row],[weathersit]]=4,"rain")</f>
        <v>clear sky</v>
      </c>
    </row>
    <row r="941" spans="1:19" ht="13.8" x14ac:dyDescent="0.3">
      <c r="A941" s="2">
        <v>940</v>
      </c>
      <c r="B941" s="3">
        <v>40585</v>
      </c>
      <c r="C941" s="2">
        <v>1</v>
      </c>
      <c r="D941" s="2">
        <v>0</v>
      </c>
      <c r="E941" s="2">
        <v>2</v>
      </c>
      <c r="F941" s="2">
        <v>18</v>
      </c>
      <c r="G941" s="2" t="b">
        <v>0</v>
      </c>
      <c r="H941" s="2">
        <v>5</v>
      </c>
      <c r="I941" s="2">
        <v>1</v>
      </c>
      <c r="J941" s="2">
        <v>0.28000000000000003</v>
      </c>
      <c r="K941" s="2">
        <v>0.31819999999999998</v>
      </c>
      <c r="L941" s="2">
        <v>0.28000000000000003</v>
      </c>
      <c r="M941" s="2">
        <v>0</v>
      </c>
      <c r="N941" s="2">
        <v>165</v>
      </c>
      <c r="O941" s="2">
        <v>174</v>
      </c>
      <c r="P941" s="2" t="str">
        <f t="shared" si="14"/>
        <v>Friday</v>
      </c>
      <c r="Q941" s="2" t="str">
        <f>IF(Table1[[#This Row],[temp]]&gt;=0.24,"cold","colder")</f>
        <v>cold</v>
      </c>
      <c r="R941" s="2">
        <v>9</v>
      </c>
      <c r="S941" s="16" t="str" cm="1">
        <f t="array" ref="S941">_xlfn.IFS(Table1[[#This Row],[weathersit]]=1,"clear sky",Table1[[#This Row],[weathersit]]=2,"mist",Table1[[#This Row],[weathersit]]=3,"partially dark",Table1[[#This Row],[weathersit]]=4,"rain")</f>
        <v>clear sky</v>
      </c>
    </row>
    <row r="942" spans="1:19" ht="13.8" x14ac:dyDescent="0.3">
      <c r="A942" s="2">
        <v>941</v>
      </c>
      <c r="B942" s="3">
        <v>40585</v>
      </c>
      <c r="C942" s="2">
        <v>1</v>
      </c>
      <c r="D942" s="2">
        <v>0</v>
      </c>
      <c r="E942" s="2">
        <v>2</v>
      </c>
      <c r="F942" s="2">
        <v>19</v>
      </c>
      <c r="G942" s="2" t="b">
        <v>0</v>
      </c>
      <c r="H942" s="2">
        <v>5</v>
      </c>
      <c r="I942" s="2">
        <v>1</v>
      </c>
      <c r="J942" s="2">
        <v>0.26</v>
      </c>
      <c r="K942" s="2">
        <v>0.30299999999999999</v>
      </c>
      <c r="L942" s="2">
        <v>0.33</v>
      </c>
      <c r="M942" s="2">
        <v>0</v>
      </c>
      <c r="N942" s="2">
        <v>94</v>
      </c>
      <c r="O942" s="2">
        <v>101</v>
      </c>
      <c r="P942" s="2" t="str">
        <f t="shared" si="14"/>
        <v>Friday</v>
      </c>
      <c r="Q942" s="2" t="str">
        <f>IF(Table1[[#This Row],[temp]]&gt;=0.24,"cold","colder")</f>
        <v>cold</v>
      </c>
      <c r="R942" s="2">
        <v>7</v>
      </c>
      <c r="S942" s="16" t="str" cm="1">
        <f t="array" ref="S942">_xlfn.IFS(Table1[[#This Row],[weathersit]]=1,"clear sky",Table1[[#This Row],[weathersit]]=2,"mist",Table1[[#This Row],[weathersit]]=3,"partially dark",Table1[[#This Row],[weathersit]]=4,"rain")</f>
        <v>clear sky</v>
      </c>
    </row>
    <row r="943" spans="1:19" ht="13.8" x14ac:dyDescent="0.3">
      <c r="A943" s="2">
        <v>942</v>
      </c>
      <c r="B943" s="3">
        <v>40585</v>
      </c>
      <c r="C943" s="2">
        <v>1</v>
      </c>
      <c r="D943" s="2">
        <v>0</v>
      </c>
      <c r="E943" s="2">
        <v>2</v>
      </c>
      <c r="F943" s="2">
        <v>20</v>
      </c>
      <c r="G943" s="2" t="b">
        <v>0</v>
      </c>
      <c r="H943" s="2">
        <v>5</v>
      </c>
      <c r="I943" s="2">
        <v>1</v>
      </c>
      <c r="J943" s="2">
        <v>0.22</v>
      </c>
      <c r="K943" s="2">
        <v>0.2273</v>
      </c>
      <c r="L943" s="2">
        <v>0.55000000000000004</v>
      </c>
      <c r="M943" s="2">
        <v>0.1343</v>
      </c>
      <c r="N943" s="2">
        <v>61</v>
      </c>
      <c r="O943" s="2">
        <v>63</v>
      </c>
      <c r="P943" s="2" t="str">
        <f t="shared" si="14"/>
        <v>Friday</v>
      </c>
      <c r="Q943" s="2" t="str">
        <f>IF(Table1[[#This Row],[temp]]&gt;=0.24,"cold","colder")</f>
        <v>colder</v>
      </c>
      <c r="R943" s="2">
        <v>2</v>
      </c>
      <c r="S943" s="16" t="str" cm="1">
        <f t="array" ref="S943">_xlfn.IFS(Table1[[#This Row],[weathersit]]=1,"clear sky",Table1[[#This Row],[weathersit]]=2,"mist",Table1[[#This Row],[weathersit]]=3,"partially dark",Table1[[#This Row],[weathersit]]=4,"rain")</f>
        <v>clear sky</v>
      </c>
    </row>
    <row r="944" spans="1:19" ht="13.8" x14ac:dyDescent="0.3">
      <c r="A944" s="2">
        <v>943</v>
      </c>
      <c r="B944" s="3">
        <v>40585</v>
      </c>
      <c r="C944" s="2">
        <v>1</v>
      </c>
      <c r="D944" s="2">
        <v>0</v>
      </c>
      <c r="E944" s="2">
        <v>2</v>
      </c>
      <c r="F944" s="2">
        <v>21</v>
      </c>
      <c r="G944" s="2" t="b">
        <v>0</v>
      </c>
      <c r="H944" s="2">
        <v>5</v>
      </c>
      <c r="I944" s="2">
        <v>1</v>
      </c>
      <c r="J944" s="2">
        <v>0.2</v>
      </c>
      <c r="K944" s="2">
        <v>0.21210000000000001</v>
      </c>
      <c r="L944" s="2">
        <v>0.59</v>
      </c>
      <c r="M944" s="2">
        <v>0.1343</v>
      </c>
      <c r="N944" s="2">
        <v>46</v>
      </c>
      <c r="O944" s="2">
        <v>47</v>
      </c>
      <c r="P944" s="2" t="str">
        <f t="shared" si="14"/>
        <v>Friday</v>
      </c>
      <c r="Q944" s="2" t="str">
        <f>IF(Table1[[#This Row],[temp]]&gt;=0.24,"cold","colder")</f>
        <v>colder</v>
      </c>
      <c r="R944" s="2">
        <v>1</v>
      </c>
      <c r="S944" s="16" t="str" cm="1">
        <f t="array" ref="S944">_xlfn.IFS(Table1[[#This Row],[weathersit]]=1,"clear sky",Table1[[#This Row],[weathersit]]=2,"mist",Table1[[#This Row],[weathersit]]=3,"partially dark",Table1[[#This Row],[weathersit]]=4,"rain")</f>
        <v>clear sky</v>
      </c>
    </row>
    <row r="945" spans="1:19" ht="13.8" x14ac:dyDescent="0.3">
      <c r="A945" s="2">
        <v>944</v>
      </c>
      <c r="B945" s="3">
        <v>40585</v>
      </c>
      <c r="C945" s="2">
        <v>1</v>
      </c>
      <c r="D945" s="2">
        <v>0</v>
      </c>
      <c r="E945" s="2">
        <v>2</v>
      </c>
      <c r="F945" s="2">
        <v>22</v>
      </c>
      <c r="G945" s="2" t="b">
        <v>0</v>
      </c>
      <c r="H945" s="2">
        <v>5</v>
      </c>
      <c r="I945" s="2">
        <v>1</v>
      </c>
      <c r="J945" s="2">
        <v>0.2</v>
      </c>
      <c r="K945" s="2">
        <v>0.2273</v>
      </c>
      <c r="L945" s="2">
        <v>0.64</v>
      </c>
      <c r="M945" s="2">
        <v>8.9599999999999999E-2</v>
      </c>
      <c r="N945" s="2">
        <v>41</v>
      </c>
      <c r="O945" s="2">
        <v>43</v>
      </c>
      <c r="P945" s="2" t="str">
        <f t="shared" si="14"/>
        <v>Friday</v>
      </c>
      <c r="Q945" s="2" t="str">
        <f>IF(Table1[[#This Row],[temp]]&gt;=0.24,"cold","colder")</f>
        <v>colder</v>
      </c>
      <c r="R945" s="2">
        <v>2</v>
      </c>
      <c r="S945" s="16" t="str" cm="1">
        <f t="array" ref="S945">_xlfn.IFS(Table1[[#This Row],[weathersit]]=1,"clear sky",Table1[[#This Row],[weathersit]]=2,"mist",Table1[[#This Row],[weathersit]]=3,"partially dark",Table1[[#This Row],[weathersit]]=4,"rain")</f>
        <v>clear sky</v>
      </c>
    </row>
    <row r="946" spans="1:19" ht="13.8" x14ac:dyDescent="0.3">
      <c r="A946" s="2">
        <v>945</v>
      </c>
      <c r="B946" s="3">
        <v>40585</v>
      </c>
      <c r="C946" s="2">
        <v>1</v>
      </c>
      <c r="D946" s="2">
        <v>0</v>
      </c>
      <c r="E946" s="2">
        <v>2</v>
      </c>
      <c r="F946" s="2">
        <v>23</v>
      </c>
      <c r="G946" s="2" t="b">
        <v>0</v>
      </c>
      <c r="H946" s="2">
        <v>5</v>
      </c>
      <c r="I946" s="2">
        <v>1</v>
      </c>
      <c r="J946" s="2">
        <v>0.18</v>
      </c>
      <c r="K946" s="2">
        <v>0.2424</v>
      </c>
      <c r="L946" s="2">
        <v>0.69</v>
      </c>
      <c r="M946" s="2">
        <v>0</v>
      </c>
      <c r="N946" s="2">
        <v>48</v>
      </c>
      <c r="O946" s="2">
        <v>53</v>
      </c>
      <c r="P946" s="2" t="str">
        <f t="shared" si="14"/>
        <v>Friday</v>
      </c>
      <c r="Q946" s="2" t="str">
        <f>IF(Table1[[#This Row],[temp]]&gt;=0.24,"cold","colder")</f>
        <v>colder</v>
      </c>
      <c r="R946" s="2">
        <v>5</v>
      </c>
      <c r="S946" s="16" t="str" cm="1">
        <f t="array" ref="S946">_xlfn.IFS(Table1[[#This Row],[weathersit]]=1,"clear sky",Table1[[#This Row],[weathersit]]=2,"mist",Table1[[#This Row],[weathersit]]=3,"partially dark",Table1[[#This Row],[weathersit]]=4,"rain")</f>
        <v>clear sky</v>
      </c>
    </row>
    <row r="947" spans="1:19" ht="13.8" x14ac:dyDescent="0.3">
      <c r="A947" s="2">
        <v>946</v>
      </c>
      <c r="B947" s="3">
        <v>40586</v>
      </c>
      <c r="C947" s="2">
        <v>1</v>
      </c>
      <c r="D947" s="2">
        <v>0</v>
      </c>
      <c r="E947" s="2">
        <v>2</v>
      </c>
      <c r="F947" s="2">
        <v>0</v>
      </c>
      <c r="G947" s="2" t="b">
        <v>0</v>
      </c>
      <c r="H947" s="2">
        <v>6</v>
      </c>
      <c r="I947" s="2">
        <v>1</v>
      </c>
      <c r="J947" s="2">
        <v>0.16</v>
      </c>
      <c r="K947" s="2">
        <v>0.19700000000000001</v>
      </c>
      <c r="L947" s="2">
        <v>0.69</v>
      </c>
      <c r="M947" s="2">
        <v>8.9599999999999999E-2</v>
      </c>
      <c r="N947" s="2">
        <v>27</v>
      </c>
      <c r="O947" s="2">
        <v>30</v>
      </c>
      <c r="P947" s="2" t="str">
        <f t="shared" si="14"/>
        <v>Saturday</v>
      </c>
      <c r="Q947" s="2" t="str">
        <f>IF(Table1[[#This Row],[temp]]&gt;=0.24,"cold","colder")</f>
        <v>colder</v>
      </c>
      <c r="R947" s="2">
        <v>3</v>
      </c>
      <c r="S947" s="16" t="str" cm="1">
        <f t="array" ref="S947">_xlfn.IFS(Table1[[#This Row],[weathersit]]=1,"clear sky",Table1[[#This Row],[weathersit]]=2,"mist",Table1[[#This Row],[weathersit]]=3,"partially dark",Table1[[#This Row],[weathersit]]=4,"rain")</f>
        <v>clear sky</v>
      </c>
    </row>
    <row r="948" spans="1:19" ht="13.8" x14ac:dyDescent="0.3">
      <c r="A948" s="2">
        <v>947</v>
      </c>
      <c r="B948" s="3">
        <v>40586</v>
      </c>
      <c r="C948" s="2">
        <v>1</v>
      </c>
      <c r="D948" s="2">
        <v>0</v>
      </c>
      <c r="E948" s="2">
        <v>2</v>
      </c>
      <c r="F948" s="2">
        <v>1</v>
      </c>
      <c r="G948" s="2" t="b">
        <v>0</v>
      </c>
      <c r="H948" s="2">
        <v>6</v>
      </c>
      <c r="I948" s="2">
        <v>1</v>
      </c>
      <c r="J948" s="2">
        <v>0.14000000000000001</v>
      </c>
      <c r="K948" s="2">
        <v>0.21210000000000001</v>
      </c>
      <c r="L948" s="2">
        <v>0.86</v>
      </c>
      <c r="M948" s="2">
        <v>0</v>
      </c>
      <c r="N948" s="2">
        <v>22</v>
      </c>
      <c r="O948" s="2">
        <v>24</v>
      </c>
      <c r="P948" s="2" t="str">
        <f t="shared" si="14"/>
        <v>Saturday</v>
      </c>
      <c r="Q948" s="2" t="str">
        <f>IF(Table1[[#This Row],[temp]]&gt;=0.24,"cold","colder")</f>
        <v>colder</v>
      </c>
      <c r="R948" s="2">
        <v>2</v>
      </c>
      <c r="S948" s="16" t="str" cm="1">
        <f t="array" ref="S948">_xlfn.IFS(Table1[[#This Row],[weathersit]]=1,"clear sky",Table1[[#This Row],[weathersit]]=2,"mist",Table1[[#This Row],[weathersit]]=3,"partially dark",Table1[[#This Row],[weathersit]]=4,"rain")</f>
        <v>clear sky</v>
      </c>
    </row>
    <row r="949" spans="1:19" ht="13.8" x14ac:dyDescent="0.3">
      <c r="A949" s="2">
        <v>948</v>
      </c>
      <c r="B949" s="3">
        <v>40586</v>
      </c>
      <c r="C949" s="2">
        <v>1</v>
      </c>
      <c r="D949" s="2">
        <v>0</v>
      </c>
      <c r="E949" s="2">
        <v>2</v>
      </c>
      <c r="F949" s="2">
        <v>2</v>
      </c>
      <c r="G949" s="2" t="b">
        <v>0</v>
      </c>
      <c r="H949" s="2">
        <v>6</v>
      </c>
      <c r="I949" s="2">
        <v>1</v>
      </c>
      <c r="J949" s="2">
        <v>0.14000000000000001</v>
      </c>
      <c r="K949" s="2">
        <v>0.21210000000000001</v>
      </c>
      <c r="L949" s="2">
        <v>0.8</v>
      </c>
      <c r="M949" s="2">
        <v>0</v>
      </c>
      <c r="N949" s="2">
        <v>13</v>
      </c>
      <c r="O949" s="2">
        <v>15</v>
      </c>
      <c r="P949" s="2" t="str">
        <f t="shared" si="14"/>
        <v>Saturday</v>
      </c>
      <c r="Q949" s="2" t="str">
        <f>IF(Table1[[#This Row],[temp]]&gt;=0.24,"cold","colder")</f>
        <v>colder</v>
      </c>
      <c r="R949" s="2">
        <v>2</v>
      </c>
      <c r="S949" s="16" t="str" cm="1">
        <f t="array" ref="S949">_xlfn.IFS(Table1[[#This Row],[weathersit]]=1,"clear sky",Table1[[#This Row],[weathersit]]=2,"mist",Table1[[#This Row],[weathersit]]=3,"partially dark",Table1[[#This Row],[weathersit]]=4,"rain")</f>
        <v>clear sky</v>
      </c>
    </row>
    <row r="950" spans="1:19" ht="13.8" x14ac:dyDescent="0.3">
      <c r="A950" s="2">
        <v>949</v>
      </c>
      <c r="B950" s="3">
        <v>40586</v>
      </c>
      <c r="C950" s="2">
        <v>1</v>
      </c>
      <c r="D950" s="2">
        <v>0</v>
      </c>
      <c r="E950" s="2">
        <v>2</v>
      </c>
      <c r="F950" s="2">
        <v>3</v>
      </c>
      <c r="G950" s="2" t="b">
        <v>0</v>
      </c>
      <c r="H950" s="2">
        <v>6</v>
      </c>
      <c r="I950" s="2">
        <v>1</v>
      </c>
      <c r="J950" s="2">
        <v>0.12</v>
      </c>
      <c r="K950" s="2">
        <v>0.19700000000000001</v>
      </c>
      <c r="L950" s="2">
        <v>0.8</v>
      </c>
      <c r="M950" s="2">
        <v>0</v>
      </c>
      <c r="N950" s="2">
        <v>7</v>
      </c>
      <c r="O950" s="2">
        <v>10</v>
      </c>
      <c r="P950" s="2" t="str">
        <f t="shared" si="14"/>
        <v>Saturday</v>
      </c>
      <c r="Q950" s="2" t="str">
        <f>IF(Table1[[#This Row],[temp]]&gt;=0.24,"cold","colder")</f>
        <v>colder</v>
      </c>
      <c r="R950" s="2">
        <v>3</v>
      </c>
      <c r="S950" s="16" t="str" cm="1">
        <f t="array" ref="S950">_xlfn.IFS(Table1[[#This Row],[weathersit]]=1,"clear sky",Table1[[#This Row],[weathersit]]=2,"mist",Table1[[#This Row],[weathersit]]=3,"partially dark",Table1[[#This Row],[weathersit]]=4,"rain")</f>
        <v>clear sky</v>
      </c>
    </row>
    <row r="951" spans="1:19" ht="13.8" x14ac:dyDescent="0.3">
      <c r="A951" s="2">
        <v>950</v>
      </c>
      <c r="B951" s="3">
        <v>40586</v>
      </c>
      <c r="C951" s="2">
        <v>1</v>
      </c>
      <c r="D951" s="2">
        <v>0</v>
      </c>
      <c r="E951" s="2">
        <v>2</v>
      </c>
      <c r="F951" s="2">
        <v>4</v>
      </c>
      <c r="G951" s="2" t="b">
        <v>0</v>
      </c>
      <c r="H951" s="2">
        <v>6</v>
      </c>
      <c r="I951" s="2">
        <v>1</v>
      </c>
      <c r="J951" s="2">
        <v>0.12</v>
      </c>
      <c r="K951" s="2">
        <v>0.16669999999999999</v>
      </c>
      <c r="L951" s="2">
        <v>0.74</v>
      </c>
      <c r="M951" s="2">
        <v>8.9599999999999999E-2</v>
      </c>
      <c r="N951" s="2">
        <v>4</v>
      </c>
      <c r="O951" s="2">
        <v>4</v>
      </c>
      <c r="P951" s="2" t="str">
        <f t="shared" si="14"/>
        <v>Saturday</v>
      </c>
      <c r="Q951" s="2" t="str">
        <f>IF(Table1[[#This Row],[temp]]&gt;=0.24,"cold","colder")</f>
        <v>colder</v>
      </c>
      <c r="R951" s="2">
        <v>0</v>
      </c>
      <c r="S951" s="16" t="str" cm="1">
        <f t="array" ref="S951">_xlfn.IFS(Table1[[#This Row],[weathersit]]=1,"clear sky",Table1[[#This Row],[weathersit]]=2,"mist",Table1[[#This Row],[weathersit]]=3,"partially dark",Table1[[#This Row],[weathersit]]=4,"rain")</f>
        <v>clear sky</v>
      </c>
    </row>
    <row r="952" spans="1:19" ht="13.8" x14ac:dyDescent="0.3">
      <c r="A952" s="2">
        <v>951</v>
      </c>
      <c r="B952" s="3">
        <v>40586</v>
      </c>
      <c r="C952" s="2">
        <v>1</v>
      </c>
      <c r="D952" s="2">
        <v>0</v>
      </c>
      <c r="E952" s="2">
        <v>2</v>
      </c>
      <c r="F952" s="2">
        <v>5</v>
      </c>
      <c r="G952" s="2" t="b">
        <v>0</v>
      </c>
      <c r="H952" s="2">
        <v>6</v>
      </c>
      <c r="I952" s="2">
        <v>1</v>
      </c>
      <c r="J952" s="2">
        <v>0.12</v>
      </c>
      <c r="K952" s="2">
        <v>0.16669999999999999</v>
      </c>
      <c r="L952" s="2">
        <v>0.74</v>
      </c>
      <c r="M952" s="2">
        <v>8.9599999999999999E-2</v>
      </c>
      <c r="N952" s="2">
        <v>1</v>
      </c>
      <c r="O952" s="2">
        <v>1</v>
      </c>
      <c r="P952" s="2" t="str">
        <f t="shared" si="14"/>
        <v>Saturday</v>
      </c>
      <c r="Q952" s="2" t="str">
        <f>IF(Table1[[#This Row],[temp]]&gt;=0.24,"cold","colder")</f>
        <v>colder</v>
      </c>
      <c r="R952" s="2">
        <v>0</v>
      </c>
      <c r="S952" s="16" t="str" cm="1">
        <f t="array" ref="S952">_xlfn.IFS(Table1[[#This Row],[weathersit]]=1,"clear sky",Table1[[#This Row],[weathersit]]=2,"mist",Table1[[#This Row],[weathersit]]=3,"partially dark",Table1[[#This Row],[weathersit]]=4,"rain")</f>
        <v>clear sky</v>
      </c>
    </row>
    <row r="953" spans="1:19" ht="13.8" x14ac:dyDescent="0.3">
      <c r="A953" s="2">
        <v>952</v>
      </c>
      <c r="B953" s="3">
        <v>40586</v>
      </c>
      <c r="C953" s="2">
        <v>1</v>
      </c>
      <c r="D953" s="2">
        <v>0</v>
      </c>
      <c r="E953" s="2">
        <v>2</v>
      </c>
      <c r="F953" s="2">
        <v>6</v>
      </c>
      <c r="G953" s="2" t="b">
        <v>0</v>
      </c>
      <c r="H953" s="2">
        <v>6</v>
      </c>
      <c r="I953" s="2">
        <v>1</v>
      </c>
      <c r="J953" s="2">
        <v>0.12</v>
      </c>
      <c r="K953" s="2">
        <v>0.13639999999999999</v>
      </c>
      <c r="L953" s="2">
        <v>0.93</v>
      </c>
      <c r="M953" s="2">
        <v>0.19400000000000001</v>
      </c>
      <c r="N953" s="2">
        <v>1</v>
      </c>
      <c r="O953" s="2">
        <v>2</v>
      </c>
      <c r="P953" s="2" t="str">
        <f t="shared" si="14"/>
        <v>Saturday</v>
      </c>
      <c r="Q953" s="2" t="str">
        <f>IF(Table1[[#This Row],[temp]]&gt;=0.24,"cold","colder")</f>
        <v>colder</v>
      </c>
      <c r="R953" s="2">
        <v>1</v>
      </c>
      <c r="S953" s="16" t="str" cm="1">
        <f t="array" ref="S953">_xlfn.IFS(Table1[[#This Row],[weathersit]]=1,"clear sky",Table1[[#This Row],[weathersit]]=2,"mist",Table1[[#This Row],[weathersit]]=3,"partially dark",Table1[[#This Row],[weathersit]]=4,"rain")</f>
        <v>clear sky</v>
      </c>
    </row>
    <row r="954" spans="1:19" ht="13.8" x14ac:dyDescent="0.3">
      <c r="A954" s="2">
        <v>953</v>
      </c>
      <c r="B954" s="3">
        <v>40586</v>
      </c>
      <c r="C954" s="2">
        <v>1</v>
      </c>
      <c r="D954" s="2">
        <v>0</v>
      </c>
      <c r="E954" s="2">
        <v>2</v>
      </c>
      <c r="F954" s="2">
        <v>7</v>
      </c>
      <c r="G954" s="2" t="b">
        <v>0</v>
      </c>
      <c r="H954" s="2">
        <v>6</v>
      </c>
      <c r="I954" s="2">
        <v>1</v>
      </c>
      <c r="J954" s="2">
        <v>0.12</v>
      </c>
      <c r="K954" s="2">
        <v>0.1515</v>
      </c>
      <c r="L954" s="2">
        <v>0.8</v>
      </c>
      <c r="M954" s="2">
        <v>0.1045</v>
      </c>
      <c r="N954" s="2">
        <v>9</v>
      </c>
      <c r="O954" s="2">
        <v>11</v>
      </c>
      <c r="P954" s="2" t="str">
        <f t="shared" si="14"/>
        <v>Saturday</v>
      </c>
      <c r="Q954" s="2" t="str">
        <f>IF(Table1[[#This Row],[temp]]&gt;=0.24,"cold","colder")</f>
        <v>colder</v>
      </c>
      <c r="R954" s="2">
        <v>2</v>
      </c>
      <c r="S954" s="16" t="str" cm="1">
        <f t="array" ref="S954">_xlfn.IFS(Table1[[#This Row],[weathersit]]=1,"clear sky",Table1[[#This Row],[weathersit]]=2,"mist",Table1[[#This Row],[weathersit]]=3,"partially dark",Table1[[#This Row],[weathersit]]=4,"rain")</f>
        <v>clear sky</v>
      </c>
    </row>
    <row r="955" spans="1:19" ht="13.8" x14ac:dyDescent="0.3">
      <c r="A955" s="2">
        <v>954</v>
      </c>
      <c r="B955" s="3">
        <v>40586</v>
      </c>
      <c r="C955" s="2">
        <v>1</v>
      </c>
      <c r="D955" s="2">
        <v>0</v>
      </c>
      <c r="E955" s="2">
        <v>2</v>
      </c>
      <c r="F955" s="2">
        <v>8</v>
      </c>
      <c r="G955" s="2" t="b">
        <v>0</v>
      </c>
      <c r="H955" s="2">
        <v>6</v>
      </c>
      <c r="I955" s="2">
        <v>1</v>
      </c>
      <c r="J955" s="2">
        <v>0.14000000000000001</v>
      </c>
      <c r="K955" s="2">
        <v>0.1515</v>
      </c>
      <c r="L955" s="2">
        <v>0.86</v>
      </c>
      <c r="M955" s="2">
        <v>0.1343</v>
      </c>
      <c r="N955" s="2">
        <v>28</v>
      </c>
      <c r="O955" s="2">
        <v>30</v>
      </c>
      <c r="P955" s="2" t="str">
        <f t="shared" si="14"/>
        <v>Saturday</v>
      </c>
      <c r="Q955" s="2" t="str">
        <f>IF(Table1[[#This Row],[temp]]&gt;=0.24,"cold","colder")</f>
        <v>colder</v>
      </c>
      <c r="R955" s="2">
        <v>2</v>
      </c>
      <c r="S955" s="16" t="str" cm="1">
        <f t="array" ref="S955">_xlfn.IFS(Table1[[#This Row],[weathersit]]=1,"clear sky",Table1[[#This Row],[weathersit]]=2,"mist",Table1[[#This Row],[weathersit]]=3,"partially dark",Table1[[#This Row],[weathersit]]=4,"rain")</f>
        <v>clear sky</v>
      </c>
    </row>
    <row r="956" spans="1:19" ht="13.8" x14ac:dyDescent="0.3">
      <c r="A956" s="2">
        <v>955</v>
      </c>
      <c r="B956" s="3">
        <v>40586</v>
      </c>
      <c r="C956" s="2">
        <v>1</v>
      </c>
      <c r="D956" s="2">
        <v>0</v>
      </c>
      <c r="E956" s="2">
        <v>2</v>
      </c>
      <c r="F956" s="2">
        <v>9</v>
      </c>
      <c r="G956" s="2" t="b">
        <v>0</v>
      </c>
      <c r="H956" s="2">
        <v>6</v>
      </c>
      <c r="I956" s="2">
        <v>1</v>
      </c>
      <c r="J956" s="2">
        <v>0.16</v>
      </c>
      <c r="K956" s="2">
        <v>0.18179999999999999</v>
      </c>
      <c r="L956" s="2">
        <v>0.64</v>
      </c>
      <c r="M956" s="2">
        <v>0.1343</v>
      </c>
      <c r="N956" s="2">
        <v>38</v>
      </c>
      <c r="O956" s="2">
        <v>43</v>
      </c>
      <c r="P956" s="2" t="str">
        <f t="shared" si="14"/>
        <v>Saturday</v>
      </c>
      <c r="Q956" s="2" t="str">
        <f>IF(Table1[[#This Row],[temp]]&gt;=0.24,"cold","colder")</f>
        <v>colder</v>
      </c>
      <c r="R956" s="2">
        <v>5</v>
      </c>
      <c r="S956" s="16" t="str" cm="1">
        <f t="array" ref="S956">_xlfn.IFS(Table1[[#This Row],[weathersit]]=1,"clear sky",Table1[[#This Row],[weathersit]]=2,"mist",Table1[[#This Row],[weathersit]]=3,"partially dark",Table1[[#This Row],[weathersit]]=4,"rain")</f>
        <v>clear sky</v>
      </c>
    </row>
    <row r="957" spans="1:19" ht="13.8" x14ac:dyDescent="0.3">
      <c r="A957" s="2">
        <v>956</v>
      </c>
      <c r="B957" s="3">
        <v>40586</v>
      </c>
      <c r="C957" s="2">
        <v>1</v>
      </c>
      <c r="D957" s="2">
        <v>0</v>
      </c>
      <c r="E957" s="2">
        <v>2</v>
      </c>
      <c r="F957" s="2">
        <v>10</v>
      </c>
      <c r="G957" s="2" t="b">
        <v>0</v>
      </c>
      <c r="H957" s="2">
        <v>6</v>
      </c>
      <c r="I957" s="2">
        <v>1</v>
      </c>
      <c r="J957" s="2">
        <v>0.22</v>
      </c>
      <c r="K957" s="2">
        <v>0.21210000000000001</v>
      </c>
      <c r="L957" s="2">
        <v>0.41</v>
      </c>
      <c r="M957" s="2">
        <v>0.25369999999999998</v>
      </c>
      <c r="N957" s="2">
        <v>71</v>
      </c>
      <c r="O957" s="2">
        <v>84</v>
      </c>
      <c r="P957" s="2" t="str">
        <f t="shared" si="14"/>
        <v>Saturday</v>
      </c>
      <c r="Q957" s="2" t="str">
        <f>IF(Table1[[#This Row],[temp]]&gt;=0.24,"cold","colder")</f>
        <v>colder</v>
      </c>
      <c r="R957" s="2">
        <v>13</v>
      </c>
      <c r="S957" s="16" t="str" cm="1">
        <f t="array" ref="S957">_xlfn.IFS(Table1[[#This Row],[weathersit]]=1,"clear sky",Table1[[#This Row],[weathersit]]=2,"mist",Table1[[#This Row],[weathersit]]=3,"partially dark",Table1[[#This Row],[weathersit]]=4,"rain")</f>
        <v>clear sky</v>
      </c>
    </row>
    <row r="958" spans="1:19" ht="13.8" x14ac:dyDescent="0.3">
      <c r="A958" s="2">
        <v>957</v>
      </c>
      <c r="B958" s="3">
        <v>40586</v>
      </c>
      <c r="C958" s="2">
        <v>1</v>
      </c>
      <c r="D958" s="2">
        <v>0</v>
      </c>
      <c r="E958" s="2">
        <v>2</v>
      </c>
      <c r="F958" s="2">
        <v>11</v>
      </c>
      <c r="G958" s="2" t="b">
        <v>0</v>
      </c>
      <c r="H958" s="2">
        <v>6</v>
      </c>
      <c r="I958" s="2">
        <v>1</v>
      </c>
      <c r="J958" s="2">
        <v>0.3</v>
      </c>
      <c r="K958" s="2">
        <v>0.2727</v>
      </c>
      <c r="L958" s="2">
        <v>0.28000000000000003</v>
      </c>
      <c r="M958" s="2">
        <v>0.32840000000000003</v>
      </c>
      <c r="N958" s="2">
        <v>84</v>
      </c>
      <c r="O958" s="2">
        <v>114</v>
      </c>
      <c r="P958" s="2" t="str">
        <f t="shared" si="14"/>
        <v>Saturday</v>
      </c>
      <c r="Q958" s="2" t="str">
        <f>IF(Table1[[#This Row],[temp]]&gt;=0.24,"cold","colder")</f>
        <v>cold</v>
      </c>
      <c r="R958" s="2">
        <v>30</v>
      </c>
      <c r="S958" s="16" t="str" cm="1">
        <f t="array" ref="S958">_xlfn.IFS(Table1[[#This Row],[weathersit]]=1,"clear sky",Table1[[#This Row],[weathersit]]=2,"mist",Table1[[#This Row],[weathersit]]=3,"partially dark",Table1[[#This Row],[weathersit]]=4,"rain")</f>
        <v>clear sky</v>
      </c>
    </row>
    <row r="959" spans="1:19" ht="13.8" x14ac:dyDescent="0.3">
      <c r="A959" s="2">
        <v>958</v>
      </c>
      <c r="B959" s="3">
        <v>40586</v>
      </c>
      <c r="C959" s="2">
        <v>1</v>
      </c>
      <c r="D959" s="2">
        <v>0</v>
      </c>
      <c r="E959" s="2">
        <v>2</v>
      </c>
      <c r="F959" s="2">
        <v>12</v>
      </c>
      <c r="G959" s="2" t="b">
        <v>0</v>
      </c>
      <c r="H959" s="2">
        <v>6</v>
      </c>
      <c r="I959" s="2">
        <v>1</v>
      </c>
      <c r="J959" s="2">
        <v>0.3</v>
      </c>
      <c r="K959" s="2">
        <v>0.2727</v>
      </c>
      <c r="L959" s="2">
        <v>0.39</v>
      </c>
      <c r="M959" s="2">
        <v>0.4627</v>
      </c>
      <c r="N959" s="2">
        <v>93</v>
      </c>
      <c r="O959" s="2">
        <v>120</v>
      </c>
      <c r="P959" s="2" t="str">
        <f t="shared" si="14"/>
        <v>Saturday</v>
      </c>
      <c r="Q959" s="2" t="str">
        <f>IF(Table1[[#This Row],[temp]]&gt;=0.24,"cold","colder")</f>
        <v>cold</v>
      </c>
      <c r="R959" s="2">
        <v>27</v>
      </c>
      <c r="S959" s="16" t="str" cm="1">
        <f t="array" ref="S959">_xlfn.IFS(Table1[[#This Row],[weathersit]]=1,"clear sky",Table1[[#This Row],[weathersit]]=2,"mist",Table1[[#This Row],[weathersit]]=3,"partially dark",Table1[[#This Row],[weathersit]]=4,"rain")</f>
        <v>clear sky</v>
      </c>
    </row>
    <row r="960" spans="1:19" ht="13.8" x14ac:dyDescent="0.3">
      <c r="A960" s="2">
        <v>959</v>
      </c>
      <c r="B960" s="3">
        <v>40586</v>
      </c>
      <c r="C960" s="2">
        <v>1</v>
      </c>
      <c r="D960" s="2">
        <v>0</v>
      </c>
      <c r="E960" s="2">
        <v>2</v>
      </c>
      <c r="F960" s="2">
        <v>13</v>
      </c>
      <c r="G960" s="2" t="b">
        <v>0</v>
      </c>
      <c r="H960" s="2">
        <v>6</v>
      </c>
      <c r="I960" s="2">
        <v>1</v>
      </c>
      <c r="J960" s="2">
        <v>0.3</v>
      </c>
      <c r="K960" s="2">
        <v>0.2727</v>
      </c>
      <c r="L960" s="2">
        <v>0.39</v>
      </c>
      <c r="M960" s="2">
        <v>0.41789999999999999</v>
      </c>
      <c r="N960" s="2">
        <v>103</v>
      </c>
      <c r="O960" s="2">
        <v>135</v>
      </c>
      <c r="P960" s="2" t="str">
        <f t="shared" si="14"/>
        <v>Saturday</v>
      </c>
      <c r="Q960" s="2" t="str">
        <f>IF(Table1[[#This Row],[temp]]&gt;=0.24,"cold","colder")</f>
        <v>cold</v>
      </c>
      <c r="R960" s="2">
        <v>32</v>
      </c>
      <c r="S960" s="16" t="str" cm="1">
        <f t="array" ref="S960">_xlfn.IFS(Table1[[#This Row],[weathersit]]=1,"clear sky",Table1[[#This Row],[weathersit]]=2,"mist",Table1[[#This Row],[weathersit]]=3,"partially dark",Table1[[#This Row],[weathersit]]=4,"rain")</f>
        <v>clear sky</v>
      </c>
    </row>
    <row r="961" spans="1:19" ht="13.8" x14ac:dyDescent="0.3">
      <c r="A961" s="2">
        <v>960</v>
      </c>
      <c r="B961" s="3">
        <v>40586</v>
      </c>
      <c r="C961" s="2">
        <v>1</v>
      </c>
      <c r="D961" s="2">
        <v>0</v>
      </c>
      <c r="E961" s="2">
        <v>2</v>
      </c>
      <c r="F961" s="2">
        <v>14</v>
      </c>
      <c r="G961" s="2" t="b">
        <v>0</v>
      </c>
      <c r="H961" s="2">
        <v>6</v>
      </c>
      <c r="I961" s="2">
        <v>1</v>
      </c>
      <c r="J961" s="2">
        <v>0.34</v>
      </c>
      <c r="K961" s="2">
        <v>0.31819999999999998</v>
      </c>
      <c r="L961" s="2">
        <v>0.31</v>
      </c>
      <c r="M961" s="2">
        <v>0.28360000000000002</v>
      </c>
      <c r="N961" s="2">
        <v>90</v>
      </c>
      <c r="O961" s="2">
        <v>120</v>
      </c>
      <c r="P961" s="2" t="str">
        <f t="shared" si="14"/>
        <v>Saturday</v>
      </c>
      <c r="Q961" s="2" t="str">
        <f>IF(Table1[[#This Row],[temp]]&gt;=0.24,"cold","colder")</f>
        <v>cold</v>
      </c>
      <c r="R961" s="2">
        <v>30</v>
      </c>
      <c r="S961" s="16" t="str" cm="1">
        <f t="array" ref="S961">_xlfn.IFS(Table1[[#This Row],[weathersit]]=1,"clear sky",Table1[[#This Row],[weathersit]]=2,"mist",Table1[[#This Row],[weathersit]]=3,"partially dark",Table1[[#This Row],[weathersit]]=4,"rain")</f>
        <v>clear sky</v>
      </c>
    </row>
    <row r="962" spans="1:19" ht="13.8" x14ac:dyDescent="0.3">
      <c r="A962" s="2">
        <v>961</v>
      </c>
      <c r="B962" s="3">
        <v>40586</v>
      </c>
      <c r="C962" s="2">
        <v>1</v>
      </c>
      <c r="D962" s="2">
        <v>0</v>
      </c>
      <c r="E962" s="2">
        <v>2</v>
      </c>
      <c r="F962" s="2">
        <v>15</v>
      </c>
      <c r="G962" s="2" t="b">
        <v>0</v>
      </c>
      <c r="H962" s="2">
        <v>6</v>
      </c>
      <c r="I962" s="2">
        <v>1</v>
      </c>
      <c r="J962" s="2">
        <v>0.34</v>
      </c>
      <c r="K962" s="2">
        <v>0.30299999999999999</v>
      </c>
      <c r="L962" s="2">
        <v>0.28999999999999998</v>
      </c>
      <c r="M962" s="2">
        <v>0.41789999999999999</v>
      </c>
      <c r="N962" s="2">
        <v>127</v>
      </c>
      <c r="O962" s="2">
        <v>174</v>
      </c>
      <c r="P962" s="2" t="str">
        <f t="shared" ref="P962:P1001" si="15">TEXT(B962,"dddd")</f>
        <v>Saturday</v>
      </c>
      <c r="Q962" s="2" t="str">
        <f>IF(Table1[[#This Row],[temp]]&gt;=0.24,"cold","colder")</f>
        <v>cold</v>
      </c>
      <c r="R962" s="2">
        <v>47</v>
      </c>
      <c r="S962" s="16" t="str" cm="1">
        <f t="array" ref="S962">_xlfn.IFS(Table1[[#This Row],[weathersit]]=1,"clear sky",Table1[[#This Row],[weathersit]]=2,"mist",Table1[[#This Row],[weathersit]]=3,"partially dark",Table1[[#This Row],[weathersit]]=4,"rain")</f>
        <v>clear sky</v>
      </c>
    </row>
    <row r="963" spans="1:19" ht="13.8" x14ac:dyDescent="0.3">
      <c r="A963" s="2">
        <v>962</v>
      </c>
      <c r="B963" s="3">
        <v>40586</v>
      </c>
      <c r="C963" s="2">
        <v>1</v>
      </c>
      <c r="D963" s="2">
        <v>0</v>
      </c>
      <c r="E963" s="2">
        <v>2</v>
      </c>
      <c r="F963" s="2">
        <v>16</v>
      </c>
      <c r="G963" s="2" t="b">
        <v>0</v>
      </c>
      <c r="H963" s="2">
        <v>6</v>
      </c>
      <c r="I963" s="2">
        <v>1</v>
      </c>
      <c r="J963" s="2">
        <v>0.34</v>
      </c>
      <c r="K963" s="2">
        <v>0.30299999999999999</v>
      </c>
      <c r="L963" s="2">
        <v>0.28999999999999998</v>
      </c>
      <c r="M963" s="2">
        <v>0.41789999999999999</v>
      </c>
      <c r="N963" s="2">
        <v>103</v>
      </c>
      <c r="O963" s="2">
        <v>145</v>
      </c>
      <c r="P963" s="2" t="str">
        <f t="shared" si="15"/>
        <v>Saturday</v>
      </c>
      <c r="Q963" s="2" t="str">
        <f>IF(Table1[[#This Row],[temp]]&gt;=0.24,"cold","colder")</f>
        <v>cold</v>
      </c>
      <c r="R963" s="2">
        <v>42</v>
      </c>
      <c r="S963" s="16" t="str" cm="1">
        <f t="array" ref="S963">_xlfn.IFS(Table1[[#This Row],[weathersit]]=1,"clear sky",Table1[[#This Row],[weathersit]]=2,"mist",Table1[[#This Row],[weathersit]]=3,"partially dark",Table1[[#This Row],[weathersit]]=4,"rain")</f>
        <v>clear sky</v>
      </c>
    </row>
    <row r="964" spans="1:19" ht="13.8" x14ac:dyDescent="0.3">
      <c r="A964" s="2">
        <v>963</v>
      </c>
      <c r="B964" s="3">
        <v>40586</v>
      </c>
      <c r="C964" s="2">
        <v>1</v>
      </c>
      <c r="D964" s="2">
        <v>0</v>
      </c>
      <c r="E964" s="2">
        <v>2</v>
      </c>
      <c r="F964" s="2">
        <v>17</v>
      </c>
      <c r="G964" s="2" t="b">
        <v>0</v>
      </c>
      <c r="H964" s="2">
        <v>6</v>
      </c>
      <c r="I964" s="2">
        <v>1</v>
      </c>
      <c r="J964" s="2">
        <v>0.32</v>
      </c>
      <c r="K964" s="2">
        <v>0.28789999999999999</v>
      </c>
      <c r="L964" s="2">
        <v>0.31</v>
      </c>
      <c r="M964" s="2">
        <v>0.52239999999999998</v>
      </c>
      <c r="N964" s="2">
        <v>113</v>
      </c>
      <c r="O964" s="2">
        <v>137</v>
      </c>
      <c r="P964" s="2" t="str">
        <f t="shared" si="15"/>
        <v>Saturday</v>
      </c>
      <c r="Q964" s="2" t="str">
        <f>IF(Table1[[#This Row],[temp]]&gt;=0.24,"cold","colder")</f>
        <v>cold</v>
      </c>
      <c r="R964" s="2">
        <v>24</v>
      </c>
      <c r="S964" s="16" t="str" cm="1">
        <f t="array" ref="S964">_xlfn.IFS(Table1[[#This Row],[weathersit]]=1,"clear sky",Table1[[#This Row],[weathersit]]=2,"mist",Table1[[#This Row],[weathersit]]=3,"partially dark",Table1[[#This Row],[weathersit]]=4,"rain")</f>
        <v>clear sky</v>
      </c>
    </row>
    <row r="965" spans="1:19" ht="13.8" x14ac:dyDescent="0.3">
      <c r="A965" s="2">
        <v>964</v>
      </c>
      <c r="B965" s="3">
        <v>40586</v>
      </c>
      <c r="C965" s="2">
        <v>1</v>
      </c>
      <c r="D965" s="2">
        <v>0</v>
      </c>
      <c r="E965" s="2">
        <v>2</v>
      </c>
      <c r="F965" s="2">
        <v>18</v>
      </c>
      <c r="G965" s="2" t="b">
        <v>0</v>
      </c>
      <c r="H965" s="2">
        <v>6</v>
      </c>
      <c r="I965" s="2">
        <v>1</v>
      </c>
      <c r="J965" s="2">
        <v>0.28000000000000003</v>
      </c>
      <c r="K965" s="2">
        <v>0.2576</v>
      </c>
      <c r="L965" s="2">
        <v>0.38</v>
      </c>
      <c r="M965" s="2">
        <v>0.32840000000000003</v>
      </c>
      <c r="N965" s="2">
        <v>60</v>
      </c>
      <c r="O965" s="2">
        <v>64</v>
      </c>
      <c r="P965" s="2" t="str">
        <f t="shared" si="15"/>
        <v>Saturday</v>
      </c>
      <c r="Q965" s="2" t="str">
        <f>IF(Table1[[#This Row],[temp]]&gt;=0.24,"cold","colder")</f>
        <v>cold</v>
      </c>
      <c r="R965" s="2">
        <v>4</v>
      </c>
      <c r="S965" s="16" t="str" cm="1">
        <f t="array" ref="S965">_xlfn.IFS(Table1[[#This Row],[weathersit]]=1,"clear sky",Table1[[#This Row],[weathersit]]=2,"mist",Table1[[#This Row],[weathersit]]=3,"partially dark",Table1[[#This Row],[weathersit]]=4,"rain")</f>
        <v>clear sky</v>
      </c>
    </row>
    <row r="966" spans="1:19" ht="13.8" x14ac:dyDescent="0.3">
      <c r="A966" s="2">
        <v>965</v>
      </c>
      <c r="B966" s="3">
        <v>40586</v>
      </c>
      <c r="C966" s="2">
        <v>1</v>
      </c>
      <c r="D966" s="2">
        <v>0</v>
      </c>
      <c r="E966" s="2">
        <v>2</v>
      </c>
      <c r="F966" s="2">
        <v>19</v>
      </c>
      <c r="G966" s="2" t="b">
        <v>0</v>
      </c>
      <c r="H966" s="2">
        <v>6</v>
      </c>
      <c r="I966" s="2">
        <v>1</v>
      </c>
      <c r="J966" s="2">
        <v>0.28000000000000003</v>
      </c>
      <c r="K966" s="2">
        <v>0.2727</v>
      </c>
      <c r="L966" s="2">
        <v>0.38</v>
      </c>
      <c r="M966" s="2">
        <v>0.16420000000000001</v>
      </c>
      <c r="N966" s="2">
        <v>39</v>
      </c>
      <c r="O966" s="2">
        <v>41</v>
      </c>
      <c r="P966" s="2" t="str">
        <f t="shared" si="15"/>
        <v>Saturday</v>
      </c>
      <c r="Q966" s="2" t="str">
        <f>IF(Table1[[#This Row],[temp]]&gt;=0.24,"cold","colder")</f>
        <v>cold</v>
      </c>
      <c r="R966" s="2">
        <v>2</v>
      </c>
      <c r="S966" s="16" t="str" cm="1">
        <f t="array" ref="S966">_xlfn.IFS(Table1[[#This Row],[weathersit]]=1,"clear sky",Table1[[#This Row],[weathersit]]=2,"mist",Table1[[#This Row],[weathersit]]=3,"partially dark",Table1[[#This Row],[weathersit]]=4,"rain")</f>
        <v>clear sky</v>
      </c>
    </row>
    <row r="967" spans="1:19" ht="13.8" x14ac:dyDescent="0.3">
      <c r="A967" s="2">
        <v>966</v>
      </c>
      <c r="B967" s="3">
        <v>40586</v>
      </c>
      <c r="C967" s="2">
        <v>1</v>
      </c>
      <c r="D967" s="2">
        <v>0</v>
      </c>
      <c r="E967" s="2">
        <v>2</v>
      </c>
      <c r="F967" s="2">
        <v>20</v>
      </c>
      <c r="G967" s="2" t="b">
        <v>0</v>
      </c>
      <c r="H967" s="2">
        <v>6</v>
      </c>
      <c r="I967" s="2">
        <v>1</v>
      </c>
      <c r="J967" s="2">
        <v>0.26</v>
      </c>
      <c r="K967" s="2">
        <v>0.2576</v>
      </c>
      <c r="L967" s="2">
        <v>0.41</v>
      </c>
      <c r="M967" s="2">
        <v>0.22389999999999999</v>
      </c>
      <c r="N967" s="2">
        <v>39</v>
      </c>
      <c r="O967" s="2">
        <v>40</v>
      </c>
      <c r="P967" s="2" t="str">
        <f t="shared" si="15"/>
        <v>Saturday</v>
      </c>
      <c r="Q967" s="2" t="str">
        <f>IF(Table1[[#This Row],[temp]]&gt;=0.24,"cold","colder")</f>
        <v>cold</v>
      </c>
      <c r="R967" s="2">
        <v>1</v>
      </c>
      <c r="S967" s="16" t="str" cm="1">
        <f t="array" ref="S967">_xlfn.IFS(Table1[[#This Row],[weathersit]]=1,"clear sky",Table1[[#This Row],[weathersit]]=2,"mist",Table1[[#This Row],[weathersit]]=3,"partially dark",Table1[[#This Row],[weathersit]]=4,"rain")</f>
        <v>clear sky</v>
      </c>
    </row>
    <row r="968" spans="1:19" ht="13.8" x14ac:dyDescent="0.3">
      <c r="A968" s="2">
        <v>967</v>
      </c>
      <c r="B968" s="3">
        <v>40586</v>
      </c>
      <c r="C968" s="2">
        <v>1</v>
      </c>
      <c r="D968" s="2">
        <v>0</v>
      </c>
      <c r="E968" s="2">
        <v>2</v>
      </c>
      <c r="F968" s="2">
        <v>21</v>
      </c>
      <c r="G968" s="2" t="b">
        <v>0</v>
      </c>
      <c r="H968" s="2">
        <v>6</v>
      </c>
      <c r="I968" s="2">
        <v>1</v>
      </c>
      <c r="J968" s="2">
        <v>0.26</v>
      </c>
      <c r="K968" s="2">
        <v>0.30299999999999999</v>
      </c>
      <c r="L968" s="2">
        <v>0.41</v>
      </c>
      <c r="M968" s="2">
        <v>0</v>
      </c>
      <c r="N968" s="2">
        <v>42</v>
      </c>
      <c r="O968" s="2">
        <v>51</v>
      </c>
      <c r="P968" s="2" t="str">
        <f t="shared" si="15"/>
        <v>Saturday</v>
      </c>
      <c r="Q968" s="2" t="str">
        <f>IF(Table1[[#This Row],[temp]]&gt;=0.24,"cold","colder")</f>
        <v>cold</v>
      </c>
      <c r="R968" s="2">
        <v>9</v>
      </c>
      <c r="S968" s="16" t="str" cm="1">
        <f t="array" ref="S968">_xlfn.IFS(Table1[[#This Row],[weathersit]]=1,"clear sky",Table1[[#This Row],[weathersit]]=2,"mist",Table1[[#This Row],[weathersit]]=3,"partially dark",Table1[[#This Row],[weathersit]]=4,"rain")</f>
        <v>clear sky</v>
      </c>
    </row>
    <row r="969" spans="1:19" ht="13.8" x14ac:dyDescent="0.3">
      <c r="A969" s="2">
        <v>968</v>
      </c>
      <c r="B969" s="3">
        <v>40586</v>
      </c>
      <c r="C969" s="2">
        <v>1</v>
      </c>
      <c r="D969" s="2">
        <v>0</v>
      </c>
      <c r="E969" s="2">
        <v>2</v>
      </c>
      <c r="F969" s="2">
        <v>22</v>
      </c>
      <c r="G969" s="2" t="b">
        <v>0</v>
      </c>
      <c r="H969" s="2">
        <v>6</v>
      </c>
      <c r="I969" s="2">
        <v>1</v>
      </c>
      <c r="J969" s="2">
        <v>0.24</v>
      </c>
      <c r="K969" s="2">
        <v>0.2576</v>
      </c>
      <c r="L969" s="2">
        <v>0.44</v>
      </c>
      <c r="M969" s="2">
        <v>8.9599999999999999E-2</v>
      </c>
      <c r="N969" s="2">
        <v>39</v>
      </c>
      <c r="O969" s="2">
        <v>45</v>
      </c>
      <c r="P969" s="2" t="str">
        <f t="shared" si="15"/>
        <v>Saturday</v>
      </c>
      <c r="Q969" s="2" t="str">
        <f>IF(Table1[[#This Row],[temp]]&gt;=0.24,"cold","colder")</f>
        <v>cold</v>
      </c>
      <c r="R969" s="2">
        <v>6</v>
      </c>
      <c r="S969" s="16" t="str" cm="1">
        <f t="array" ref="S969">_xlfn.IFS(Table1[[#This Row],[weathersit]]=1,"clear sky",Table1[[#This Row],[weathersit]]=2,"mist",Table1[[#This Row],[weathersit]]=3,"partially dark",Table1[[#This Row],[weathersit]]=4,"rain")</f>
        <v>clear sky</v>
      </c>
    </row>
    <row r="970" spans="1:19" ht="13.8" x14ac:dyDescent="0.3">
      <c r="A970" s="2">
        <v>969</v>
      </c>
      <c r="B970" s="3">
        <v>40586</v>
      </c>
      <c r="C970" s="2">
        <v>1</v>
      </c>
      <c r="D970" s="2">
        <v>0</v>
      </c>
      <c r="E970" s="2">
        <v>2</v>
      </c>
      <c r="F970" s="2">
        <v>23</v>
      </c>
      <c r="G970" s="2" t="b">
        <v>0</v>
      </c>
      <c r="H970" s="2">
        <v>6</v>
      </c>
      <c r="I970" s="2">
        <v>1</v>
      </c>
      <c r="J970" s="2">
        <v>0.22</v>
      </c>
      <c r="K970" s="2">
        <v>0.2273</v>
      </c>
      <c r="L970" s="2">
        <v>0.51</v>
      </c>
      <c r="M970" s="2">
        <v>0.1343</v>
      </c>
      <c r="N970" s="2">
        <v>31</v>
      </c>
      <c r="O970" s="2">
        <v>32</v>
      </c>
      <c r="P970" s="2" t="str">
        <f t="shared" si="15"/>
        <v>Saturday</v>
      </c>
      <c r="Q970" s="2" t="str">
        <f>IF(Table1[[#This Row],[temp]]&gt;=0.24,"cold","colder")</f>
        <v>colder</v>
      </c>
      <c r="R970" s="2">
        <v>1</v>
      </c>
      <c r="S970" s="16" t="str" cm="1">
        <f t="array" ref="S970">_xlfn.IFS(Table1[[#This Row],[weathersit]]=1,"clear sky",Table1[[#This Row],[weathersit]]=2,"mist",Table1[[#This Row],[weathersit]]=3,"partially dark",Table1[[#This Row],[weathersit]]=4,"rain")</f>
        <v>clear sky</v>
      </c>
    </row>
    <row r="971" spans="1:19" ht="13.8" x14ac:dyDescent="0.3">
      <c r="A971" s="2">
        <v>970</v>
      </c>
      <c r="B971" s="3">
        <v>40587</v>
      </c>
      <c r="C971" s="2">
        <v>1</v>
      </c>
      <c r="D971" s="2">
        <v>0</v>
      </c>
      <c r="E971" s="2">
        <v>2</v>
      </c>
      <c r="F971" s="2">
        <v>0</v>
      </c>
      <c r="G971" s="2" t="b">
        <v>0</v>
      </c>
      <c r="H971" s="2">
        <v>0</v>
      </c>
      <c r="I971" s="2">
        <v>1</v>
      </c>
      <c r="J971" s="2">
        <v>0.2</v>
      </c>
      <c r="K971" s="2">
        <v>0.2273</v>
      </c>
      <c r="L971" s="2">
        <v>0.64</v>
      </c>
      <c r="M971" s="2">
        <v>0.1045</v>
      </c>
      <c r="N971" s="2">
        <v>34</v>
      </c>
      <c r="O971" s="2">
        <v>39</v>
      </c>
      <c r="P971" s="2" t="str">
        <f t="shared" si="15"/>
        <v>Sunday</v>
      </c>
      <c r="Q971" s="2" t="str">
        <f>IF(Table1[[#This Row],[temp]]&gt;=0.24,"cold","colder")</f>
        <v>colder</v>
      </c>
      <c r="R971" s="2">
        <v>5</v>
      </c>
      <c r="S971" s="16" t="str" cm="1">
        <f t="array" ref="S971">_xlfn.IFS(Table1[[#This Row],[weathersit]]=1,"clear sky",Table1[[#This Row],[weathersit]]=2,"mist",Table1[[#This Row],[weathersit]]=3,"partially dark",Table1[[#This Row],[weathersit]]=4,"rain")</f>
        <v>clear sky</v>
      </c>
    </row>
    <row r="972" spans="1:19" ht="13.8" x14ac:dyDescent="0.3">
      <c r="A972" s="2">
        <v>971</v>
      </c>
      <c r="B972" s="3">
        <v>40587</v>
      </c>
      <c r="C972" s="2">
        <v>1</v>
      </c>
      <c r="D972" s="2">
        <v>0</v>
      </c>
      <c r="E972" s="2">
        <v>2</v>
      </c>
      <c r="F972" s="2">
        <v>1</v>
      </c>
      <c r="G972" s="2" t="b">
        <v>0</v>
      </c>
      <c r="H972" s="2">
        <v>0</v>
      </c>
      <c r="I972" s="2">
        <v>1</v>
      </c>
      <c r="J972" s="2">
        <v>0.2</v>
      </c>
      <c r="K972" s="2">
        <v>0.2273</v>
      </c>
      <c r="L972" s="2">
        <v>0.59</v>
      </c>
      <c r="M972" s="2">
        <v>8.9599999999999999E-2</v>
      </c>
      <c r="N972" s="2">
        <v>23</v>
      </c>
      <c r="O972" s="2">
        <v>24</v>
      </c>
      <c r="P972" s="2" t="str">
        <f t="shared" si="15"/>
        <v>Sunday</v>
      </c>
      <c r="Q972" s="2" t="str">
        <f>IF(Table1[[#This Row],[temp]]&gt;=0.24,"cold","colder")</f>
        <v>colder</v>
      </c>
      <c r="R972" s="2">
        <v>1</v>
      </c>
      <c r="S972" s="16" t="str" cm="1">
        <f t="array" ref="S972">_xlfn.IFS(Table1[[#This Row],[weathersit]]=1,"clear sky",Table1[[#This Row],[weathersit]]=2,"mist",Table1[[#This Row],[weathersit]]=3,"partially dark",Table1[[#This Row],[weathersit]]=4,"rain")</f>
        <v>clear sky</v>
      </c>
    </row>
    <row r="973" spans="1:19" ht="13.8" x14ac:dyDescent="0.3">
      <c r="A973" s="2">
        <v>972</v>
      </c>
      <c r="B973" s="3">
        <v>40587</v>
      </c>
      <c r="C973" s="2">
        <v>1</v>
      </c>
      <c r="D973" s="2">
        <v>0</v>
      </c>
      <c r="E973" s="2">
        <v>2</v>
      </c>
      <c r="F973" s="2">
        <v>2</v>
      </c>
      <c r="G973" s="2" t="b">
        <v>0</v>
      </c>
      <c r="H973" s="2">
        <v>0</v>
      </c>
      <c r="I973" s="2">
        <v>2</v>
      </c>
      <c r="J973" s="2">
        <v>0.2</v>
      </c>
      <c r="K973" s="2">
        <v>0.2273</v>
      </c>
      <c r="L973" s="2">
        <v>0.75</v>
      </c>
      <c r="M973" s="2">
        <v>8.9599999999999999E-2</v>
      </c>
      <c r="N973" s="2">
        <v>19</v>
      </c>
      <c r="O973" s="2">
        <v>20</v>
      </c>
      <c r="P973" s="2" t="str">
        <f t="shared" si="15"/>
        <v>Sunday</v>
      </c>
      <c r="Q973" s="2" t="str">
        <f>IF(Table1[[#This Row],[temp]]&gt;=0.24,"cold","colder")</f>
        <v>colder</v>
      </c>
      <c r="R973" s="2">
        <v>1</v>
      </c>
      <c r="S973" s="16" t="str" cm="1">
        <f t="array" ref="S973">_xlfn.IFS(Table1[[#This Row],[weathersit]]=1,"clear sky",Table1[[#This Row],[weathersit]]=2,"mist",Table1[[#This Row],[weathersit]]=3,"partially dark",Table1[[#This Row],[weathersit]]=4,"rain")</f>
        <v>mist</v>
      </c>
    </row>
    <row r="974" spans="1:19" ht="13.8" x14ac:dyDescent="0.3">
      <c r="A974" s="2">
        <v>973</v>
      </c>
      <c r="B974" s="3">
        <v>40587</v>
      </c>
      <c r="C974" s="2">
        <v>1</v>
      </c>
      <c r="D974" s="2">
        <v>0</v>
      </c>
      <c r="E974" s="2">
        <v>2</v>
      </c>
      <c r="F974" s="2">
        <v>3</v>
      </c>
      <c r="G974" s="2" t="b">
        <v>0</v>
      </c>
      <c r="H974" s="2">
        <v>0</v>
      </c>
      <c r="I974" s="2">
        <v>2</v>
      </c>
      <c r="J974" s="2">
        <v>0.2</v>
      </c>
      <c r="K974" s="2">
        <v>0.2273</v>
      </c>
      <c r="L974" s="2">
        <v>0.69</v>
      </c>
      <c r="M974" s="2">
        <v>0.1045</v>
      </c>
      <c r="N974" s="2">
        <v>8</v>
      </c>
      <c r="O974" s="2">
        <v>12</v>
      </c>
      <c r="P974" s="2" t="str">
        <f t="shared" si="15"/>
        <v>Sunday</v>
      </c>
      <c r="Q974" s="2" t="str">
        <f>IF(Table1[[#This Row],[temp]]&gt;=0.24,"cold","colder")</f>
        <v>colder</v>
      </c>
      <c r="R974" s="2">
        <v>4</v>
      </c>
      <c r="S974" s="16" t="str" cm="1">
        <f t="array" ref="S974">_xlfn.IFS(Table1[[#This Row],[weathersit]]=1,"clear sky",Table1[[#This Row],[weathersit]]=2,"mist",Table1[[#This Row],[weathersit]]=3,"partially dark",Table1[[#This Row],[weathersit]]=4,"rain")</f>
        <v>mist</v>
      </c>
    </row>
    <row r="975" spans="1:19" ht="13.8" x14ac:dyDescent="0.3">
      <c r="A975" s="2">
        <v>974</v>
      </c>
      <c r="B975" s="3">
        <v>40587</v>
      </c>
      <c r="C975" s="2">
        <v>1</v>
      </c>
      <c r="D975" s="2">
        <v>0</v>
      </c>
      <c r="E975" s="2">
        <v>2</v>
      </c>
      <c r="F975" s="2">
        <v>4</v>
      </c>
      <c r="G975" s="2" t="b">
        <v>0</v>
      </c>
      <c r="H975" s="2">
        <v>0</v>
      </c>
      <c r="I975" s="2">
        <v>2</v>
      </c>
      <c r="J975" s="2">
        <v>0.2</v>
      </c>
      <c r="K975" s="2">
        <v>0.21210000000000001</v>
      </c>
      <c r="L975" s="2">
        <v>0.69</v>
      </c>
      <c r="M975" s="2">
        <v>0.16420000000000001</v>
      </c>
      <c r="N975" s="2">
        <v>2</v>
      </c>
      <c r="O975" s="2">
        <v>2</v>
      </c>
      <c r="P975" s="2" t="str">
        <f t="shared" si="15"/>
        <v>Sunday</v>
      </c>
      <c r="Q975" s="2" t="str">
        <f>IF(Table1[[#This Row],[temp]]&gt;=0.24,"cold","colder")</f>
        <v>colder</v>
      </c>
      <c r="R975" s="2">
        <v>0</v>
      </c>
      <c r="S975" s="16" t="str" cm="1">
        <f t="array" ref="S975">_xlfn.IFS(Table1[[#This Row],[weathersit]]=1,"clear sky",Table1[[#This Row],[weathersit]]=2,"mist",Table1[[#This Row],[weathersit]]=3,"partially dark",Table1[[#This Row],[weathersit]]=4,"rain")</f>
        <v>mist</v>
      </c>
    </row>
    <row r="976" spans="1:19" ht="13.8" x14ac:dyDescent="0.3">
      <c r="A976" s="2">
        <v>975</v>
      </c>
      <c r="B976" s="3">
        <v>40587</v>
      </c>
      <c r="C976" s="2">
        <v>1</v>
      </c>
      <c r="D976" s="2">
        <v>0</v>
      </c>
      <c r="E976" s="2">
        <v>2</v>
      </c>
      <c r="F976" s="2">
        <v>6</v>
      </c>
      <c r="G976" s="2" t="b">
        <v>0</v>
      </c>
      <c r="H976" s="2">
        <v>0</v>
      </c>
      <c r="I976" s="2">
        <v>2</v>
      </c>
      <c r="J976" s="2">
        <v>0.2</v>
      </c>
      <c r="K976" s="2">
        <v>0.21210000000000001</v>
      </c>
      <c r="L976" s="2">
        <v>0.69</v>
      </c>
      <c r="M976" s="2">
        <v>0.1343</v>
      </c>
      <c r="N976" s="2">
        <v>3</v>
      </c>
      <c r="O976" s="2">
        <v>5</v>
      </c>
      <c r="P976" s="2" t="str">
        <f t="shared" si="15"/>
        <v>Sunday</v>
      </c>
      <c r="Q976" s="2" t="str">
        <f>IF(Table1[[#This Row],[temp]]&gt;=0.24,"cold","colder")</f>
        <v>colder</v>
      </c>
      <c r="R976" s="2">
        <v>2</v>
      </c>
      <c r="S976" s="16" t="str" cm="1">
        <f t="array" ref="S976">_xlfn.IFS(Table1[[#This Row],[weathersit]]=1,"clear sky",Table1[[#This Row],[weathersit]]=2,"mist",Table1[[#This Row],[weathersit]]=3,"partially dark",Table1[[#This Row],[weathersit]]=4,"rain")</f>
        <v>mist</v>
      </c>
    </row>
    <row r="977" spans="1:19" ht="13.8" x14ac:dyDescent="0.3">
      <c r="A977" s="2">
        <v>976</v>
      </c>
      <c r="B977" s="3">
        <v>40587</v>
      </c>
      <c r="C977" s="2">
        <v>1</v>
      </c>
      <c r="D977" s="2">
        <v>0</v>
      </c>
      <c r="E977" s="2">
        <v>2</v>
      </c>
      <c r="F977" s="2">
        <v>7</v>
      </c>
      <c r="G977" s="2" t="b">
        <v>0</v>
      </c>
      <c r="H977" s="2">
        <v>0</v>
      </c>
      <c r="I977" s="2">
        <v>2</v>
      </c>
      <c r="J977" s="2">
        <v>0.22</v>
      </c>
      <c r="K977" s="2">
        <v>0.2727</v>
      </c>
      <c r="L977" s="2">
        <v>0.55000000000000004</v>
      </c>
      <c r="M977" s="2">
        <v>0</v>
      </c>
      <c r="N977" s="2">
        <v>3</v>
      </c>
      <c r="O977" s="2">
        <v>3</v>
      </c>
      <c r="P977" s="2" t="str">
        <f t="shared" si="15"/>
        <v>Sunday</v>
      </c>
      <c r="Q977" s="2" t="str">
        <f>IF(Table1[[#This Row],[temp]]&gt;=0.24,"cold","colder")</f>
        <v>colder</v>
      </c>
      <c r="R977" s="2">
        <v>0</v>
      </c>
      <c r="S977" s="16" t="str" cm="1">
        <f t="array" ref="S977">_xlfn.IFS(Table1[[#This Row],[weathersit]]=1,"clear sky",Table1[[#This Row],[weathersit]]=2,"mist",Table1[[#This Row],[weathersit]]=3,"partially dark",Table1[[#This Row],[weathersit]]=4,"rain")</f>
        <v>mist</v>
      </c>
    </row>
    <row r="978" spans="1:19" ht="13.8" x14ac:dyDescent="0.3">
      <c r="A978" s="2">
        <v>977</v>
      </c>
      <c r="B978" s="3">
        <v>40587</v>
      </c>
      <c r="C978" s="2">
        <v>1</v>
      </c>
      <c r="D978" s="2">
        <v>0</v>
      </c>
      <c r="E978" s="2">
        <v>2</v>
      </c>
      <c r="F978" s="2">
        <v>8</v>
      </c>
      <c r="G978" s="2" t="b">
        <v>0</v>
      </c>
      <c r="H978" s="2">
        <v>0</v>
      </c>
      <c r="I978" s="2">
        <v>2</v>
      </c>
      <c r="J978" s="2">
        <v>0.22</v>
      </c>
      <c r="K978" s="2">
        <v>0.2273</v>
      </c>
      <c r="L978" s="2">
        <v>0.64</v>
      </c>
      <c r="M978" s="2">
        <v>0.19400000000000001</v>
      </c>
      <c r="N978" s="2">
        <v>11</v>
      </c>
      <c r="O978" s="2">
        <v>12</v>
      </c>
      <c r="P978" s="2" t="str">
        <f t="shared" si="15"/>
        <v>Sunday</v>
      </c>
      <c r="Q978" s="2" t="str">
        <f>IF(Table1[[#This Row],[temp]]&gt;=0.24,"cold","colder")</f>
        <v>colder</v>
      </c>
      <c r="R978" s="2">
        <v>1</v>
      </c>
      <c r="S978" s="16" t="str" cm="1">
        <f t="array" ref="S978">_xlfn.IFS(Table1[[#This Row],[weathersit]]=1,"clear sky",Table1[[#This Row],[weathersit]]=2,"mist",Table1[[#This Row],[weathersit]]=3,"partially dark",Table1[[#This Row],[weathersit]]=4,"rain")</f>
        <v>mist</v>
      </c>
    </row>
    <row r="979" spans="1:19" ht="13.8" x14ac:dyDescent="0.3">
      <c r="A979" s="2">
        <v>978</v>
      </c>
      <c r="B979" s="3">
        <v>40587</v>
      </c>
      <c r="C979" s="2">
        <v>1</v>
      </c>
      <c r="D979" s="2">
        <v>0</v>
      </c>
      <c r="E979" s="2">
        <v>2</v>
      </c>
      <c r="F979" s="2">
        <v>9</v>
      </c>
      <c r="G979" s="2" t="b">
        <v>0</v>
      </c>
      <c r="H979" s="2">
        <v>0</v>
      </c>
      <c r="I979" s="2">
        <v>2</v>
      </c>
      <c r="J979" s="2">
        <v>0.24</v>
      </c>
      <c r="K979" s="2">
        <v>0.2273</v>
      </c>
      <c r="L979" s="2">
        <v>0.6</v>
      </c>
      <c r="M979" s="2">
        <v>0.22389999999999999</v>
      </c>
      <c r="N979" s="2">
        <v>35</v>
      </c>
      <c r="O979" s="2">
        <v>47</v>
      </c>
      <c r="P979" s="2" t="str">
        <f t="shared" si="15"/>
        <v>Sunday</v>
      </c>
      <c r="Q979" s="2" t="str">
        <f>IF(Table1[[#This Row],[temp]]&gt;=0.24,"cold","colder")</f>
        <v>cold</v>
      </c>
      <c r="R979" s="2">
        <v>12</v>
      </c>
      <c r="S979" s="16" t="str" cm="1">
        <f t="array" ref="S979">_xlfn.IFS(Table1[[#This Row],[weathersit]]=1,"clear sky",Table1[[#This Row],[weathersit]]=2,"mist",Table1[[#This Row],[weathersit]]=3,"partially dark",Table1[[#This Row],[weathersit]]=4,"rain")</f>
        <v>mist</v>
      </c>
    </row>
    <row r="980" spans="1:19" ht="13.8" x14ac:dyDescent="0.3">
      <c r="A980" s="2">
        <v>979</v>
      </c>
      <c r="B980" s="3">
        <v>40587</v>
      </c>
      <c r="C980" s="2">
        <v>1</v>
      </c>
      <c r="D980" s="2">
        <v>0</v>
      </c>
      <c r="E980" s="2">
        <v>2</v>
      </c>
      <c r="F980" s="2">
        <v>10</v>
      </c>
      <c r="G980" s="2" t="b">
        <v>0</v>
      </c>
      <c r="H980" s="2">
        <v>0</v>
      </c>
      <c r="I980" s="2">
        <v>1</v>
      </c>
      <c r="J980" s="2">
        <v>0.3</v>
      </c>
      <c r="K980" s="2">
        <v>0.2727</v>
      </c>
      <c r="L980" s="2">
        <v>0.45</v>
      </c>
      <c r="M980" s="2">
        <v>0.32840000000000003</v>
      </c>
      <c r="N980" s="2">
        <v>86</v>
      </c>
      <c r="O980" s="2">
        <v>105</v>
      </c>
      <c r="P980" s="2" t="str">
        <f t="shared" si="15"/>
        <v>Sunday</v>
      </c>
      <c r="Q980" s="2" t="str">
        <f>IF(Table1[[#This Row],[temp]]&gt;=0.24,"cold","colder")</f>
        <v>cold</v>
      </c>
      <c r="R980" s="2">
        <v>19</v>
      </c>
      <c r="S980" s="16" t="str" cm="1">
        <f t="array" ref="S980">_xlfn.IFS(Table1[[#This Row],[weathersit]]=1,"clear sky",Table1[[#This Row],[weathersit]]=2,"mist",Table1[[#This Row],[weathersit]]=3,"partially dark",Table1[[#This Row],[weathersit]]=4,"rain")</f>
        <v>clear sky</v>
      </c>
    </row>
    <row r="981" spans="1:19" ht="13.8" x14ac:dyDescent="0.3">
      <c r="A981" s="2">
        <v>980</v>
      </c>
      <c r="B981" s="3">
        <v>40587</v>
      </c>
      <c r="C981" s="2">
        <v>1</v>
      </c>
      <c r="D981" s="2">
        <v>0</v>
      </c>
      <c r="E981" s="2">
        <v>2</v>
      </c>
      <c r="F981" s="2">
        <v>11</v>
      </c>
      <c r="G981" s="2" t="b">
        <v>0</v>
      </c>
      <c r="H981" s="2">
        <v>0</v>
      </c>
      <c r="I981" s="2">
        <v>1</v>
      </c>
      <c r="J981" s="2">
        <v>0.32</v>
      </c>
      <c r="K981" s="2">
        <v>0.28789999999999999</v>
      </c>
      <c r="L981" s="2">
        <v>0.39</v>
      </c>
      <c r="M981" s="2">
        <v>0.44779999999999998</v>
      </c>
      <c r="N981" s="2">
        <v>86</v>
      </c>
      <c r="O981" s="2">
        <v>112</v>
      </c>
      <c r="P981" s="2" t="str">
        <f t="shared" si="15"/>
        <v>Sunday</v>
      </c>
      <c r="Q981" s="2" t="str">
        <f>IF(Table1[[#This Row],[temp]]&gt;=0.24,"cold","colder")</f>
        <v>cold</v>
      </c>
      <c r="R981" s="2">
        <v>26</v>
      </c>
      <c r="S981" s="16" t="str" cm="1">
        <f t="array" ref="S981">_xlfn.IFS(Table1[[#This Row],[weathersit]]=1,"clear sky",Table1[[#This Row],[weathersit]]=2,"mist",Table1[[#This Row],[weathersit]]=3,"partially dark",Table1[[#This Row],[weathersit]]=4,"rain")</f>
        <v>clear sky</v>
      </c>
    </row>
    <row r="982" spans="1:19" ht="13.8" x14ac:dyDescent="0.3">
      <c r="A982" s="2">
        <v>981</v>
      </c>
      <c r="B982" s="3">
        <v>40587</v>
      </c>
      <c r="C982" s="2">
        <v>1</v>
      </c>
      <c r="D982" s="2">
        <v>0</v>
      </c>
      <c r="E982" s="2">
        <v>2</v>
      </c>
      <c r="F982" s="2">
        <v>12</v>
      </c>
      <c r="G982" s="2" t="b">
        <v>0</v>
      </c>
      <c r="H982" s="2">
        <v>0</v>
      </c>
      <c r="I982" s="2">
        <v>1</v>
      </c>
      <c r="J982" s="2">
        <v>0.36</v>
      </c>
      <c r="K982" s="2">
        <v>0.31819999999999998</v>
      </c>
      <c r="L982" s="2">
        <v>0.32</v>
      </c>
      <c r="M982" s="2">
        <v>0.4627</v>
      </c>
      <c r="N982" s="2">
        <v>94</v>
      </c>
      <c r="O982" s="2">
        <v>152</v>
      </c>
      <c r="P982" s="2" t="str">
        <f t="shared" si="15"/>
        <v>Sunday</v>
      </c>
      <c r="Q982" s="2" t="str">
        <f>IF(Table1[[#This Row],[temp]]&gt;=0.24,"cold","colder")</f>
        <v>cold</v>
      </c>
      <c r="R982" s="2">
        <v>58</v>
      </c>
      <c r="S982" s="16" t="str" cm="1">
        <f t="array" ref="S982">_xlfn.IFS(Table1[[#This Row],[weathersit]]=1,"clear sky",Table1[[#This Row],[weathersit]]=2,"mist",Table1[[#This Row],[weathersit]]=3,"partially dark",Table1[[#This Row],[weathersit]]=4,"rain")</f>
        <v>clear sky</v>
      </c>
    </row>
    <row r="983" spans="1:19" ht="13.8" x14ac:dyDescent="0.3">
      <c r="A983" s="2">
        <v>982</v>
      </c>
      <c r="B983" s="3">
        <v>40587</v>
      </c>
      <c r="C983" s="2">
        <v>1</v>
      </c>
      <c r="D983" s="2">
        <v>0</v>
      </c>
      <c r="E983" s="2">
        <v>2</v>
      </c>
      <c r="F983" s="2">
        <v>13</v>
      </c>
      <c r="G983" s="2" t="b">
        <v>0</v>
      </c>
      <c r="H983" s="2">
        <v>0</v>
      </c>
      <c r="I983" s="2">
        <v>1</v>
      </c>
      <c r="J983" s="2">
        <v>0.38</v>
      </c>
      <c r="K983" s="2">
        <v>0.39389999999999997</v>
      </c>
      <c r="L983" s="2">
        <v>0.28999999999999998</v>
      </c>
      <c r="M983" s="2">
        <v>0.35820000000000002</v>
      </c>
      <c r="N983" s="2">
        <v>92</v>
      </c>
      <c r="O983" s="2">
        <v>154</v>
      </c>
      <c r="P983" s="2" t="str">
        <f t="shared" si="15"/>
        <v>Sunday</v>
      </c>
      <c r="Q983" s="2" t="str">
        <f>IF(Table1[[#This Row],[temp]]&gt;=0.24,"cold","colder")</f>
        <v>cold</v>
      </c>
      <c r="R983" s="2">
        <v>62</v>
      </c>
      <c r="S983" s="16" t="str" cm="1">
        <f t="array" ref="S983">_xlfn.IFS(Table1[[#This Row],[weathersit]]=1,"clear sky",Table1[[#This Row],[weathersit]]=2,"mist",Table1[[#This Row],[weathersit]]=3,"partially dark",Table1[[#This Row],[weathersit]]=4,"rain")</f>
        <v>clear sky</v>
      </c>
    </row>
    <row r="984" spans="1:19" ht="13.8" x14ac:dyDescent="0.3">
      <c r="A984" s="2">
        <v>983</v>
      </c>
      <c r="B984" s="3">
        <v>40587</v>
      </c>
      <c r="C984" s="2">
        <v>1</v>
      </c>
      <c r="D984" s="2">
        <v>0</v>
      </c>
      <c r="E984" s="2">
        <v>2</v>
      </c>
      <c r="F984" s="2">
        <v>14</v>
      </c>
      <c r="G984" s="2" t="b">
        <v>0</v>
      </c>
      <c r="H984" s="2">
        <v>0</v>
      </c>
      <c r="I984" s="2">
        <v>2</v>
      </c>
      <c r="J984" s="2">
        <v>0.4</v>
      </c>
      <c r="K984" s="2">
        <v>0.40910000000000002</v>
      </c>
      <c r="L984" s="2">
        <v>0.3</v>
      </c>
      <c r="M984" s="2">
        <v>0.41789999999999999</v>
      </c>
      <c r="N984" s="2">
        <v>110</v>
      </c>
      <c r="O984" s="2">
        <v>161</v>
      </c>
      <c r="P984" s="2" t="str">
        <f t="shared" si="15"/>
        <v>Sunday</v>
      </c>
      <c r="Q984" s="2" t="str">
        <f>IF(Table1[[#This Row],[temp]]&gt;=0.24,"cold","colder")</f>
        <v>cold</v>
      </c>
      <c r="R984" s="2">
        <v>51</v>
      </c>
      <c r="S984" s="16" t="str" cm="1">
        <f t="array" ref="S984">_xlfn.IFS(Table1[[#This Row],[weathersit]]=1,"clear sky",Table1[[#This Row],[weathersit]]=2,"mist",Table1[[#This Row],[weathersit]]=3,"partially dark",Table1[[#This Row],[weathersit]]=4,"rain")</f>
        <v>mist</v>
      </c>
    </row>
    <row r="985" spans="1:19" ht="13.8" x14ac:dyDescent="0.3">
      <c r="A985" s="2">
        <v>984</v>
      </c>
      <c r="B985" s="3">
        <v>40587</v>
      </c>
      <c r="C985" s="2">
        <v>1</v>
      </c>
      <c r="D985" s="2">
        <v>0</v>
      </c>
      <c r="E985" s="2">
        <v>2</v>
      </c>
      <c r="F985" s="2">
        <v>15</v>
      </c>
      <c r="G985" s="2" t="b">
        <v>0</v>
      </c>
      <c r="H985" s="2">
        <v>0</v>
      </c>
      <c r="I985" s="2">
        <v>2</v>
      </c>
      <c r="J985" s="2">
        <v>0.4</v>
      </c>
      <c r="K985" s="2">
        <v>0.40910000000000002</v>
      </c>
      <c r="L985" s="2">
        <v>0.3</v>
      </c>
      <c r="M985" s="2">
        <v>0.29849999999999999</v>
      </c>
      <c r="N985" s="2">
        <v>122</v>
      </c>
      <c r="O985" s="2">
        <v>162</v>
      </c>
      <c r="P985" s="2" t="str">
        <f t="shared" si="15"/>
        <v>Sunday</v>
      </c>
      <c r="Q985" s="2" t="str">
        <f>IF(Table1[[#This Row],[temp]]&gt;=0.24,"cold","colder")</f>
        <v>cold</v>
      </c>
      <c r="R985" s="2">
        <v>40</v>
      </c>
      <c r="S985" s="16" t="str" cm="1">
        <f t="array" ref="S985">_xlfn.IFS(Table1[[#This Row],[weathersit]]=1,"clear sky",Table1[[#This Row],[weathersit]]=2,"mist",Table1[[#This Row],[weathersit]]=3,"partially dark",Table1[[#This Row],[weathersit]]=4,"rain")</f>
        <v>mist</v>
      </c>
    </row>
    <row r="986" spans="1:19" ht="13.8" x14ac:dyDescent="0.3">
      <c r="A986" s="2">
        <v>985</v>
      </c>
      <c r="B986" s="3">
        <v>40587</v>
      </c>
      <c r="C986" s="2">
        <v>1</v>
      </c>
      <c r="D986" s="2">
        <v>0</v>
      </c>
      <c r="E986" s="2">
        <v>2</v>
      </c>
      <c r="F986" s="2">
        <v>16</v>
      </c>
      <c r="G986" s="2" t="b">
        <v>0</v>
      </c>
      <c r="H986" s="2">
        <v>0</v>
      </c>
      <c r="I986" s="2">
        <v>2</v>
      </c>
      <c r="J986" s="2">
        <v>0.42</v>
      </c>
      <c r="K986" s="2">
        <v>0.42420000000000002</v>
      </c>
      <c r="L986" s="2">
        <v>0.28000000000000003</v>
      </c>
      <c r="M986" s="2">
        <v>0.32840000000000003</v>
      </c>
      <c r="N986" s="2">
        <v>106</v>
      </c>
      <c r="O986" s="2">
        <v>134</v>
      </c>
      <c r="P986" s="2" t="str">
        <f t="shared" si="15"/>
        <v>Sunday</v>
      </c>
      <c r="Q986" s="2" t="str">
        <f>IF(Table1[[#This Row],[temp]]&gt;=0.24,"cold","colder")</f>
        <v>cold</v>
      </c>
      <c r="R986" s="2">
        <v>28</v>
      </c>
      <c r="S986" s="16" t="str" cm="1">
        <f t="array" ref="S986">_xlfn.IFS(Table1[[#This Row],[weathersit]]=1,"clear sky",Table1[[#This Row],[weathersit]]=2,"mist",Table1[[#This Row],[weathersit]]=3,"partially dark",Table1[[#This Row],[weathersit]]=4,"rain")</f>
        <v>mist</v>
      </c>
    </row>
    <row r="987" spans="1:19" ht="13.8" x14ac:dyDescent="0.3">
      <c r="A987" s="2">
        <v>986</v>
      </c>
      <c r="B987" s="3">
        <v>40587</v>
      </c>
      <c r="C987" s="2">
        <v>1</v>
      </c>
      <c r="D987" s="2">
        <v>0</v>
      </c>
      <c r="E987" s="2">
        <v>2</v>
      </c>
      <c r="F987" s="2">
        <v>17</v>
      </c>
      <c r="G987" s="2" t="b">
        <v>0</v>
      </c>
      <c r="H987" s="2">
        <v>0</v>
      </c>
      <c r="I987" s="2">
        <v>1</v>
      </c>
      <c r="J987" s="2">
        <v>0.42</v>
      </c>
      <c r="K987" s="2">
        <v>0.42420000000000002</v>
      </c>
      <c r="L987" s="2">
        <v>0.28000000000000003</v>
      </c>
      <c r="M987" s="2">
        <v>0.32840000000000003</v>
      </c>
      <c r="N987" s="2">
        <v>95</v>
      </c>
      <c r="O987" s="2">
        <v>125</v>
      </c>
      <c r="P987" s="2" t="str">
        <f t="shared" si="15"/>
        <v>Sunday</v>
      </c>
      <c r="Q987" s="2" t="str">
        <f>IF(Table1[[#This Row],[temp]]&gt;=0.24,"cold","colder")</f>
        <v>cold</v>
      </c>
      <c r="R987" s="2">
        <v>30</v>
      </c>
      <c r="S987" s="16" t="str" cm="1">
        <f t="array" ref="S987">_xlfn.IFS(Table1[[#This Row],[weathersit]]=1,"clear sky",Table1[[#This Row],[weathersit]]=2,"mist",Table1[[#This Row],[weathersit]]=3,"partially dark",Table1[[#This Row],[weathersit]]=4,"rain")</f>
        <v>clear sky</v>
      </c>
    </row>
    <row r="988" spans="1:19" ht="13.8" x14ac:dyDescent="0.3">
      <c r="A988" s="2">
        <v>987</v>
      </c>
      <c r="B988" s="3">
        <v>40587</v>
      </c>
      <c r="C988" s="2">
        <v>1</v>
      </c>
      <c r="D988" s="2">
        <v>0</v>
      </c>
      <c r="E988" s="2">
        <v>2</v>
      </c>
      <c r="F988" s="2">
        <v>18</v>
      </c>
      <c r="G988" s="2" t="b">
        <v>0</v>
      </c>
      <c r="H988" s="2">
        <v>0</v>
      </c>
      <c r="I988" s="2">
        <v>1</v>
      </c>
      <c r="J988" s="2">
        <v>0.4</v>
      </c>
      <c r="K988" s="2">
        <v>0.40910000000000002</v>
      </c>
      <c r="L988" s="2">
        <v>0.32</v>
      </c>
      <c r="M988" s="2">
        <v>0.29849999999999999</v>
      </c>
      <c r="N988" s="2">
        <v>78</v>
      </c>
      <c r="O988" s="2">
        <v>95</v>
      </c>
      <c r="P988" s="2" t="str">
        <f t="shared" si="15"/>
        <v>Sunday</v>
      </c>
      <c r="Q988" s="2" t="str">
        <f>IF(Table1[[#This Row],[temp]]&gt;=0.24,"cold","colder")</f>
        <v>cold</v>
      </c>
      <c r="R988" s="2">
        <v>17</v>
      </c>
      <c r="S988" s="16" t="str" cm="1">
        <f t="array" ref="S988">_xlfn.IFS(Table1[[#This Row],[weathersit]]=1,"clear sky",Table1[[#This Row],[weathersit]]=2,"mist",Table1[[#This Row],[weathersit]]=3,"partially dark",Table1[[#This Row],[weathersit]]=4,"rain")</f>
        <v>clear sky</v>
      </c>
    </row>
    <row r="989" spans="1:19" ht="13.8" x14ac:dyDescent="0.3">
      <c r="A989" s="2">
        <v>988</v>
      </c>
      <c r="B989" s="3">
        <v>40587</v>
      </c>
      <c r="C989" s="2">
        <v>1</v>
      </c>
      <c r="D989" s="2">
        <v>0</v>
      </c>
      <c r="E989" s="2">
        <v>2</v>
      </c>
      <c r="F989" s="2">
        <v>19</v>
      </c>
      <c r="G989" s="2" t="b">
        <v>0</v>
      </c>
      <c r="H989" s="2">
        <v>0</v>
      </c>
      <c r="I989" s="2">
        <v>1</v>
      </c>
      <c r="J989" s="2">
        <v>0.4</v>
      </c>
      <c r="K989" s="2">
        <v>0.40910000000000002</v>
      </c>
      <c r="L989" s="2">
        <v>0.35</v>
      </c>
      <c r="M989" s="2">
        <v>0.28360000000000002</v>
      </c>
      <c r="N989" s="2">
        <v>50</v>
      </c>
      <c r="O989" s="2">
        <v>61</v>
      </c>
      <c r="P989" s="2" t="str">
        <f t="shared" si="15"/>
        <v>Sunday</v>
      </c>
      <c r="Q989" s="2" t="str">
        <f>IF(Table1[[#This Row],[temp]]&gt;=0.24,"cold","colder")</f>
        <v>cold</v>
      </c>
      <c r="R989" s="2">
        <v>11</v>
      </c>
      <c r="S989" s="16" t="str" cm="1">
        <f t="array" ref="S989">_xlfn.IFS(Table1[[#This Row],[weathersit]]=1,"clear sky",Table1[[#This Row],[weathersit]]=2,"mist",Table1[[#This Row],[weathersit]]=3,"partially dark",Table1[[#This Row],[weathersit]]=4,"rain")</f>
        <v>clear sky</v>
      </c>
    </row>
    <row r="990" spans="1:19" ht="13.8" x14ac:dyDescent="0.3">
      <c r="A990" s="2">
        <v>989</v>
      </c>
      <c r="B990" s="3">
        <v>40587</v>
      </c>
      <c r="C990" s="2">
        <v>1</v>
      </c>
      <c r="D990" s="2">
        <v>0</v>
      </c>
      <c r="E990" s="2">
        <v>2</v>
      </c>
      <c r="F990" s="2">
        <v>20</v>
      </c>
      <c r="G990" s="2" t="b">
        <v>0</v>
      </c>
      <c r="H990" s="2">
        <v>0</v>
      </c>
      <c r="I990" s="2">
        <v>1</v>
      </c>
      <c r="J990" s="2">
        <v>0.4</v>
      </c>
      <c r="K990" s="2">
        <v>0.40910000000000002</v>
      </c>
      <c r="L990" s="2">
        <v>0.35</v>
      </c>
      <c r="M990" s="2">
        <v>0.32840000000000003</v>
      </c>
      <c r="N990" s="2">
        <v>32</v>
      </c>
      <c r="O990" s="2">
        <v>47</v>
      </c>
      <c r="P990" s="2" t="str">
        <f t="shared" si="15"/>
        <v>Sunday</v>
      </c>
      <c r="Q990" s="2" t="str">
        <f>IF(Table1[[#This Row],[temp]]&gt;=0.24,"cold","colder")</f>
        <v>cold</v>
      </c>
      <c r="R990" s="2">
        <v>15</v>
      </c>
      <c r="S990" s="16" t="str" cm="1">
        <f t="array" ref="S990">_xlfn.IFS(Table1[[#This Row],[weathersit]]=1,"clear sky",Table1[[#This Row],[weathersit]]=2,"mist",Table1[[#This Row],[weathersit]]=3,"partially dark",Table1[[#This Row],[weathersit]]=4,"rain")</f>
        <v>clear sky</v>
      </c>
    </row>
    <row r="991" spans="1:19" ht="13.8" x14ac:dyDescent="0.3">
      <c r="A991" s="2">
        <v>990</v>
      </c>
      <c r="B991" s="3">
        <v>40587</v>
      </c>
      <c r="C991" s="2">
        <v>1</v>
      </c>
      <c r="D991" s="2">
        <v>0</v>
      </c>
      <c r="E991" s="2">
        <v>2</v>
      </c>
      <c r="F991" s="2">
        <v>21</v>
      </c>
      <c r="G991" s="2" t="b">
        <v>0</v>
      </c>
      <c r="H991" s="2">
        <v>0</v>
      </c>
      <c r="I991" s="2">
        <v>1</v>
      </c>
      <c r="J991" s="2">
        <v>0.4</v>
      </c>
      <c r="K991" s="2">
        <v>0.40910000000000002</v>
      </c>
      <c r="L991" s="2">
        <v>0.35</v>
      </c>
      <c r="M991" s="2">
        <v>0.35820000000000002</v>
      </c>
      <c r="N991" s="2">
        <v>45</v>
      </c>
      <c r="O991" s="2">
        <v>51</v>
      </c>
      <c r="P991" s="2" t="str">
        <f t="shared" si="15"/>
        <v>Sunday</v>
      </c>
      <c r="Q991" s="2" t="str">
        <f>IF(Table1[[#This Row],[temp]]&gt;=0.24,"cold","colder")</f>
        <v>cold</v>
      </c>
      <c r="R991" s="2">
        <v>6</v>
      </c>
      <c r="S991" s="16" t="str" cm="1">
        <f t="array" ref="S991">_xlfn.IFS(Table1[[#This Row],[weathersit]]=1,"clear sky",Table1[[#This Row],[weathersit]]=2,"mist",Table1[[#This Row],[weathersit]]=3,"partially dark",Table1[[#This Row],[weathersit]]=4,"rain")</f>
        <v>clear sky</v>
      </c>
    </row>
    <row r="992" spans="1:19" ht="13.8" x14ac:dyDescent="0.3">
      <c r="A992" s="2">
        <v>991</v>
      </c>
      <c r="B992" s="3">
        <v>40587</v>
      </c>
      <c r="C992" s="2">
        <v>1</v>
      </c>
      <c r="D992" s="2">
        <v>0</v>
      </c>
      <c r="E992" s="2">
        <v>2</v>
      </c>
      <c r="F992" s="2">
        <v>22</v>
      </c>
      <c r="G992" s="2" t="b">
        <v>0</v>
      </c>
      <c r="H992" s="2">
        <v>0</v>
      </c>
      <c r="I992" s="2">
        <v>1</v>
      </c>
      <c r="J992" s="2">
        <v>0.4</v>
      </c>
      <c r="K992" s="2">
        <v>0.40910000000000002</v>
      </c>
      <c r="L992" s="2">
        <v>0.35</v>
      </c>
      <c r="M992" s="2">
        <v>0.29849999999999999</v>
      </c>
      <c r="N992" s="2">
        <v>31</v>
      </c>
      <c r="O992" s="2">
        <v>36</v>
      </c>
      <c r="P992" s="2" t="str">
        <f t="shared" si="15"/>
        <v>Sunday</v>
      </c>
      <c r="Q992" s="2" t="str">
        <f>IF(Table1[[#This Row],[temp]]&gt;=0.24,"cold","colder")</f>
        <v>cold</v>
      </c>
      <c r="R992" s="2">
        <v>5</v>
      </c>
      <c r="S992" s="16" t="str" cm="1">
        <f t="array" ref="S992">_xlfn.IFS(Table1[[#This Row],[weathersit]]=1,"clear sky",Table1[[#This Row],[weathersit]]=2,"mist",Table1[[#This Row],[weathersit]]=3,"partially dark",Table1[[#This Row],[weathersit]]=4,"rain")</f>
        <v>clear sky</v>
      </c>
    </row>
    <row r="993" spans="1:19" ht="13.8" x14ac:dyDescent="0.3">
      <c r="A993" s="2">
        <v>992</v>
      </c>
      <c r="B993" s="3">
        <v>40587</v>
      </c>
      <c r="C993" s="2">
        <v>1</v>
      </c>
      <c r="D993" s="2">
        <v>0</v>
      </c>
      <c r="E993" s="2">
        <v>2</v>
      </c>
      <c r="F993" s="2">
        <v>23</v>
      </c>
      <c r="G993" s="2" t="b">
        <v>0</v>
      </c>
      <c r="H993" s="2">
        <v>0</v>
      </c>
      <c r="I993" s="2">
        <v>1</v>
      </c>
      <c r="J993" s="2">
        <v>0.4</v>
      </c>
      <c r="K993" s="2">
        <v>0.40910000000000002</v>
      </c>
      <c r="L993" s="2">
        <v>0.35</v>
      </c>
      <c r="M993" s="2">
        <v>0.35820000000000002</v>
      </c>
      <c r="N993" s="2">
        <v>27</v>
      </c>
      <c r="O993" s="2">
        <v>30</v>
      </c>
      <c r="P993" s="2" t="str">
        <f t="shared" si="15"/>
        <v>Sunday</v>
      </c>
      <c r="Q993" s="2" t="str">
        <f>IF(Table1[[#This Row],[temp]]&gt;=0.24,"cold","colder")</f>
        <v>cold</v>
      </c>
      <c r="R993" s="2">
        <v>3</v>
      </c>
      <c r="S993" s="16" t="str" cm="1">
        <f t="array" ref="S993">_xlfn.IFS(Table1[[#This Row],[weathersit]]=1,"clear sky",Table1[[#This Row],[weathersit]]=2,"mist",Table1[[#This Row],[weathersit]]=3,"partially dark",Table1[[#This Row],[weathersit]]=4,"rain")</f>
        <v>clear sky</v>
      </c>
    </row>
    <row r="994" spans="1:19" ht="13.8" x14ac:dyDescent="0.3">
      <c r="A994" s="2">
        <v>993</v>
      </c>
      <c r="B994" s="3">
        <v>40588</v>
      </c>
      <c r="C994" s="2">
        <v>1</v>
      </c>
      <c r="D994" s="2">
        <v>0</v>
      </c>
      <c r="E994" s="2">
        <v>2</v>
      </c>
      <c r="F994" s="2">
        <v>0</v>
      </c>
      <c r="G994" s="2" t="b">
        <v>0</v>
      </c>
      <c r="H994" s="2">
        <v>1</v>
      </c>
      <c r="I994" s="2">
        <v>1</v>
      </c>
      <c r="J994" s="2">
        <v>0.38</v>
      </c>
      <c r="K994" s="2">
        <v>0.39389999999999997</v>
      </c>
      <c r="L994" s="2">
        <v>0.37</v>
      </c>
      <c r="M994" s="2">
        <v>0.35820000000000002</v>
      </c>
      <c r="N994" s="2">
        <v>8</v>
      </c>
      <c r="O994" s="2">
        <v>11</v>
      </c>
      <c r="P994" s="2" t="str">
        <f t="shared" si="15"/>
        <v>Monday</v>
      </c>
      <c r="Q994" s="2" t="str">
        <f>IF(Table1[[#This Row],[temp]]&gt;=0.24,"cold","colder")</f>
        <v>cold</v>
      </c>
      <c r="R994" s="2">
        <v>3</v>
      </c>
      <c r="S994" s="16" t="str" cm="1">
        <f t="array" ref="S994">_xlfn.IFS(Table1[[#This Row],[weathersit]]=1,"clear sky",Table1[[#This Row],[weathersit]]=2,"mist",Table1[[#This Row],[weathersit]]=3,"partially dark",Table1[[#This Row],[weathersit]]=4,"rain")</f>
        <v>clear sky</v>
      </c>
    </row>
    <row r="995" spans="1:19" ht="13.8" x14ac:dyDescent="0.3">
      <c r="A995" s="2">
        <v>994</v>
      </c>
      <c r="B995" s="3">
        <v>40588</v>
      </c>
      <c r="C995" s="2">
        <v>1</v>
      </c>
      <c r="D995" s="2">
        <v>0</v>
      </c>
      <c r="E995" s="2">
        <v>2</v>
      </c>
      <c r="F995" s="2">
        <v>1</v>
      </c>
      <c r="G995" s="2" t="b">
        <v>0</v>
      </c>
      <c r="H995" s="2">
        <v>1</v>
      </c>
      <c r="I995" s="2">
        <v>1</v>
      </c>
      <c r="J995" s="2">
        <v>0.38</v>
      </c>
      <c r="K995" s="2">
        <v>0.39389999999999997</v>
      </c>
      <c r="L995" s="2">
        <v>0.37</v>
      </c>
      <c r="M995" s="2">
        <v>0.35820000000000002</v>
      </c>
      <c r="N995" s="2">
        <v>6</v>
      </c>
      <c r="O995" s="2">
        <v>7</v>
      </c>
      <c r="P995" s="2" t="str">
        <f t="shared" si="15"/>
        <v>Monday</v>
      </c>
      <c r="Q995" s="2" t="str">
        <f>IF(Table1[[#This Row],[temp]]&gt;=0.24,"cold","colder")</f>
        <v>cold</v>
      </c>
      <c r="R995" s="2">
        <v>1</v>
      </c>
      <c r="S995" s="16" t="str" cm="1">
        <f t="array" ref="S995">_xlfn.IFS(Table1[[#This Row],[weathersit]]=1,"clear sky",Table1[[#This Row],[weathersit]]=2,"mist",Table1[[#This Row],[weathersit]]=3,"partially dark",Table1[[#This Row],[weathersit]]=4,"rain")</f>
        <v>clear sky</v>
      </c>
    </row>
    <row r="996" spans="1:19" ht="13.8" x14ac:dyDescent="0.3">
      <c r="A996" s="2">
        <v>995</v>
      </c>
      <c r="B996" s="3">
        <v>40588</v>
      </c>
      <c r="C996" s="2">
        <v>1</v>
      </c>
      <c r="D996" s="2">
        <v>0</v>
      </c>
      <c r="E996" s="2">
        <v>2</v>
      </c>
      <c r="F996" s="2">
        <v>2</v>
      </c>
      <c r="G996" s="2" t="b">
        <v>0</v>
      </c>
      <c r="H996" s="2">
        <v>1</v>
      </c>
      <c r="I996" s="2">
        <v>1</v>
      </c>
      <c r="J996" s="2">
        <v>0.36</v>
      </c>
      <c r="K996" s="2">
        <v>0.33329999999999999</v>
      </c>
      <c r="L996" s="2">
        <v>0.4</v>
      </c>
      <c r="M996" s="2">
        <v>0.29849999999999999</v>
      </c>
      <c r="N996" s="2">
        <v>2</v>
      </c>
      <c r="O996" s="2">
        <v>2</v>
      </c>
      <c r="P996" s="2" t="str">
        <f t="shared" si="15"/>
        <v>Monday</v>
      </c>
      <c r="Q996" s="2" t="str">
        <f>IF(Table1[[#This Row],[temp]]&gt;=0.24,"cold","colder")</f>
        <v>cold</v>
      </c>
      <c r="R996" s="2">
        <v>0</v>
      </c>
      <c r="S996" s="16" t="str" cm="1">
        <f t="array" ref="S996">_xlfn.IFS(Table1[[#This Row],[weathersit]]=1,"clear sky",Table1[[#This Row],[weathersit]]=2,"mist",Table1[[#This Row],[weathersit]]=3,"partially dark",Table1[[#This Row],[weathersit]]=4,"rain")</f>
        <v>clear sky</v>
      </c>
    </row>
    <row r="997" spans="1:19" ht="13.8" x14ac:dyDescent="0.3">
      <c r="A997" s="2">
        <v>996</v>
      </c>
      <c r="B997" s="3">
        <v>40588</v>
      </c>
      <c r="C997" s="2">
        <v>1</v>
      </c>
      <c r="D997" s="2">
        <v>0</v>
      </c>
      <c r="E997" s="2">
        <v>2</v>
      </c>
      <c r="F997" s="2">
        <v>3</v>
      </c>
      <c r="G997" s="2" t="b">
        <v>0</v>
      </c>
      <c r="H997" s="2">
        <v>1</v>
      </c>
      <c r="I997" s="2">
        <v>1</v>
      </c>
      <c r="J997" s="2">
        <v>0.34</v>
      </c>
      <c r="K997" s="2">
        <v>0.31819999999999998</v>
      </c>
      <c r="L997" s="2">
        <v>0.46</v>
      </c>
      <c r="M997" s="2">
        <v>0.22389999999999999</v>
      </c>
      <c r="N997" s="2">
        <v>1</v>
      </c>
      <c r="O997" s="2">
        <v>2</v>
      </c>
      <c r="P997" s="2" t="str">
        <f t="shared" si="15"/>
        <v>Monday</v>
      </c>
      <c r="Q997" s="2" t="str">
        <f>IF(Table1[[#This Row],[temp]]&gt;=0.24,"cold","colder")</f>
        <v>cold</v>
      </c>
      <c r="R997" s="2">
        <v>1</v>
      </c>
      <c r="S997" s="16" t="str" cm="1">
        <f t="array" ref="S997">_xlfn.IFS(Table1[[#This Row],[weathersit]]=1,"clear sky",Table1[[#This Row],[weathersit]]=2,"mist",Table1[[#This Row],[weathersit]]=3,"partially dark",Table1[[#This Row],[weathersit]]=4,"rain")</f>
        <v>clear sky</v>
      </c>
    </row>
    <row r="998" spans="1:19" ht="13.8" x14ac:dyDescent="0.3">
      <c r="A998" s="2">
        <v>997</v>
      </c>
      <c r="B998" s="3">
        <v>40588</v>
      </c>
      <c r="C998" s="2">
        <v>1</v>
      </c>
      <c r="D998" s="2">
        <v>0</v>
      </c>
      <c r="E998" s="2">
        <v>2</v>
      </c>
      <c r="F998" s="2">
        <v>4</v>
      </c>
      <c r="G998" s="2" t="b">
        <v>0</v>
      </c>
      <c r="H998" s="2">
        <v>1</v>
      </c>
      <c r="I998" s="2">
        <v>1</v>
      </c>
      <c r="J998" s="2">
        <v>0.32</v>
      </c>
      <c r="K998" s="2">
        <v>0.30299999999999999</v>
      </c>
      <c r="L998" s="2">
        <v>0.53</v>
      </c>
      <c r="M998" s="2">
        <v>0.28360000000000002</v>
      </c>
      <c r="N998" s="2">
        <v>2</v>
      </c>
      <c r="O998" s="2">
        <v>2</v>
      </c>
      <c r="P998" s="2" t="str">
        <f t="shared" si="15"/>
        <v>Monday</v>
      </c>
      <c r="Q998" s="2" t="str">
        <f>IF(Table1[[#This Row],[temp]]&gt;=0.24,"cold","colder")</f>
        <v>cold</v>
      </c>
      <c r="R998" s="2">
        <v>0</v>
      </c>
      <c r="S998" s="16" t="str" cm="1">
        <f t="array" ref="S998">_xlfn.IFS(Table1[[#This Row],[weathersit]]=1,"clear sky",Table1[[#This Row],[weathersit]]=2,"mist",Table1[[#This Row],[weathersit]]=3,"partially dark",Table1[[#This Row],[weathersit]]=4,"rain")</f>
        <v>clear sky</v>
      </c>
    </row>
    <row r="999" spans="1:19" ht="13.8" x14ac:dyDescent="0.3">
      <c r="A999" s="2">
        <v>998</v>
      </c>
      <c r="B999" s="3">
        <v>40588</v>
      </c>
      <c r="C999" s="2">
        <v>1</v>
      </c>
      <c r="D999" s="2">
        <v>0</v>
      </c>
      <c r="E999" s="2">
        <v>2</v>
      </c>
      <c r="F999" s="2">
        <v>5</v>
      </c>
      <c r="G999" s="2" t="b">
        <v>0</v>
      </c>
      <c r="H999" s="2">
        <v>1</v>
      </c>
      <c r="I999" s="2">
        <v>1</v>
      </c>
      <c r="J999" s="2">
        <v>0.32</v>
      </c>
      <c r="K999" s="2">
        <v>0.30299999999999999</v>
      </c>
      <c r="L999" s="2">
        <v>0.53</v>
      </c>
      <c r="M999" s="2">
        <v>0.28360000000000002</v>
      </c>
      <c r="N999" s="2">
        <v>3</v>
      </c>
      <c r="O999" s="2">
        <v>3</v>
      </c>
      <c r="P999" s="2" t="str">
        <f t="shared" si="15"/>
        <v>Monday</v>
      </c>
      <c r="Q999" s="2" t="str">
        <f>IF(Table1[[#This Row],[temp]]&gt;=0.24,"cold","colder")</f>
        <v>cold</v>
      </c>
      <c r="R999" s="2">
        <v>0</v>
      </c>
      <c r="S999" s="16" t="str" cm="1">
        <f t="array" ref="S999">_xlfn.IFS(Table1[[#This Row],[weathersit]]=1,"clear sky",Table1[[#This Row],[weathersit]]=2,"mist",Table1[[#This Row],[weathersit]]=3,"partially dark",Table1[[#This Row],[weathersit]]=4,"rain")</f>
        <v>clear sky</v>
      </c>
    </row>
    <row r="1000" spans="1:19" ht="13.8" x14ac:dyDescent="0.3">
      <c r="A1000" s="2">
        <v>999</v>
      </c>
      <c r="B1000" s="3">
        <v>40588</v>
      </c>
      <c r="C1000" s="2">
        <v>1</v>
      </c>
      <c r="D1000" s="2">
        <v>0</v>
      </c>
      <c r="E1000" s="2">
        <v>2</v>
      </c>
      <c r="F1000" s="2">
        <v>6</v>
      </c>
      <c r="G1000" s="2" t="b">
        <v>0</v>
      </c>
      <c r="H1000" s="2">
        <v>1</v>
      </c>
      <c r="I1000" s="2">
        <v>1</v>
      </c>
      <c r="J1000" s="2">
        <v>0.34</v>
      </c>
      <c r="K1000" s="2">
        <v>0.30299999999999999</v>
      </c>
      <c r="L1000" s="2">
        <v>0.46</v>
      </c>
      <c r="M1000" s="2">
        <v>0.29849999999999999</v>
      </c>
      <c r="N1000" s="2">
        <v>25</v>
      </c>
      <c r="O1000" s="2">
        <v>26</v>
      </c>
      <c r="P1000" s="2" t="str">
        <f t="shared" si="15"/>
        <v>Monday</v>
      </c>
      <c r="Q1000" s="2" t="str">
        <f>IF(Table1[[#This Row],[temp]]&gt;=0.24,"cold","colder")</f>
        <v>cold</v>
      </c>
      <c r="R1000" s="2">
        <v>1</v>
      </c>
      <c r="S1000" s="16" t="str" cm="1">
        <f t="array" ref="S1000">_xlfn.IFS(Table1[[#This Row],[weathersit]]=1,"clear sky",Table1[[#This Row],[weathersit]]=2,"mist",Table1[[#This Row],[weathersit]]=3,"partially dark",Table1[[#This Row],[weathersit]]=4,"rain")</f>
        <v>clear sky</v>
      </c>
    </row>
    <row r="1001" spans="1:19" ht="13.8" x14ac:dyDescent="0.3">
      <c r="A1001" s="2">
        <v>1000</v>
      </c>
      <c r="B1001" s="3">
        <v>40588</v>
      </c>
      <c r="C1001" s="2">
        <v>1</v>
      </c>
      <c r="D1001" s="2">
        <v>0</v>
      </c>
      <c r="E1001" s="2">
        <v>2</v>
      </c>
      <c r="F1001" s="2">
        <v>7</v>
      </c>
      <c r="G1001" s="2" t="b">
        <v>0</v>
      </c>
      <c r="H1001" s="2">
        <v>1</v>
      </c>
      <c r="I1001" s="2">
        <v>1</v>
      </c>
      <c r="J1001" s="2">
        <v>0.34</v>
      </c>
      <c r="K1001" s="2">
        <v>0.30299999999999999</v>
      </c>
      <c r="L1001" s="2">
        <v>0.46</v>
      </c>
      <c r="M1001" s="2">
        <v>0.29849999999999999</v>
      </c>
      <c r="N1001" s="2">
        <v>96</v>
      </c>
      <c r="O1001" s="2">
        <v>98</v>
      </c>
      <c r="P1001" s="2" t="str">
        <f t="shared" si="15"/>
        <v>Monday</v>
      </c>
      <c r="Q1001" s="2" t="str">
        <f>IF(Table1[[#This Row],[temp]]&gt;=0.24,"cold","colder")</f>
        <v>cold</v>
      </c>
      <c r="R1001" s="2">
        <v>2</v>
      </c>
      <c r="S1001" s="16" t="str" cm="1">
        <f t="array" ref="S1001">_xlfn.IFS(Table1[[#This Row],[weathersit]]=1,"clear sky",Table1[[#This Row],[weathersit]]=2,"mist",Table1[[#This Row],[weathersit]]=3,"partially dark",Table1[[#This Row],[weathersit]]=4,"rain")</f>
        <v>clear sky</v>
      </c>
    </row>
  </sheetData>
  <sheetProtection autoFilter="0" pivotTables="0"/>
  <dataConsolidate/>
  <conditionalFormatting sqref="A2:A611">
    <cfRule type="duplicateValues" dxfId="4" priority="2"/>
    <cfRule type="duplicateValues" dxfId="3" priority="3"/>
  </conditionalFormatting>
  <conditionalFormatting sqref="A612:A1001">
    <cfRule type="duplicateValues" dxfId="2" priority="4"/>
  </conditionalFormatting>
  <conditionalFormatting sqref="J1:J1048576">
    <cfRule type="cellIs" dxfId="1" priority="1" operator="greaterThan">
      <formula>0.24</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AE5C-CE05-4D28-9ADD-F1EC2F45B5E6}">
  <sheetPr codeName="Sheet3"/>
  <dimension ref="B51:G57"/>
  <sheetViews>
    <sheetView tabSelected="1" zoomScale="36" workbookViewId="0">
      <selection activeCell="G66" sqref="G66"/>
    </sheetView>
  </sheetViews>
  <sheetFormatPr defaultRowHeight="14.4" x14ac:dyDescent="0.3"/>
  <cols>
    <col min="2" max="7" width="20.77734375" customWidth="1"/>
  </cols>
  <sheetData>
    <row r="51" spans="2:7" ht="15" thickBot="1" x14ac:dyDescent="0.35"/>
    <row r="52" spans="2:7" ht="25.05" customHeight="1" x14ac:dyDescent="0.3">
      <c r="B52" s="17"/>
      <c r="C52" s="17" t="s">
        <v>6</v>
      </c>
      <c r="D52" s="17" t="s">
        <v>5</v>
      </c>
      <c r="E52" s="17" t="s">
        <v>4</v>
      </c>
      <c r="F52" s="17" t="s">
        <v>3</v>
      </c>
      <c r="G52" s="17" t="s">
        <v>1</v>
      </c>
    </row>
    <row r="53" spans="2:7" ht="25.05" customHeight="1" thickBot="1" x14ac:dyDescent="0.35">
      <c r="B53" s="18" t="s">
        <v>6</v>
      </c>
      <c r="C53" s="18">
        <v>1</v>
      </c>
      <c r="D53" s="18">
        <v>0.91</v>
      </c>
      <c r="E53" s="18">
        <v>8.0720147162812214E-2</v>
      </c>
      <c r="F53" s="18">
        <v>0.12262532562998485</v>
      </c>
      <c r="G53" s="19">
        <v>0.16904504909761614</v>
      </c>
    </row>
    <row r="54" spans="2:7" ht="25.05" customHeight="1" thickBot="1" x14ac:dyDescent="0.35">
      <c r="B54" s="18" t="s">
        <v>5</v>
      </c>
      <c r="C54" s="18">
        <v>0.91237973591788046</v>
      </c>
      <c r="D54" s="18">
        <v>1</v>
      </c>
      <c r="E54" s="18">
        <v>0.19304840725982952</v>
      </c>
      <c r="F54" s="18">
        <v>-0.21176359047625545</v>
      </c>
      <c r="G54" s="19">
        <v>0.13726374763985008</v>
      </c>
    </row>
    <row r="55" spans="2:7" ht="25.05" customHeight="1" thickBot="1" x14ac:dyDescent="0.35">
      <c r="B55" s="18" t="s">
        <v>4</v>
      </c>
      <c r="C55" s="18">
        <v>8.0720147162812214E-2</v>
      </c>
      <c r="D55" s="18">
        <v>0.19304840725982952</v>
      </c>
      <c r="E55" s="18">
        <v>1</v>
      </c>
      <c r="F55" s="18">
        <v>-0.38555034700358864</v>
      </c>
      <c r="G55" s="19">
        <v>-0.22937044088624536</v>
      </c>
    </row>
    <row r="56" spans="2:7" ht="25.05" customHeight="1" thickBot="1" x14ac:dyDescent="0.35">
      <c r="B56" s="18" t="s">
        <v>3</v>
      </c>
      <c r="C56" s="18">
        <v>0.12262532562998485</v>
      </c>
      <c r="D56" s="18">
        <v>-0.21176359047625545</v>
      </c>
      <c r="E56" s="18">
        <v>-0.38555034700358864</v>
      </c>
      <c r="F56" s="18">
        <v>1</v>
      </c>
      <c r="G56" s="19">
        <v>9.0058728679306796E-2</v>
      </c>
    </row>
    <row r="57" spans="2:7" ht="25.05" customHeight="1" thickBot="1" x14ac:dyDescent="0.35">
      <c r="B57" s="19" t="s">
        <v>1</v>
      </c>
      <c r="C57" s="19">
        <v>0.16904504909761614</v>
      </c>
      <c r="D57" s="19">
        <v>0.13726374763985008</v>
      </c>
      <c r="E57" s="19">
        <v>-0.22937044088624536</v>
      </c>
      <c r="F57" s="19">
        <v>9.0058728679306796E-2</v>
      </c>
      <c r="G57" s="19">
        <v>1</v>
      </c>
    </row>
  </sheetData>
  <conditionalFormatting sqref="B52:G57">
    <cfRule type="colorScale" priority="1">
      <colorScale>
        <cfvo type="min"/>
        <cfvo type="percentile" val="50"/>
        <cfvo type="max"/>
        <color rgb="FFF8696B"/>
        <color rgb="FFFCFCFF"/>
        <color rgb="FF5A8AC6"/>
      </colorScale>
    </cfRule>
  </conditionalFormatting>
  <conditionalFormatting sqref="C53:G57">
    <cfRule type="colorScale" priority="3">
      <colorScale>
        <cfvo type="min"/>
        <cfvo type="percentile" val="50"/>
        <cfvo type="max"/>
        <color rgb="FFF8696B"/>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6C33-37F1-4562-B9F8-F8D7C334CCE3}">
  <sheetPr codeName="Sheet4"/>
  <dimension ref="A3:AR1015"/>
  <sheetViews>
    <sheetView zoomScale="47" zoomScaleNormal="44" workbookViewId="0">
      <selection activeCell="H49" sqref="H49"/>
    </sheetView>
  </sheetViews>
  <sheetFormatPr defaultRowHeight="14.4" x14ac:dyDescent="0.3"/>
  <cols>
    <col min="1" max="1" width="20.33203125" bestFit="1" customWidth="1"/>
    <col min="2" max="2" width="14.21875" bestFit="1" customWidth="1"/>
    <col min="4" max="4" width="20.33203125" bestFit="1" customWidth="1"/>
    <col min="5" max="5" width="14.21875" bestFit="1" customWidth="1"/>
    <col min="6" max="6" width="15.109375" bestFit="1" customWidth="1"/>
    <col min="7" max="7" width="20.33203125" bestFit="1" customWidth="1"/>
    <col min="8" max="8" width="28.109375" bestFit="1" customWidth="1"/>
    <col min="9" max="14" width="2.77734375" bestFit="1" customWidth="1"/>
    <col min="15" max="15" width="18.5546875" bestFit="1" customWidth="1"/>
    <col min="16" max="16" width="13.44140625" bestFit="1" customWidth="1"/>
    <col min="17" max="17" width="21.33203125" bestFit="1" customWidth="1"/>
    <col min="18" max="18" width="17.33203125" bestFit="1" customWidth="1"/>
    <col min="19" max="29" width="4" bestFit="1" customWidth="1"/>
    <col min="30" max="30" width="15.77734375" customWidth="1"/>
    <col min="31" max="31" width="20" bestFit="1" customWidth="1"/>
    <col min="32" max="32" width="14.6640625" bestFit="1" customWidth="1"/>
    <col min="33" max="33" width="23.21875" bestFit="1" customWidth="1"/>
    <col min="34" max="34" width="18.88671875" bestFit="1" customWidth="1"/>
    <col min="35" max="42" width="4" bestFit="1" customWidth="1"/>
    <col min="43" max="44" width="12.77734375" style="1" customWidth="1"/>
    <col min="45" max="46" width="4" bestFit="1" customWidth="1"/>
    <col min="47" max="47" width="20.33203125" bestFit="1" customWidth="1"/>
    <col min="48" max="48" width="19.33203125" bestFit="1" customWidth="1"/>
    <col min="49" max="56" width="4" bestFit="1" customWidth="1"/>
    <col min="57" max="57" width="19.88671875" bestFit="1" customWidth="1"/>
    <col min="58" max="58" width="14.109375" bestFit="1" customWidth="1"/>
    <col min="59" max="59" width="10.44140625" bestFit="1" customWidth="1"/>
    <col min="60" max="60" width="17" bestFit="1" customWidth="1"/>
    <col min="61" max="61" width="12.77734375" bestFit="1" customWidth="1"/>
    <col min="62" max="62" width="17.77734375" customWidth="1"/>
    <col min="63" max="107" width="4" bestFit="1" customWidth="1"/>
    <col min="108" max="193" width="5.33203125" bestFit="1" customWidth="1"/>
    <col min="194" max="194" width="14.77734375" bestFit="1" customWidth="1"/>
    <col min="195" max="201" width="5.33203125" bestFit="1" customWidth="1"/>
    <col min="202" max="202" width="14.6640625" bestFit="1" customWidth="1"/>
    <col min="203" max="203" width="10.44140625" bestFit="1" customWidth="1"/>
    <col min="204" max="212" width="2.77734375" bestFit="1" customWidth="1"/>
    <col min="213" max="251" width="4" bestFit="1" customWidth="1"/>
    <col min="252" max="263" width="5.33203125" bestFit="1" customWidth="1"/>
    <col min="264" max="264" width="14.6640625" bestFit="1" customWidth="1"/>
    <col min="265" max="265" width="10.44140625" bestFit="1" customWidth="1"/>
    <col min="266" max="270" width="2.77734375" bestFit="1" customWidth="1"/>
    <col min="271" max="318" width="4" bestFit="1" customWidth="1"/>
    <col min="319" max="330" width="5.33203125" bestFit="1" customWidth="1"/>
    <col min="331" max="331" width="14.6640625" bestFit="1" customWidth="1"/>
    <col min="332" max="332" width="9.109375" bestFit="1" customWidth="1"/>
    <col min="333" max="338" width="2.77734375" bestFit="1" customWidth="1"/>
    <col min="339" max="374" width="4" bestFit="1" customWidth="1"/>
    <col min="375" max="387" width="5.33203125" bestFit="1" customWidth="1"/>
    <col min="388" max="388" width="13.21875" bestFit="1" customWidth="1"/>
    <col min="389" max="389" width="10.44140625" bestFit="1" customWidth="1"/>
    <col min="390" max="396" width="2.77734375" bestFit="1" customWidth="1"/>
    <col min="397" max="422" width="4" bestFit="1" customWidth="1"/>
    <col min="423" max="431" width="5.33203125" bestFit="1" customWidth="1"/>
    <col min="432" max="432" width="15" bestFit="1" customWidth="1"/>
    <col min="433" max="433" width="10.44140625" bestFit="1" customWidth="1"/>
    <col min="434" max="439" width="2.77734375" bestFit="1" customWidth="1"/>
    <col min="440" max="482" width="4" bestFit="1" customWidth="1"/>
    <col min="483" max="486" width="5.33203125" bestFit="1" customWidth="1"/>
    <col min="487" max="487" width="15" bestFit="1" customWidth="1"/>
    <col min="488" max="488" width="10.44140625" bestFit="1" customWidth="1"/>
    <col min="489" max="493" width="2.77734375" bestFit="1" customWidth="1"/>
    <col min="494" max="522" width="4" bestFit="1" customWidth="1"/>
    <col min="523" max="529" width="5.33203125" bestFit="1" customWidth="1"/>
    <col min="530" max="530" width="15" bestFit="1" customWidth="1"/>
    <col min="531" max="531" width="10.44140625" bestFit="1" customWidth="1"/>
    <col min="532" max="534" width="2.77734375" bestFit="1" customWidth="1"/>
    <col min="535" max="559" width="4" bestFit="1" customWidth="1"/>
    <col min="560" max="565" width="5.33203125" bestFit="1" customWidth="1"/>
    <col min="566" max="566" width="15" bestFit="1" customWidth="1"/>
    <col min="567" max="567" width="10.44140625" bestFit="1" customWidth="1"/>
    <col min="568" max="569" width="2.77734375" bestFit="1" customWidth="1"/>
    <col min="570" max="599" width="4" bestFit="1" customWidth="1"/>
    <col min="600" max="607" width="5.33203125" bestFit="1" customWidth="1"/>
    <col min="608" max="608" width="15" bestFit="1" customWidth="1"/>
    <col min="609" max="609" width="10.44140625" bestFit="1" customWidth="1"/>
    <col min="610" max="612" width="2.77734375" bestFit="1" customWidth="1"/>
    <col min="613" max="631" width="4" bestFit="1" customWidth="1"/>
    <col min="632" max="636" width="5.33203125" bestFit="1" customWidth="1"/>
    <col min="637" max="637" width="15" bestFit="1" customWidth="1"/>
    <col min="638" max="638" width="10.44140625" bestFit="1" customWidth="1"/>
    <col min="639" max="640" width="2.77734375" bestFit="1" customWidth="1"/>
    <col min="641" max="658" width="4" bestFit="1" customWidth="1"/>
    <col min="659" max="659" width="5.33203125" bestFit="1" customWidth="1"/>
    <col min="660" max="660" width="14.6640625" bestFit="1" customWidth="1"/>
    <col min="661" max="661" width="10.44140625" bestFit="1" customWidth="1"/>
    <col min="662" max="662" width="2.77734375" bestFit="1" customWidth="1"/>
    <col min="663" max="673" width="4" bestFit="1" customWidth="1"/>
    <col min="674" max="677" width="5.33203125" bestFit="1" customWidth="1"/>
    <col min="678" max="678" width="14.6640625" bestFit="1" customWidth="1"/>
    <col min="679" max="679" width="10.44140625" bestFit="1" customWidth="1"/>
    <col min="680" max="692" width="4" bestFit="1" customWidth="1"/>
    <col min="693" max="693" width="15" bestFit="1" customWidth="1"/>
    <col min="694" max="694" width="10.44140625" bestFit="1" customWidth="1"/>
    <col min="695" max="705" width="4" bestFit="1" customWidth="1"/>
    <col min="706" max="706" width="5.33203125" bestFit="1" customWidth="1"/>
    <col min="707" max="707" width="15" bestFit="1" customWidth="1"/>
    <col min="708" max="708" width="10.44140625" bestFit="1" customWidth="1"/>
    <col min="709" max="710" width="4" bestFit="1" customWidth="1"/>
    <col min="711" max="712" width="5.33203125" bestFit="1" customWidth="1"/>
    <col min="713" max="713" width="15" bestFit="1" customWidth="1"/>
    <col min="714" max="714" width="10.44140625" bestFit="1" customWidth="1"/>
    <col min="715" max="718" width="4" bestFit="1" customWidth="1"/>
    <col min="719" max="721" width="5.33203125" bestFit="1" customWidth="1"/>
    <col min="722" max="722" width="15" bestFit="1" customWidth="1"/>
    <col min="723" max="723" width="10.44140625" bestFit="1" customWidth="1"/>
    <col min="724" max="725" width="4" bestFit="1" customWidth="1"/>
    <col min="726" max="726" width="5.33203125" bestFit="1" customWidth="1"/>
    <col min="727" max="727" width="15" bestFit="1" customWidth="1"/>
    <col min="728" max="728" width="10.44140625" bestFit="1" customWidth="1"/>
    <col min="729" max="730" width="4" bestFit="1" customWidth="1"/>
    <col min="731" max="731" width="5.33203125" bestFit="1" customWidth="1"/>
    <col min="732" max="732" width="14.6640625" bestFit="1" customWidth="1"/>
    <col min="733" max="733" width="14.77734375" bestFit="1" customWidth="1"/>
    <col min="734" max="734" width="8.6640625" bestFit="1" customWidth="1"/>
    <col min="735" max="735" width="6" bestFit="1" customWidth="1"/>
    <col min="736" max="737" width="4" bestFit="1" customWidth="1"/>
    <col min="738" max="738" width="8.6640625" bestFit="1" customWidth="1"/>
    <col min="739" max="739" width="6" bestFit="1" customWidth="1"/>
    <col min="740" max="740" width="4" bestFit="1" customWidth="1"/>
    <col min="741" max="741" width="8.6640625" bestFit="1" customWidth="1"/>
    <col min="742" max="742" width="6" bestFit="1" customWidth="1"/>
    <col min="743" max="743" width="4" bestFit="1" customWidth="1"/>
    <col min="744" max="744" width="8.6640625" bestFit="1" customWidth="1"/>
    <col min="745" max="745" width="6" bestFit="1" customWidth="1"/>
    <col min="746" max="746" width="4" bestFit="1" customWidth="1"/>
    <col min="747" max="747" width="8.6640625" bestFit="1" customWidth="1"/>
    <col min="748" max="748" width="6" bestFit="1" customWidth="1"/>
    <col min="749" max="749" width="4" bestFit="1" customWidth="1"/>
    <col min="750" max="750" width="8.6640625" bestFit="1" customWidth="1"/>
    <col min="751" max="751" width="6" bestFit="1" customWidth="1"/>
    <col min="752" max="752" width="8.6640625" bestFit="1" customWidth="1"/>
    <col min="753" max="753" width="6" bestFit="1" customWidth="1"/>
    <col min="754" max="754" width="4" bestFit="1" customWidth="1"/>
    <col min="755" max="755" width="8.6640625" bestFit="1" customWidth="1"/>
    <col min="756" max="756" width="6" bestFit="1" customWidth="1"/>
    <col min="757" max="757" width="8.6640625" bestFit="1" customWidth="1"/>
    <col min="758" max="758" width="6" bestFit="1" customWidth="1"/>
    <col min="759" max="759" width="8.6640625" bestFit="1" customWidth="1"/>
    <col min="760" max="760" width="6" bestFit="1" customWidth="1"/>
    <col min="761" max="761" width="8.6640625" bestFit="1" customWidth="1"/>
    <col min="762" max="762" width="6" bestFit="1" customWidth="1"/>
    <col min="763" max="763" width="8.6640625" bestFit="1" customWidth="1"/>
    <col min="764" max="764" width="6" bestFit="1" customWidth="1"/>
    <col min="765" max="765" width="8.6640625" bestFit="1" customWidth="1"/>
    <col min="766" max="766" width="6" bestFit="1" customWidth="1"/>
    <col min="767" max="767" width="8.6640625" bestFit="1" customWidth="1"/>
    <col min="768" max="768" width="6" bestFit="1" customWidth="1"/>
    <col min="769" max="769" width="8.6640625" bestFit="1" customWidth="1"/>
    <col min="770" max="770" width="6" bestFit="1" customWidth="1"/>
    <col min="771" max="771" width="8.6640625" bestFit="1" customWidth="1"/>
    <col min="772" max="772" width="6" bestFit="1" customWidth="1"/>
    <col min="773" max="773" width="8.6640625" bestFit="1" customWidth="1"/>
    <col min="774" max="774" width="6" bestFit="1" customWidth="1"/>
    <col min="775" max="775" width="4" bestFit="1" customWidth="1"/>
    <col min="776" max="776" width="8.6640625" bestFit="1" customWidth="1"/>
    <col min="777" max="777" width="6" bestFit="1" customWidth="1"/>
    <col min="778" max="778" width="8.6640625" bestFit="1" customWidth="1"/>
    <col min="779" max="779" width="6" bestFit="1" customWidth="1"/>
    <col min="780" max="780" width="8.6640625" bestFit="1" customWidth="1"/>
    <col min="781" max="781" width="6" bestFit="1" customWidth="1"/>
    <col min="782" max="782" width="8.6640625" bestFit="1" customWidth="1"/>
    <col min="783" max="783" width="6" bestFit="1" customWidth="1"/>
    <col min="784" max="784" width="4" bestFit="1" customWidth="1"/>
    <col min="785" max="785" width="8.6640625" bestFit="1" customWidth="1"/>
    <col min="786" max="786" width="6" bestFit="1" customWidth="1"/>
    <col min="787" max="787" width="8.6640625" bestFit="1" customWidth="1"/>
    <col min="788" max="788" width="6" bestFit="1" customWidth="1"/>
    <col min="789" max="789" width="4" bestFit="1" customWidth="1"/>
    <col min="790" max="790" width="8.6640625" bestFit="1" customWidth="1"/>
    <col min="791" max="791" width="6" bestFit="1" customWidth="1"/>
    <col min="792" max="792" width="8.6640625" bestFit="1" customWidth="1"/>
    <col min="793" max="793" width="6" bestFit="1" customWidth="1"/>
    <col min="794" max="794" width="8.6640625" bestFit="1" customWidth="1"/>
    <col min="795" max="795" width="6" bestFit="1" customWidth="1"/>
    <col min="796" max="796" width="8.6640625" bestFit="1" customWidth="1"/>
    <col min="797" max="797" width="6" bestFit="1" customWidth="1"/>
    <col min="798" max="798" width="8.6640625" bestFit="1" customWidth="1"/>
    <col min="799" max="799" width="6" bestFit="1" customWidth="1"/>
    <col min="800" max="800" width="8.6640625" bestFit="1" customWidth="1"/>
    <col min="801" max="801" width="6" bestFit="1" customWidth="1"/>
    <col min="802" max="802" width="8.6640625" bestFit="1" customWidth="1"/>
    <col min="803" max="803" width="6" bestFit="1" customWidth="1"/>
    <col min="804" max="804" width="8.6640625" bestFit="1" customWidth="1"/>
    <col min="805" max="805" width="6" bestFit="1" customWidth="1"/>
    <col min="806" max="806" width="4" bestFit="1" customWidth="1"/>
    <col min="807" max="807" width="8.6640625" bestFit="1" customWidth="1"/>
    <col min="808" max="808" width="6" bestFit="1" customWidth="1"/>
    <col min="809" max="809" width="8.6640625" bestFit="1" customWidth="1"/>
    <col min="810" max="810" width="6" bestFit="1" customWidth="1"/>
    <col min="811" max="811" width="8.6640625" bestFit="1" customWidth="1"/>
    <col min="812" max="812" width="6" bestFit="1" customWidth="1"/>
    <col min="813" max="813" width="8.6640625" bestFit="1" customWidth="1"/>
    <col min="814" max="814" width="6" bestFit="1" customWidth="1"/>
    <col min="815" max="815" width="8.6640625" bestFit="1" customWidth="1"/>
    <col min="816" max="816" width="6" bestFit="1" customWidth="1"/>
    <col min="817" max="817" width="8.6640625" bestFit="1" customWidth="1"/>
    <col min="818" max="818" width="6" bestFit="1" customWidth="1"/>
    <col min="819" max="819" width="8.6640625" bestFit="1" customWidth="1"/>
    <col min="820" max="820" width="6" bestFit="1" customWidth="1"/>
    <col min="821" max="821" width="8.6640625" bestFit="1" customWidth="1"/>
    <col min="822" max="822" width="6" bestFit="1" customWidth="1"/>
    <col min="823" max="823" width="8.6640625" bestFit="1" customWidth="1"/>
    <col min="824" max="824" width="6" bestFit="1" customWidth="1"/>
    <col min="825" max="825" width="8.6640625" bestFit="1" customWidth="1"/>
    <col min="826" max="826" width="6" bestFit="1" customWidth="1"/>
    <col min="827" max="827" width="8.6640625" bestFit="1" customWidth="1"/>
    <col min="828" max="828" width="6" bestFit="1" customWidth="1"/>
    <col min="829" max="829" width="8.6640625" bestFit="1" customWidth="1"/>
    <col min="830" max="830" width="11.109375" bestFit="1" customWidth="1"/>
  </cols>
  <sheetData>
    <row r="3" spans="1:33" x14ac:dyDescent="0.3">
      <c r="A3" s="6" t="s">
        <v>16</v>
      </c>
      <c r="B3" t="s">
        <v>18</v>
      </c>
      <c r="D3" s="6" t="s">
        <v>16</v>
      </c>
      <c r="E3" t="s">
        <v>18</v>
      </c>
      <c r="G3" s="6" t="s">
        <v>16</v>
      </c>
      <c r="H3" t="s">
        <v>31</v>
      </c>
    </row>
    <row r="4" spans="1:33" ht="15" customHeight="1" x14ac:dyDescent="0.3">
      <c r="A4" s="7" t="s">
        <v>20</v>
      </c>
      <c r="B4">
        <v>9348</v>
      </c>
      <c r="D4" s="7">
        <v>0</v>
      </c>
      <c r="E4">
        <v>703</v>
      </c>
      <c r="G4" s="7">
        <v>0</v>
      </c>
      <c r="H4">
        <v>52.605839416058394</v>
      </c>
      <c r="O4" s="6" t="s">
        <v>19</v>
      </c>
      <c r="P4" t="s">
        <v>18</v>
      </c>
      <c r="Q4" t="s">
        <v>27</v>
      </c>
      <c r="R4" t="s">
        <v>28</v>
      </c>
    </row>
    <row r="5" spans="1:33" ht="15" customHeight="1" x14ac:dyDescent="0.3">
      <c r="A5" s="7" t="s">
        <v>21</v>
      </c>
      <c r="B5">
        <v>8506</v>
      </c>
      <c r="D5" s="7">
        <v>1</v>
      </c>
      <c r="E5">
        <v>460</v>
      </c>
      <c r="G5" s="7">
        <v>8.9599999999999999E-2</v>
      </c>
      <c r="H5">
        <v>47.25925925925926</v>
      </c>
      <c r="O5" t="s">
        <v>20</v>
      </c>
      <c r="P5">
        <v>9348</v>
      </c>
      <c r="Q5">
        <v>8052</v>
      </c>
      <c r="R5">
        <v>1296</v>
      </c>
    </row>
    <row r="6" spans="1:33" ht="15" customHeight="1" x14ac:dyDescent="0.3">
      <c r="A6" s="7" t="s">
        <v>22</v>
      </c>
      <c r="B6">
        <v>7814</v>
      </c>
      <c r="D6" s="7">
        <v>2</v>
      </c>
      <c r="E6">
        <v>294</v>
      </c>
      <c r="G6" s="7">
        <v>0.1045</v>
      </c>
      <c r="H6">
        <v>46.942528735632187</v>
      </c>
      <c r="O6" t="s">
        <v>21</v>
      </c>
      <c r="P6">
        <v>8506</v>
      </c>
      <c r="Q6">
        <v>7933</v>
      </c>
      <c r="R6">
        <v>573</v>
      </c>
      <c r="AD6" s="8"/>
      <c r="AE6" s="8"/>
      <c r="AF6" s="8"/>
      <c r="AG6" s="8"/>
    </row>
    <row r="7" spans="1:33" ht="15" customHeight="1" x14ac:dyDescent="0.3">
      <c r="A7" s="7" t="s">
        <v>23</v>
      </c>
      <c r="B7">
        <v>7672</v>
      </c>
      <c r="D7" s="7">
        <v>3</v>
      </c>
      <c r="E7">
        <v>151</v>
      </c>
      <c r="G7" s="7">
        <v>0.1343</v>
      </c>
      <c r="H7">
        <v>51.03092783505155</v>
      </c>
      <c r="O7" t="s">
        <v>22</v>
      </c>
      <c r="P7">
        <v>7814</v>
      </c>
      <c r="Q7">
        <v>7318</v>
      </c>
      <c r="R7">
        <v>496</v>
      </c>
      <c r="AD7" s="8"/>
      <c r="AE7" s="8"/>
      <c r="AF7" s="8"/>
      <c r="AG7" s="8"/>
    </row>
    <row r="8" spans="1:33" ht="15" customHeight="1" x14ac:dyDescent="0.3">
      <c r="A8" s="7" t="s">
        <v>24</v>
      </c>
      <c r="B8">
        <v>7856</v>
      </c>
      <c r="D8" s="7">
        <v>4</v>
      </c>
      <c r="E8">
        <v>69</v>
      </c>
      <c r="G8" s="7">
        <v>0.16420000000000001</v>
      </c>
      <c r="H8">
        <v>52.03</v>
      </c>
      <c r="O8" t="s">
        <v>23</v>
      </c>
      <c r="P8">
        <v>7672</v>
      </c>
      <c r="Q8">
        <v>7178</v>
      </c>
      <c r="R8">
        <v>494</v>
      </c>
      <c r="AD8" s="9"/>
      <c r="AE8" s="10"/>
      <c r="AF8" s="10"/>
      <c r="AG8" s="10"/>
    </row>
    <row r="9" spans="1:33" ht="15" customHeight="1" x14ac:dyDescent="0.3">
      <c r="A9" s="7" t="s">
        <v>25</v>
      </c>
      <c r="B9">
        <v>8589</v>
      </c>
      <c r="D9" s="7">
        <v>5</v>
      </c>
      <c r="E9">
        <v>164</v>
      </c>
      <c r="G9" s="7">
        <v>0.19400000000000001</v>
      </c>
      <c r="H9">
        <v>53.358024691358025</v>
      </c>
      <c r="O9" t="s">
        <v>24</v>
      </c>
      <c r="P9">
        <v>7856</v>
      </c>
      <c r="Q9">
        <v>7386</v>
      </c>
      <c r="R9">
        <v>470</v>
      </c>
      <c r="AD9" s="9"/>
      <c r="AE9" s="10"/>
      <c r="AF9" s="10"/>
      <c r="AG9" s="10"/>
    </row>
    <row r="10" spans="1:33" ht="15" customHeight="1" x14ac:dyDescent="0.3">
      <c r="A10" s="7" t="s">
        <v>26</v>
      </c>
      <c r="B10">
        <v>8519</v>
      </c>
      <c r="D10" s="7">
        <v>6</v>
      </c>
      <c r="E10">
        <v>822</v>
      </c>
      <c r="G10" s="7">
        <v>0.22389999999999999</v>
      </c>
      <c r="H10">
        <v>50.46153846153846</v>
      </c>
      <c r="O10" t="s">
        <v>25</v>
      </c>
      <c r="P10">
        <v>8589</v>
      </c>
      <c r="Q10">
        <v>7921</v>
      </c>
      <c r="R10">
        <v>668</v>
      </c>
      <c r="AD10" s="11"/>
    </row>
    <row r="11" spans="1:33" ht="15" customHeight="1" x14ac:dyDescent="0.3">
      <c r="A11" s="7" t="s">
        <v>17</v>
      </c>
      <c r="B11">
        <v>58304</v>
      </c>
      <c r="D11" s="7">
        <v>7</v>
      </c>
      <c r="E11">
        <v>2339</v>
      </c>
      <c r="G11" s="7">
        <v>0.25369999999999998</v>
      </c>
      <c r="H11">
        <v>53.28358208955224</v>
      </c>
      <c r="O11" t="s">
        <v>26</v>
      </c>
      <c r="P11">
        <v>8519</v>
      </c>
      <c r="Q11">
        <v>7595</v>
      </c>
      <c r="R11">
        <v>924</v>
      </c>
    </row>
    <row r="12" spans="1:33" x14ac:dyDescent="0.3">
      <c r="D12" s="7">
        <v>8</v>
      </c>
      <c r="E12">
        <v>5388</v>
      </c>
      <c r="G12" s="7">
        <v>0.28360000000000002</v>
      </c>
      <c r="H12">
        <v>51.42622950819672</v>
      </c>
    </row>
    <row r="13" spans="1:33" x14ac:dyDescent="0.3">
      <c r="D13" s="7">
        <v>9</v>
      </c>
      <c r="E13">
        <v>3672</v>
      </c>
      <c r="G13" s="7">
        <v>0.29849999999999999</v>
      </c>
      <c r="H13">
        <v>57.022727272727273</v>
      </c>
    </row>
    <row r="14" spans="1:33" x14ac:dyDescent="0.3">
      <c r="D14" s="7">
        <v>10</v>
      </c>
      <c r="E14">
        <v>2253</v>
      </c>
      <c r="G14" s="7">
        <v>0.32840000000000003</v>
      </c>
      <c r="H14">
        <v>63.32692307692308</v>
      </c>
    </row>
    <row r="15" spans="1:33" x14ac:dyDescent="0.3">
      <c r="D15" s="7">
        <v>11</v>
      </c>
      <c r="E15">
        <v>2494</v>
      </c>
      <c r="G15" s="7">
        <v>0.35820000000000002</v>
      </c>
      <c r="H15">
        <v>57.878787878787875</v>
      </c>
      <c r="O15" s="2" t="s">
        <v>6</v>
      </c>
      <c r="P15" s="4" t="s">
        <v>1</v>
      </c>
    </row>
    <row r="16" spans="1:33" x14ac:dyDescent="0.3">
      <c r="D16" s="7">
        <v>12</v>
      </c>
      <c r="E16">
        <v>3283</v>
      </c>
      <c r="G16" s="7">
        <v>0.3881</v>
      </c>
      <c r="H16">
        <v>50.695652173913047</v>
      </c>
      <c r="O16" s="2">
        <v>0.24</v>
      </c>
      <c r="P16" s="4">
        <v>13</v>
      </c>
    </row>
    <row r="17" spans="1:16" x14ac:dyDescent="0.3">
      <c r="D17" s="7">
        <v>13</v>
      </c>
      <c r="E17">
        <v>3376</v>
      </c>
      <c r="G17" s="7">
        <v>0.41789999999999999</v>
      </c>
      <c r="H17">
        <v>61.45</v>
      </c>
      <c r="O17" s="2">
        <v>0.22</v>
      </c>
      <c r="P17" s="4">
        <v>32</v>
      </c>
    </row>
    <row r="18" spans="1:16" x14ac:dyDescent="0.3">
      <c r="D18" s="7">
        <v>14</v>
      </c>
      <c r="E18">
        <v>3200</v>
      </c>
      <c r="G18" s="7">
        <v>0.44779999999999998</v>
      </c>
      <c r="H18">
        <v>56.111111111111114</v>
      </c>
      <c r="O18" s="2">
        <v>0.22</v>
      </c>
      <c r="P18" s="4">
        <v>27</v>
      </c>
    </row>
    <row r="19" spans="1:16" x14ac:dyDescent="0.3">
      <c r="D19" s="7">
        <v>15</v>
      </c>
      <c r="E19">
        <v>3352</v>
      </c>
      <c r="G19" s="7">
        <v>0.4627</v>
      </c>
      <c r="H19">
        <v>56.92307692307692</v>
      </c>
      <c r="O19" s="2">
        <v>0.24</v>
      </c>
      <c r="P19" s="4">
        <v>10</v>
      </c>
    </row>
    <row r="20" spans="1:16" x14ac:dyDescent="0.3">
      <c r="D20" s="7">
        <v>16</v>
      </c>
      <c r="E20">
        <v>3928</v>
      </c>
      <c r="G20" s="7">
        <v>0.49249999999999999</v>
      </c>
      <c r="H20">
        <v>119.6</v>
      </c>
      <c r="O20" s="2">
        <v>0.24</v>
      </c>
      <c r="P20" s="4">
        <v>1</v>
      </c>
    </row>
    <row r="21" spans="1:16" x14ac:dyDescent="0.3">
      <c r="D21" s="7">
        <v>17</v>
      </c>
      <c r="E21">
        <v>6169</v>
      </c>
      <c r="G21" s="7">
        <v>0.52239999999999998</v>
      </c>
      <c r="H21">
        <v>79.625</v>
      </c>
      <c r="O21" s="2">
        <v>0.24</v>
      </c>
      <c r="P21" s="4">
        <v>1</v>
      </c>
    </row>
    <row r="22" spans="1:16" x14ac:dyDescent="0.3">
      <c r="D22" s="7">
        <v>18</v>
      </c>
      <c r="E22">
        <v>5283</v>
      </c>
      <c r="G22" s="7">
        <v>0.55220000000000002</v>
      </c>
      <c r="H22">
        <v>88.5</v>
      </c>
      <c r="O22" s="2">
        <v>0.22</v>
      </c>
      <c r="P22" s="4">
        <v>0</v>
      </c>
    </row>
    <row r="23" spans="1:16" x14ac:dyDescent="0.3">
      <c r="D23" s="7">
        <v>19</v>
      </c>
      <c r="E23">
        <v>3661</v>
      </c>
      <c r="G23" s="7">
        <v>0.58209999999999995</v>
      </c>
      <c r="H23">
        <v>89</v>
      </c>
      <c r="O23" s="2">
        <v>0.2</v>
      </c>
      <c r="P23" s="4">
        <v>2</v>
      </c>
    </row>
    <row r="24" spans="1:16" x14ac:dyDescent="0.3">
      <c r="D24" s="7">
        <v>20</v>
      </c>
      <c r="E24">
        <v>2656</v>
      </c>
      <c r="G24" s="7" t="s">
        <v>17</v>
      </c>
      <c r="H24">
        <v>53.383000000000003</v>
      </c>
      <c r="O24" s="2">
        <v>0.24</v>
      </c>
      <c r="P24" s="4">
        <v>7</v>
      </c>
    </row>
    <row r="25" spans="1:16" x14ac:dyDescent="0.3">
      <c r="D25" s="7">
        <v>21</v>
      </c>
      <c r="E25">
        <v>1996</v>
      </c>
      <c r="O25" s="2">
        <v>0.32</v>
      </c>
      <c r="P25" s="4">
        <v>6</v>
      </c>
    </row>
    <row r="26" spans="1:16" x14ac:dyDescent="0.3">
      <c r="D26" s="7">
        <v>22</v>
      </c>
      <c r="E26">
        <v>1508</v>
      </c>
      <c r="O26" s="2">
        <v>0.38</v>
      </c>
      <c r="P26" s="4">
        <v>24</v>
      </c>
    </row>
    <row r="27" spans="1:16" x14ac:dyDescent="0.3">
      <c r="D27" s="7">
        <v>23</v>
      </c>
      <c r="E27">
        <v>1083</v>
      </c>
      <c r="O27" s="2">
        <v>0.36</v>
      </c>
      <c r="P27" s="4">
        <v>30</v>
      </c>
    </row>
    <row r="28" spans="1:16" x14ac:dyDescent="0.3">
      <c r="D28" s="7" t="s">
        <v>17</v>
      </c>
      <c r="E28">
        <v>58304</v>
      </c>
      <c r="O28" s="2">
        <v>0.42</v>
      </c>
      <c r="P28" s="4">
        <v>55</v>
      </c>
    </row>
    <row r="29" spans="1:16" x14ac:dyDescent="0.3">
      <c r="O29" s="2">
        <v>0.46</v>
      </c>
      <c r="P29" s="4">
        <v>47</v>
      </c>
    </row>
    <row r="30" spans="1:16" x14ac:dyDescent="0.3">
      <c r="O30" s="2">
        <v>0.46</v>
      </c>
      <c r="P30" s="4">
        <v>71</v>
      </c>
    </row>
    <row r="31" spans="1:16" x14ac:dyDescent="0.3">
      <c r="O31" s="2">
        <v>0.44</v>
      </c>
      <c r="P31" s="4">
        <v>70</v>
      </c>
    </row>
    <row r="32" spans="1:16" x14ac:dyDescent="0.3">
      <c r="A32" s="6" t="s">
        <v>16</v>
      </c>
      <c r="B32" t="s">
        <v>30</v>
      </c>
      <c r="D32" s="12"/>
      <c r="E32" s="12"/>
      <c r="F32" s="12"/>
      <c r="O32" s="2">
        <v>0.42</v>
      </c>
      <c r="P32" s="4">
        <v>52</v>
      </c>
    </row>
    <row r="33" spans="1:16" x14ac:dyDescent="0.3">
      <c r="A33" s="7">
        <v>0.21</v>
      </c>
      <c r="B33">
        <v>73.5</v>
      </c>
      <c r="D33" s="6" t="s">
        <v>16</v>
      </c>
      <c r="E33" t="s">
        <v>18</v>
      </c>
      <c r="F33" t="s">
        <v>27</v>
      </c>
      <c r="G33" t="s">
        <v>28</v>
      </c>
      <c r="O33" s="2">
        <v>0.44</v>
      </c>
      <c r="P33" s="4">
        <v>52</v>
      </c>
    </row>
    <row r="34" spans="1:16" x14ac:dyDescent="0.3">
      <c r="A34" s="7">
        <v>0.24</v>
      </c>
      <c r="B34">
        <v>211</v>
      </c>
      <c r="D34" s="7" t="s">
        <v>20</v>
      </c>
      <c r="E34">
        <v>9348</v>
      </c>
      <c r="F34">
        <v>8052</v>
      </c>
      <c r="G34">
        <v>1296</v>
      </c>
      <c r="O34" s="2">
        <v>0.42</v>
      </c>
      <c r="P34" s="4">
        <v>26</v>
      </c>
    </row>
    <row r="35" spans="1:16" x14ac:dyDescent="0.3">
      <c r="A35" s="7">
        <v>0.25</v>
      </c>
      <c r="B35">
        <v>56</v>
      </c>
      <c r="D35" s="7" t="s">
        <v>21</v>
      </c>
      <c r="E35">
        <v>8506</v>
      </c>
      <c r="F35">
        <v>7933</v>
      </c>
      <c r="G35">
        <v>573</v>
      </c>
      <c r="O35" s="2">
        <v>0.42</v>
      </c>
      <c r="P35" s="4">
        <v>31</v>
      </c>
    </row>
    <row r="36" spans="1:16" x14ac:dyDescent="0.3">
      <c r="A36" s="7">
        <v>0.26</v>
      </c>
      <c r="B36">
        <v>88.5</v>
      </c>
      <c r="D36" s="7" t="s">
        <v>22</v>
      </c>
      <c r="E36">
        <v>7814</v>
      </c>
      <c r="F36">
        <v>7318</v>
      </c>
      <c r="G36">
        <v>496</v>
      </c>
      <c r="O36" s="2">
        <v>0.4</v>
      </c>
      <c r="P36" s="4">
        <v>25</v>
      </c>
    </row>
    <row r="37" spans="1:16" x14ac:dyDescent="0.3">
      <c r="A37" s="7">
        <v>0.27</v>
      </c>
      <c r="B37">
        <v>68.666666666666671</v>
      </c>
      <c r="D37" s="7" t="s">
        <v>23</v>
      </c>
      <c r="E37">
        <v>7672</v>
      </c>
      <c r="F37">
        <v>7178</v>
      </c>
      <c r="G37">
        <v>494</v>
      </c>
      <c r="O37" s="2">
        <v>0.4</v>
      </c>
      <c r="P37" s="4">
        <v>31</v>
      </c>
    </row>
    <row r="38" spans="1:16" x14ac:dyDescent="0.3">
      <c r="A38" s="7">
        <v>0.28000000000000003</v>
      </c>
      <c r="B38">
        <v>109.875</v>
      </c>
      <c r="D38" s="7" t="s">
        <v>24</v>
      </c>
      <c r="E38">
        <v>7856</v>
      </c>
      <c r="F38">
        <v>7386</v>
      </c>
      <c r="G38">
        <v>470</v>
      </c>
      <c r="O38" s="2">
        <v>0.4</v>
      </c>
      <c r="P38" s="4">
        <v>17</v>
      </c>
    </row>
    <row r="39" spans="1:16" x14ac:dyDescent="0.3">
      <c r="A39" s="7">
        <v>0.28999999999999998</v>
      </c>
      <c r="B39">
        <v>122.2</v>
      </c>
      <c r="D39" s="7" t="s">
        <v>25</v>
      </c>
      <c r="E39">
        <v>8589</v>
      </c>
      <c r="F39">
        <v>7921</v>
      </c>
      <c r="G39">
        <v>668</v>
      </c>
      <c r="O39" s="2">
        <v>0.46</v>
      </c>
      <c r="P39" s="4">
        <v>24</v>
      </c>
    </row>
    <row r="40" spans="1:16" x14ac:dyDescent="0.3">
      <c r="A40" s="7">
        <v>0.3</v>
      </c>
      <c r="B40">
        <v>99.181818181818187</v>
      </c>
      <c r="D40" s="7" t="s">
        <v>26</v>
      </c>
      <c r="E40">
        <v>8519</v>
      </c>
      <c r="F40">
        <v>7595</v>
      </c>
      <c r="G40">
        <v>924</v>
      </c>
      <c r="O40" s="2">
        <v>0.46</v>
      </c>
      <c r="P40" s="4">
        <v>13</v>
      </c>
    </row>
    <row r="41" spans="1:16" x14ac:dyDescent="0.3">
      <c r="A41" s="7">
        <v>0.31</v>
      </c>
      <c r="B41">
        <v>118</v>
      </c>
      <c r="D41" s="7" t="s">
        <v>17</v>
      </c>
      <c r="E41">
        <v>58304</v>
      </c>
      <c r="F41">
        <v>53383</v>
      </c>
      <c r="G41">
        <v>4921</v>
      </c>
      <c r="O41" s="2">
        <v>0.44</v>
      </c>
      <c r="P41" s="4">
        <v>16</v>
      </c>
    </row>
    <row r="42" spans="1:16" x14ac:dyDescent="0.3">
      <c r="A42" s="7">
        <v>0.32</v>
      </c>
      <c r="B42">
        <v>113.66666666666667</v>
      </c>
      <c r="O42" s="2">
        <v>0.42</v>
      </c>
      <c r="P42" s="4">
        <v>8</v>
      </c>
    </row>
    <row r="43" spans="1:16" x14ac:dyDescent="0.3">
      <c r="A43" s="7">
        <v>0.33</v>
      </c>
      <c r="B43">
        <v>59.555555555555557</v>
      </c>
      <c r="O43" s="2">
        <v>0.46</v>
      </c>
      <c r="P43" s="4">
        <v>4</v>
      </c>
    </row>
    <row r="44" spans="1:16" ht="19.95" customHeight="1" x14ac:dyDescent="0.3">
      <c r="A44" s="7">
        <v>0.34</v>
      </c>
      <c r="B44">
        <v>93.142857142857139</v>
      </c>
      <c r="O44" s="2">
        <v>0.46</v>
      </c>
      <c r="P44" s="4">
        <v>1</v>
      </c>
    </row>
    <row r="45" spans="1:16" ht="19.95" customHeight="1" x14ac:dyDescent="0.3">
      <c r="A45" s="7">
        <v>0.35</v>
      </c>
      <c r="B45">
        <v>67</v>
      </c>
      <c r="D45" s="6" t="s">
        <v>16</v>
      </c>
      <c r="E45" t="s">
        <v>18</v>
      </c>
      <c r="F45" t="s">
        <v>27</v>
      </c>
      <c r="G45" t="s">
        <v>28</v>
      </c>
      <c r="O45" s="2">
        <v>0.42</v>
      </c>
      <c r="P45" s="4">
        <v>2</v>
      </c>
    </row>
    <row r="46" spans="1:16" ht="19.95" customHeight="1" x14ac:dyDescent="0.3">
      <c r="A46" s="7">
        <v>0.36</v>
      </c>
      <c r="B46">
        <v>51.53846153846154</v>
      </c>
      <c r="D46" s="7" t="s">
        <v>36</v>
      </c>
      <c r="E46">
        <v>22900</v>
      </c>
      <c r="F46">
        <v>19910</v>
      </c>
      <c r="G46">
        <v>2938</v>
      </c>
      <c r="O46" s="2">
        <v>0.4</v>
      </c>
      <c r="P46" s="4">
        <v>1</v>
      </c>
    </row>
    <row r="47" spans="1:16" ht="19.95" customHeight="1" x14ac:dyDescent="0.3">
      <c r="A47" s="7">
        <v>0.37</v>
      </c>
      <c r="B47">
        <v>74.80952380952381</v>
      </c>
      <c r="D47" s="7" t="s">
        <v>37</v>
      </c>
      <c r="E47">
        <v>35404</v>
      </c>
      <c r="F47">
        <v>33421</v>
      </c>
      <c r="G47">
        <v>1983</v>
      </c>
      <c r="O47" s="2">
        <v>0.4</v>
      </c>
      <c r="P47" s="4">
        <v>8</v>
      </c>
    </row>
    <row r="48" spans="1:16" ht="19.95" customHeight="1" x14ac:dyDescent="0.3">
      <c r="A48" s="7">
        <v>0.38</v>
      </c>
      <c r="B48">
        <v>78.84210526315789</v>
      </c>
      <c r="D48" s="7" t="s">
        <v>17</v>
      </c>
      <c r="E48">
        <v>58304</v>
      </c>
      <c r="F48">
        <v>53331</v>
      </c>
      <c r="G48">
        <v>4921</v>
      </c>
      <c r="O48" s="2">
        <v>0.38</v>
      </c>
      <c r="P48" s="4">
        <v>19</v>
      </c>
    </row>
    <row r="49" spans="1:16" ht="19.95" customHeight="1" x14ac:dyDescent="0.3">
      <c r="A49" s="7">
        <v>0.39</v>
      </c>
      <c r="B49">
        <v>72.266666666666666</v>
      </c>
      <c r="O49" s="2">
        <v>0.36</v>
      </c>
      <c r="P49" s="4">
        <v>46</v>
      </c>
    </row>
    <row r="50" spans="1:16" x14ac:dyDescent="0.3">
      <c r="A50" s="7">
        <v>0.4</v>
      </c>
      <c r="B50">
        <v>82.5</v>
      </c>
      <c r="O50" s="2">
        <v>0.36</v>
      </c>
      <c r="P50" s="4">
        <v>54</v>
      </c>
    </row>
    <row r="51" spans="1:16" x14ac:dyDescent="0.3">
      <c r="A51" s="7">
        <v>0.41</v>
      </c>
      <c r="B51">
        <v>55.1</v>
      </c>
      <c r="O51" s="2">
        <v>0.36</v>
      </c>
      <c r="P51" s="4">
        <v>73</v>
      </c>
    </row>
    <row r="52" spans="1:16" x14ac:dyDescent="0.3">
      <c r="A52" s="7">
        <v>0.42</v>
      </c>
      <c r="B52">
        <v>76.733333333333334</v>
      </c>
      <c r="O52" s="2">
        <v>0.36</v>
      </c>
      <c r="P52" s="4">
        <v>64</v>
      </c>
    </row>
    <row r="53" spans="1:16" x14ac:dyDescent="0.3">
      <c r="A53" s="7">
        <v>0.43</v>
      </c>
      <c r="B53">
        <v>40.450000000000003</v>
      </c>
      <c r="D53" s="6" t="s">
        <v>16</v>
      </c>
      <c r="E53" t="s">
        <v>18</v>
      </c>
      <c r="F53" t="s">
        <v>27</v>
      </c>
      <c r="G53" t="s">
        <v>28</v>
      </c>
      <c r="O53" s="2">
        <v>0.36</v>
      </c>
      <c r="P53" s="4">
        <v>55</v>
      </c>
    </row>
    <row r="54" spans="1:16" x14ac:dyDescent="0.3">
      <c r="A54" s="7">
        <v>0.44</v>
      </c>
      <c r="B54">
        <v>36</v>
      </c>
      <c r="D54" s="7" t="s">
        <v>38</v>
      </c>
      <c r="E54">
        <v>37373</v>
      </c>
      <c r="F54">
        <v>34162</v>
      </c>
      <c r="G54">
        <v>3211</v>
      </c>
      <c r="O54" s="2">
        <v>0.34</v>
      </c>
      <c r="P54" s="4">
        <v>55</v>
      </c>
    </row>
    <row r="55" spans="1:16" x14ac:dyDescent="0.3">
      <c r="A55" s="7">
        <v>0.45</v>
      </c>
      <c r="B55">
        <v>63</v>
      </c>
      <c r="D55" s="7" t="s">
        <v>39</v>
      </c>
      <c r="E55">
        <v>18106</v>
      </c>
      <c r="F55">
        <v>16516</v>
      </c>
      <c r="G55">
        <v>1538</v>
      </c>
      <c r="O55" s="2">
        <v>0.34</v>
      </c>
      <c r="P55" s="4">
        <v>67</v>
      </c>
    </row>
    <row r="56" spans="1:16" x14ac:dyDescent="0.3">
      <c r="A56" s="7">
        <v>0.46</v>
      </c>
      <c r="B56">
        <v>66.25</v>
      </c>
      <c r="D56" s="7" t="s">
        <v>40</v>
      </c>
      <c r="E56">
        <v>2789</v>
      </c>
      <c r="F56">
        <v>2618</v>
      </c>
      <c r="G56">
        <v>171</v>
      </c>
      <c r="O56" s="2">
        <v>0.34</v>
      </c>
      <c r="P56" s="4">
        <v>58</v>
      </c>
    </row>
    <row r="57" spans="1:16" x14ac:dyDescent="0.3">
      <c r="A57" s="7">
        <v>0.47</v>
      </c>
      <c r="B57">
        <v>69.891304347826093</v>
      </c>
      <c r="D57" s="7" t="s">
        <v>41</v>
      </c>
      <c r="E57">
        <v>36</v>
      </c>
      <c r="F57">
        <v>35</v>
      </c>
      <c r="G57">
        <v>1</v>
      </c>
      <c r="O57" s="2">
        <v>0.36</v>
      </c>
      <c r="P57" s="4">
        <v>43</v>
      </c>
    </row>
    <row r="58" spans="1:16" x14ac:dyDescent="0.3">
      <c r="A58" s="7">
        <v>0.48</v>
      </c>
      <c r="B58">
        <v>71.13333333333334</v>
      </c>
      <c r="D58" s="7" t="s">
        <v>17</v>
      </c>
      <c r="E58">
        <v>58304</v>
      </c>
      <c r="F58">
        <v>53331</v>
      </c>
      <c r="G58">
        <v>4921</v>
      </c>
      <c r="O58" s="2">
        <v>0.32</v>
      </c>
      <c r="P58" s="4">
        <v>29</v>
      </c>
    </row>
    <row r="59" spans="1:16" x14ac:dyDescent="0.3">
      <c r="A59" s="7">
        <v>0.49</v>
      </c>
      <c r="B59">
        <v>97.0625</v>
      </c>
      <c r="O59" s="2">
        <v>0.3</v>
      </c>
      <c r="P59" s="4">
        <v>17</v>
      </c>
    </row>
    <row r="60" spans="1:16" x14ac:dyDescent="0.3">
      <c r="A60" s="7">
        <v>0.5</v>
      </c>
      <c r="B60">
        <v>57.5</v>
      </c>
      <c r="O60" s="2">
        <v>0.26</v>
      </c>
      <c r="P60" s="4">
        <v>20</v>
      </c>
    </row>
    <row r="61" spans="1:16" x14ac:dyDescent="0.3">
      <c r="A61" s="7">
        <v>0.51</v>
      </c>
      <c r="B61">
        <v>80.888888888888886</v>
      </c>
      <c r="O61" s="2">
        <v>0.24</v>
      </c>
      <c r="P61" s="4">
        <v>9</v>
      </c>
    </row>
    <row r="62" spans="1:16" x14ac:dyDescent="0.3">
      <c r="A62" s="7">
        <v>0.52</v>
      </c>
      <c r="B62">
        <v>84.875</v>
      </c>
      <c r="O62" s="2">
        <v>0.22</v>
      </c>
      <c r="P62" s="4">
        <v>8</v>
      </c>
    </row>
    <row r="63" spans="1:16" x14ac:dyDescent="0.3">
      <c r="A63" s="7">
        <v>0.53</v>
      </c>
      <c r="B63">
        <v>33.833333333333336</v>
      </c>
      <c r="O63" s="2">
        <v>0.22</v>
      </c>
      <c r="P63" s="4">
        <v>5</v>
      </c>
    </row>
    <row r="64" spans="1:16" x14ac:dyDescent="0.3">
      <c r="A64" s="7">
        <v>0.54</v>
      </c>
      <c r="B64">
        <v>27.5</v>
      </c>
      <c r="O64" s="2">
        <v>0.2</v>
      </c>
      <c r="P64" s="4">
        <v>2</v>
      </c>
    </row>
    <row r="65" spans="1:16" x14ac:dyDescent="0.3">
      <c r="A65" s="7">
        <v>0.55000000000000004</v>
      </c>
      <c r="B65">
        <v>50.524999999999999</v>
      </c>
      <c r="O65" s="2">
        <v>0.16</v>
      </c>
      <c r="P65" s="4">
        <v>1</v>
      </c>
    </row>
    <row r="66" spans="1:16" x14ac:dyDescent="0.3">
      <c r="A66" s="7">
        <v>0.56000000000000005</v>
      </c>
      <c r="B66">
        <v>68.239999999999995</v>
      </c>
      <c r="O66" s="2">
        <v>0.16</v>
      </c>
      <c r="P66" s="4">
        <v>3</v>
      </c>
    </row>
    <row r="67" spans="1:16" x14ac:dyDescent="0.3">
      <c r="A67" s="7">
        <v>0.56999999999999995</v>
      </c>
      <c r="B67">
        <v>62.18181818181818</v>
      </c>
      <c r="O67" s="2">
        <v>0.14000000000000001</v>
      </c>
      <c r="P67" s="4">
        <v>30</v>
      </c>
    </row>
    <row r="68" spans="1:16" x14ac:dyDescent="0.3">
      <c r="A68" s="7">
        <v>0.57999999999999996</v>
      </c>
      <c r="B68">
        <v>60.333333333333336</v>
      </c>
      <c r="O68" s="2">
        <v>0.14000000000000001</v>
      </c>
      <c r="P68" s="4">
        <v>63</v>
      </c>
    </row>
    <row r="69" spans="1:16" x14ac:dyDescent="0.3">
      <c r="A69" s="7">
        <v>0.59</v>
      </c>
      <c r="B69">
        <v>55.826086956521742</v>
      </c>
      <c r="O69" s="2">
        <v>0.14000000000000001</v>
      </c>
      <c r="P69" s="4">
        <v>153</v>
      </c>
    </row>
    <row r="70" spans="1:16" x14ac:dyDescent="0.3">
      <c r="A70" s="7">
        <v>0.6</v>
      </c>
      <c r="B70">
        <v>49.65</v>
      </c>
      <c r="O70" s="2">
        <v>0.16</v>
      </c>
      <c r="P70" s="4">
        <v>81</v>
      </c>
    </row>
    <row r="71" spans="1:16" x14ac:dyDescent="0.3">
      <c r="A71" s="7">
        <v>0.61</v>
      </c>
      <c r="B71">
        <v>87.5</v>
      </c>
      <c r="O71" s="2">
        <v>0.18</v>
      </c>
      <c r="P71" s="4">
        <v>33</v>
      </c>
    </row>
    <row r="72" spans="1:16" x14ac:dyDescent="0.3">
      <c r="A72" s="7">
        <v>0.62</v>
      </c>
      <c r="B72">
        <v>37.200000000000003</v>
      </c>
      <c r="O72" s="2">
        <v>0.2</v>
      </c>
      <c r="P72" s="4">
        <v>41</v>
      </c>
    </row>
    <row r="73" spans="1:16" x14ac:dyDescent="0.3">
      <c r="A73" s="7">
        <v>0.63</v>
      </c>
      <c r="B73">
        <v>15.166666666666666</v>
      </c>
      <c r="O73" s="2">
        <v>0.22</v>
      </c>
      <c r="P73" s="4">
        <v>48</v>
      </c>
    </row>
    <row r="74" spans="1:16" x14ac:dyDescent="0.3">
      <c r="A74" s="7">
        <v>0.64</v>
      </c>
      <c r="B74">
        <v>31.34375</v>
      </c>
      <c r="O74" s="2">
        <v>0.24</v>
      </c>
      <c r="P74" s="4">
        <v>53</v>
      </c>
    </row>
    <row r="75" spans="1:16" x14ac:dyDescent="0.3">
      <c r="A75" s="7">
        <v>0.65</v>
      </c>
      <c r="B75">
        <v>48.434782608695649</v>
      </c>
      <c r="O75" s="2">
        <v>0.26</v>
      </c>
      <c r="P75" s="4">
        <v>66</v>
      </c>
    </row>
    <row r="76" spans="1:16" x14ac:dyDescent="0.3">
      <c r="A76" s="7">
        <v>0.66</v>
      </c>
      <c r="B76">
        <v>114.33333333333333</v>
      </c>
      <c r="O76" s="2">
        <v>0.26</v>
      </c>
      <c r="P76" s="4">
        <v>58</v>
      </c>
    </row>
    <row r="77" spans="1:16" x14ac:dyDescent="0.3">
      <c r="A77" s="7">
        <v>0.68</v>
      </c>
      <c r="B77">
        <v>62</v>
      </c>
      <c r="O77" s="2">
        <v>0.26</v>
      </c>
      <c r="P77" s="4">
        <v>67</v>
      </c>
    </row>
    <row r="78" spans="1:16" x14ac:dyDescent="0.3">
      <c r="A78" s="7">
        <v>0.69</v>
      </c>
      <c r="B78">
        <v>37.405405405405403</v>
      </c>
      <c r="O78" s="2">
        <v>0.24</v>
      </c>
      <c r="P78" s="4">
        <v>146</v>
      </c>
    </row>
    <row r="79" spans="1:16" x14ac:dyDescent="0.3">
      <c r="A79" s="7">
        <v>0.7</v>
      </c>
      <c r="B79">
        <v>59.928571428571431</v>
      </c>
      <c r="O79" s="2">
        <v>0.24</v>
      </c>
      <c r="P79" s="4">
        <v>148</v>
      </c>
    </row>
    <row r="80" spans="1:16" x14ac:dyDescent="0.3">
      <c r="A80" s="7">
        <v>0.71</v>
      </c>
      <c r="B80">
        <v>64.25</v>
      </c>
      <c r="O80" s="2">
        <v>0.2</v>
      </c>
      <c r="P80" s="4">
        <v>102</v>
      </c>
    </row>
    <row r="81" spans="1:16" x14ac:dyDescent="0.3">
      <c r="A81" s="7">
        <v>0.72</v>
      </c>
      <c r="B81">
        <v>100</v>
      </c>
      <c r="O81" s="2">
        <v>0.2</v>
      </c>
      <c r="P81" s="4">
        <v>49</v>
      </c>
    </row>
    <row r="82" spans="1:16" x14ac:dyDescent="0.3">
      <c r="A82" s="7">
        <v>0.73</v>
      </c>
      <c r="B82">
        <v>74</v>
      </c>
      <c r="O82" s="2">
        <v>0.18</v>
      </c>
      <c r="P82" s="4">
        <v>49</v>
      </c>
    </row>
    <row r="83" spans="1:16" x14ac:dyDescent="0.3">
      <c r="A83" s="7">
        <v>0.74</v>
      </c>
      <c r="B83">
        <v>60.869565217391305</v>
      </c>
      <c r="O83" s="2">
        <v>0.14000000000000001</v>
      </c>
      <c r="P83" s="4">
        <v>20</v>
      </c>
    </row>
    <row r="84" spans="1:16" x14ac:dyDescent="0.3">
      <c r="A84" s="7">
        <v>0.75</v>
      </c>
      <c r="B84">
        <v>41.090909090909093</v>
      </c>
      <c r="O84" s="2">
        <v>0.18</v>
      </c>
      <c r="P84" s="4">
        <v>11</v>
      </c>
    </row>
    <row r="85" spans="1:16" x14ac:dyDescent="0.3">
      <c r="A85" s="7">
        <v>0.76</v>
      </c>
      <c r="B85">
        <v>34.333333333333336</v>
      </c>
      <c r="O85" s="2">
        <v>0.16</v>
      </c>
      <c r="P85" s="4">
        <v>5</v>
      </c>
    </row>
    <row r="86" spans="1:16" x14ac:dyDescent="0.3">
      <c r="A86" s="7">
        <v>0.77</v>
      </c>
      <c r="B86">
        <v>65.333333333333329</v>
      </c>
      <c r="O86" s="2">
        <v>0.16</v>
      </c>
      <c r="P86" s="4">
        <v>2</v>
      </c>
    </row>
    <row r="87" spans="1:16" x14ac:dyDescent="0.3">
      <c r="A87" s="7">
        <v>0.8</v>
      </c>
      <c r="B87">
        <v>39.058823529411768</v>
      </c>
      <c r="O87" s="2">
        <v>0.14000000000000001</v>
      </c>
      <c r="P87" s="4">
        <v>1</v>
      </c>
    </row>
    <row r="88" spans="1:16" x14ac:dyDescent="0.3">
      <c r="A88" s="7">
        <v>0.81</v>
      </c>
      <c r="B88">
        <v>60.9</v>
      </c>
      <c r="O88" s="2">
        <v>0.14000000000000001</v>
      </c>
      <c r="P88" s="4">
        <v>2</v>
      </c>
    </row>
    <row r="89" spans="1:16" x14ac:dyDescent="0.3">
      <c r="A89" s="7">
        <v>0.82</v>
      </c>
      <c r="B89">
        <v>87</v>
      </c>
      <c r="O89" s="2">
        <v>0.12</v>
      </c>
      <c r="P89" s="4">
        <v>4</v>
      </c>
    </row>
    <row r="90" spans="1:16" x14ac:dyDescent="0.3">
      <c r="A90" s="7">
        <v>0.86</v>
      </c>
      <c r="B90">
        <v>38.5</v>
      </c>
      <c r="O90" s="2">
        <v>0.12</v>
      </c>
      <c r="P90" s="4">
        <v>36</v>
      </c>
    </row>
    <row r="91" spans="1:16" x14ac:dyDescent="0.3">
      <c r="A91" s="7">
        <v>0.87</v>
      </c>
      <c r="B91">
        <v>44.9375</v>
      </c>
      <c r="O91" s="2">
        <v>0.12</v>
      </c>
      <c r="P91" s="4">
        <v>92</v>
      </c>
    </row>
    <row r="92" spans="1:16" x14ac:dyDescent="0.3">
      <c r="A92" s="7">
        <v>0.88</v>
      </c>
      <c r="B92">
        <v>32</v>
      </c>
      <c r="O92" s="2">
        <v>0.14000000000000001</v>
      </c>
      <c r="P92" s="4">
        <v>177</v>
      </c>
    </row>
    <row r="93" spans="1:16" x14ac:dyDescent="0.3">
      <c r="A93" s="7">
        <v>0.92</v>
      </c>
      <c r="B93">
        <v>90</v>
      </c>
      <c r="O93" s="2">
        <v>0.16</v>
      </c>
      <c r="P93" s="4">
        <v>98</v>
      </c>
    </row>
    <row r="94" spans="1:16" x14ac:dyDescent="0.3">
      <c r="A94" s="7">
        <v>0.93</v>
      </c>
      <c r="B94">
        <v>37.799999999999997</v>
      </c>
      <c r="O94" s="2">
        <v>0.16</v>
      </c>
      <c r="P94" s="4">
        <v>37</v>
      </c>
    </row>
    <row r="95" spans="1:16" x14ac:dyDescent="0.3">
      <c r="A95" s="7">
        <v>0.94</v>
      </c>
      <c r="B95">
        <v>13.5</v>
      </c>
      <c r="O95" s="2">
        <v>0.22</v>
      </c>
      <c r="P95" s="4">
        <v>50</v>
      </c>
    </row>
    <row r="96" spans="1:16" x14ac:dyDescent="0.3">
      <c r="A96" s="7">
        <v>1</v>
      </c>
      <c r="B96">
        <v>54.25</v>
      </c>
      <c r="O96" s="2">
        <v>0.22</v>
      </c>
      <c r="P96" s="4">
        <v>66</v>
      </c>
    </row>
    <row r="97" spans="1:16" x14ac:dyDescent="0.3">
      <c r="A97" s="7" t="s">
        <v>17</v>
      </c>
      <c r="B97">
        <v>58.304000000000002</v>
      </c>
      <c r="O97" s="2">
        <v>0.24</v>
      </c>
      <c r="P97" s="4">
        <v>79</v>
      </c>
    </row>
    <row r="98" spans="1:16" x14ac:dyDescent="0.3">
      <c r="O98" s="2">
        <v>0.26</v>
      </c>
      <c r="P98" s="4">
        <v>54</v>
      </c>
    </row>
    <row r="99" spans="1:16" x14ac:dyDescent="0.3">
      <c r="O99" s="2">
        <v>0.28000000000000003</v>
      </c>
      <c r="P99" s="4">
        <v>48</v>
      </c>
    </row>
    <row r="100" spans="1:16" x14ac:dyDescent="0.3">
      <c r="O100" s="2">
        <v>0.3</v>
      </c>
      <c r="P100" s="4">
        <v>68</v>
      </c>
    </row>
    <row r="101" spans="1:16" x14ac:dyDescent="0.3">
      <c r="O101" s="2">
        <v>0.28000000000000003</v>
      </c>
      <c r="P101" s="4">
        <v>202</v>
      </c>
    </row>
    <row r="102" spans="1:16" x14ac:dyDescent="0.3">
      <c r="O102" s="2">
        <v>0.26</v>
      </c>
      <c r="P102" s="4">
        <v>179</v>
      </c>
    </row>
    <row r="103" spans="1:16" x14ac:dyDescent="0.3">
      <c r="O103" s="2">
        <v>0.24</v>
      </c>
      <c r="P103" s="4">
        <v>110</v>
      </c>
    </row>
    <row r="104" spans="1:16" x14ac:dyDescent="0.3">
      <c r="O104" s="2">
        <v>0.24</v>
      </c>
      <c r="P104" s="4">
        <v>53</v>
      </c>
    </row>
    <row r="105" spans="1:16" x14ac:dyDescent="0.3">
      <c r="O105" s="2">
        <v>0.22</v>
      </c>
      <c r="P105" s="4">
        <v>48</v>
      </c>
    </row>
    <row r="106" spans="1:16" x14ac:dyDescent="0.3">
      <c r="O106" s="2">
        <v>0.22</v>
      </c>
      <c r="P106" s="4">
        <v>34</v>
      </c>
    </row>
    <row r="107" spans="1:16" x14ac:dyDescent="0.3">
      <c r="O107" s="2">
        <v>0.2</v>
      </c>
      <c r="P107" s="4">
        <v>9</v>
      </c>
    </row>
    <row r="108" spans="1:16" x14ac:dyDescent="0.3">
      <c r="O108" s="2">
        <v>0.2</v>
      </c>
      <c r="P108" s="4">
        <v>6</v>
      </c>
    </row>
    <row r="109" spans="1:16" x14ac:dyDescent="0.3">
      <c r="O109" s="2">
        <v>0.16</v>
      </c>
      <c r="P109" s="4">
        <v>6</v>
      </c>
    </row>
    <row r="110" spans="1:16" x14ac:dyDescent="0.3">
      <c r="O110" s="2">
        <v>0.16</v>
      </c>
      <c r="P110" s="4">
        <v>2</v>
      </c>
    </row>
    <row r="111" spans="1:16" x14ac:dyDescent="0.3">
      <c r="O111" s="2">
        <v>0.24</v>
      </c>
      <c r="P111" s="4">
        <v>2</v>
      </c>
    </row>
    <row r="112" spans="1:16" x14ac:dyDescent="0.3">
      <c r="O112" s="2">
        <v>0.22</v>
      </c>
      <c r="P112" s="4">
        <v>3</v>
      </c>
    </row>
    <row r="113" spans="15:16" x14ac:dyDescent="0.3">
      <c r="O113" s="2">
        <v>0.2</v>
      </c>
      <c r="P113" s="4">
        <v>33</v>
      </c>
    </row>
    <row r="114" spans="15:16" x14ac:dyDescent="0.3">
      <c r="O114" s="2">
        <v>0.18</v>
      </c>
      <c r="P114" s="4">
        <v>87</v>
      </c>
    </row>
    <row r="115" spans="15:16" x14ac:dyDescent="0.3">
      <c r="O115" s="2">
        <v>0.2</v>
      </c>
      <c r="P115" s="4">
        <v>192</v>
      </c>
    </row>
    <row r="116" spans="15:16" x14ac:dyDescent="0.3">
      <c r="O116" s="2">
        <v>0.22</v>
      </c>
      <c r="P116" s="4">
        <v>109</v>
      </c>
    </row>
    <row r="117" spans="15:16" x14ac:dyDescent="0.3">
      <c r="O117" s="2">
        <v>0.22</v>
      </c>
      <c r="P117" s="4">
        <v>53</v>
      </c>
    </row>
    <row r="118" spans="15:16" x14ac:dyDescent="0.3">
      <c r="O118" s="2">
        <v>0.26</v>
      </c>
      <c r="P118" s="4">
        <v>34</v>
      </c>
    </row>
    <row r="119" spans="15:16" x14ac:dyDescent="0.3">
      <c r="O119" s="2">
        <v>0.26</v>
      </c>
      <c r="P119" s="4">
        <v>74</v>
      </c>
    </row>
    <row r="120" spans="15:16" x14ac:dyDescent="0.3">
      <c r="O120" s="2">
        <v>0.28000000000000003</v>
      </c>
      <c r="P120" s="4">
        <v>65</v>
      </c>
    </row>
    <row r="121" spans="15:16" x14ac:dyDescent="0.3">
      <c r="O121" s="2">
        <v>0.3</v>
      </c>
      <c r="P121" s="4">
        <v>52</v>
      </c>
    </row>
    <row r="122" spans="15:16" x14ac:dyDescent="0.3">
      <c r="O122" s="2">
        <v>0.3</v>
      </c>
      <c r="P122" s="4">
        <v>55</v>
      </c>
    </row>
    <row r="123" spans="15:16" x14ac:dyDescent="0.3">
      <c r="O123" s="2">
        <v>0.3</v>
      </c>
      <c r="P123" s="4">
        <v>85</v>
      </c>
    </row>
    <row r="124" spans="15:16" x14ac:dyDescent="0.3">
      <c r="O124" s="2">
        <v>0.24</v>
      </c>
      <c r="P124" s="4">
        <v>186</v>
      </c>
    </row>
    <row r="125" spans="15:16" x14ac:dyDescent="0.3">
      <c r="O125" s="2">
        <v>0.24</v>
      </c>
      <c r="P125" s="4">
        <v>166</v>
      </c>
    </row>
    <row r="126" spans="15:16" x14ac:dyDescent="0.3">
      <c r="O126" s="2">
        <v>0.24</v>
      </c>
      <c r="P126" s="4">
        <v>127</v>
      </c>
    </row>
    <row r="127" spans="15:16" x14ac:dyDescent="0.3">
      <c r="O127" s="2">
        <v>0.22</v>
      </c>
      <c r="P127" s="4">
        <v>82</v>
      </c>
    </row>
    <row r="128" spans="15:16" x14ac:dyDescent="0.3">
      <c r="O128" s="2">
        <v>0.2</v>
      </c>
      <c r="P128" s="4">
        <v>40</v>
      </c>
    </row>
    <row r="129" spans="15:16" x14ac:dyDescent="0.3">
      <c r="O129" s="2">
        <v>0.18</v>
      </c>
      <c r="P129" s="4">
        <v>41</v>
      </c>
    </row>
    <row r="130" spans="15:16" x14ac:dyDescent="0.3">
      <c r="O130" s="2">
        <v>0.2</v>
      </c>
      <c r="P130" s="4">
        <v>18</v>
      </c>
    </row>
    <row r="131" spans="15:16" x14ac:dyDescent="0.3">
      <c r="O131" s="2">
        <v>0.18</v>
      </c>
      <c r="P131" s="4">
        <v>11</v>
      </c>
    </row>
    <row r="132" spans="15:16" x14ac:dyDescent="0.3">
      <c r="O132" s="2">
        <v>0.16</v>
      </c>
      <c r="P132" s="4">
        <v>4</v>
      </c>
    </row>
    <row r="133" spans="15:16" x14ac:dyDescent="0.3">
      <c r="O133" s="2">
        <v>0.16</v>
      </c>
      <c r="P133" s="4">
        <v>2</v>
      </c>
    </row>
    <row r="134" spans="15:16" x14ac:dyDescent="0.3">
      <c r="O134" s="2">
        <v>0.16</v>
      </c>
      <c r="P134" s="4">
        <v>1</v>
      </c>
    </row>
    <row r="135" spans="15:16" x14ac:dyDescent="0.3">
      <c r="O135" s="2">
        <v>0.14000000000000001</v>
      </c>
      <c r="P135" s="4">
        <v>4</v>
      </c>
    </row>
    <row r="136" spans="15:16" x14ac:dyDescent="0.3">
      <c r="O136" s="2">
        <v>0.14000000000000001</v>
      </c>
      <c r="P136" s="4">
        <v>36</v>
      </c>
    </row>
    <row r="137" spans="15:16" x14ac:dyDescent="0.3">
      <c r="O137" s="2">
        <v>0.16</v>
      </c>
      <c r="P137" s="4">
        <v>95</v>
      </c>
    </row>
    <row r="138" spans="15:16" x14ac:dyDescent="0.3">
      <c r="O138" s="2">
        <v>0.16</v>
      </c>
      <c r="P138" s="4">
        <v>216</v>
      </c>
    </row>
    <row r="139" spans="15:16" x14ac:dyDescent="0.3">
      <c r="O139" s="2">
        <v>0.18</v>
      </c>
      <c r="P139" s="4">
        <v>116</v>
      </c>
    </row>
    <row r="140" spans="15:16" x14ac:dyDescent="0.3">
      <c r="O140" s="2">
        <v>0.2</v>
      </c>
      <c r="P140" s="4">
        <v>42</v>
      </c>
    </row>
    <row r="141" spans="15:16" x14ac:dyDescent="0.3">
      <c r="O141" s="2">
        <v>0.22</v>
      </c>
      <c r="P141" s="4">
        <v>57</v>
      </c>
    </row>
    <row r="142" spans="15:16" x14ac:dyDescent="0.3">
      <c r="O142" s="2">
        <v>0.26</v>
      </c>
      <c r="P142" s="4">
        <v>78</v>
      </c>
    </row>
    <row r="143" spans="15:16" x14ac:dyDescent="0.3">
      <c r="O143" s="2">
        <v>0.26</v>
      </c>
      <c r="P143" s="4">
        <v>55</v>
      </c>
    </row>
    <row r="144" spans="15:16" x14ac:dyDescent="0.3">
      <c r="O144" s="2">
        <v>0.28000000000000003</v>
      </c>
      <c r="P144" s="4">
        <v>59</v>
      </c>
    </row>
    <row r="145" spans="15:16" x14ac:dyDescent="0.3">
      <c r="O145" s="2">
        <v>0.28000000000000003</v>
      </c>
      <c r="P145" s="4">
        <v>54</v>
      </c>
    </row>
    <row r="146" spans="15:16" x14ac:dyDescent="0.3">
      <c r="O146" s="2">
        <v>0.26</v>
      </c>
      <c r="P146" s="4">
        <v>74</v>
      </c>
    </row>
    <row r="147" spans="15:16" x14ac:dyDescent="0.3">
      <c r="O147" s="2">
        <v>0.22</v>
      </c>
      <c r="P147" s="4">
        <v>163</v>
      </c>
    </row>
    <row r="148" spans="15:16" x14ac:dyDescent="0.3">
      <c r="O148" s="2">
        <v>0.22</v>
      </c>
      <c r="P148" s="4">
        <v>158</v>
      </c>
    </row>
    <row r="149" spans="15:16" x14ac:dyDescent="0.3">
      <c r="O149" s="2">
        <v>0.22</v>
      </c>
      <c r="P149" s="4">
        <v>109</v>
      </c>
    </row>
    <row r="150" spans="15:16" x14ac:dyDescent="0.3">
      <c r="O150" s="2">
        <v>0.2</v>
      </c>
      <c r="P150" s="4">
        <v>66</v>
      </c>
    </row>
    <row r="151" spans="15:16" x14ac:dyDescent="0.3">
      <c r="O151" s="2">
        <v>0.22</v>
      </c>
      <c r="P151" s="4">
        <v>48</v>
      </c>
    </row>
    <row r="152" spans="15:16" x14ac:dyDescent="0.3">
      <c r="O152" s="2">
        <v>0.22</v>
      </c>
      <c r="P152" s="4">
        <v>51</v>
      </c>
    </row>
    <row r="153" spans="15:16" x14ac:dyDescent="0.3">
      <c r="O153" s="2">
        <v>0.2</v>
      </c>
      <c r="P153" s="4">
        <v>19</v>
      </c>
    </row>
    <row r="154" spans="15:16" x14ac:dyDescent="0.3">
      <c r="O154" s="2">
        <v>0.2</v>
      </c>
      <c r="P154" s="4">
        <v>13</v>
      </c>
    </row>
    <row r="155" spans="15:16" x14ac:dyDescent="0.3">
      <c r="O155" s="2">
        <v>0.2</v>
      </c>
      <c r="P155" s="4">
        <v>5</v>
      </c>
    </row>
    <row r="156" spans="15:16" x14ac:dyDescent="0.3">
      <c r="O156" s="2">
        <v>0.2</v>
      </c>
      <c r="P156" s="4">
        <v>1</v>
      </c>
    </row>
    <row r="157" spans="15:16" x14ac:dyDescent="0.3">
      <c r="O157" s="2">
        <v>0.2</v>
      </c>
      <c r="P157" s="4">
        <v>1</v>
      </c>
    </row>
    <row r="158" spans="15:16" x14ac:dyDescent="0.3">
      <c r="O158" s="2">
        <v>0.22</v>
      </c>
      <c r="P158" s="4">
        <v>5</v>
      </c>
    </row>
    <row r="159" spans="15:16" x14ac:dyDescent="0.3">
      <c r="O159" s="2">
        <v>0.2</v>
      </c>
      <c r="P159" s="4">
        <v>26</v>
      </c>
    </row>
    <row r="160" spans="15:16" x14ac:dyDescent="0.3">
      <c r="O160" s="2">
        <v>0.2</v>
      </c>
      <c r="P160" s="4">
        <v>76</v>
      </c>
    </row>
    <row r="161" spans="15:16" x14ac:dyDescent="0.3">
      <c r="O161" s="2">
        <v>0.2</v>
      </c>
      <c r="P161" s="4">
        <v>190</v>
      </c>
    </row>
    <row r="162" spans="15:16" x14ac:dyDescent="0.3">
      <c r="O162" s="2">
        <v>0.2</v>
      </c>
      <c r="P162" s="4">
        <v>125</v>
      </c>
    </row>
    <row r="163" spans="15:16" x14ac:dyDescent="0.3">
      <c r="O163" s="2">
        <v>0.22</v>
      </c>
      <c r="P163" s="4">
        <v>47</v>
      </c>
    </row>
    <row r="164" spans="15:16" x14ac:dyDescent="0.3">
      <c r="O164" s="2">
        <v>0.2</v>
      </c>
      <c r="P164" s="4">
        <v>48</v>
      </c>
    </row>
    <row r="165" spans="15:16" x14ac:dyDescent="0.3">
      <c r="O165" s="2">
        <v>0.2</v>
      </c>
      <c r="P165" s="4">
        <v>50</v>
      </c>
    </row>
    <row r="166" spans="15:16" x14ac:dyDescent="0.3">
      <c r="O166" s="2">
        <v>0.2</v>
      </c>
      <c r="P166" s="4">
        <v>64</v>
      </c>
    </row>
    <row r="167" spans="15:16" x14ac:dyDescent="0.3">
      <c r="O167" s="2">
        <v>0.2</v>
      </c>
      <c r="P167" s="4">
        <v>43</v>
      </c>
    </row>
    <row r="168" spans="15:16" x14ac:dyDescent="0.3">
      <c r="O168" s="2">
        <v>0.2</v>
      </c>
      <c r="P168" s="4">
        <v>63</v>
      </c>
    </row>
    <row r="169" spans="15:16" x14ac:dyDescent="0.3">
      <c r="O169" s="2">
        <v>0.2</v>
      </c>
      <c r="P169" s="4">
        <v>82</v>
      </c>
    </row>
    <row r="170" spans="15:16" x14ac:dyDescent="0.3">
      <c r="O170" s="2">
        <v>0.2</v>
      </c>
      <c r="P170" s="4">
        <v>178</v>
      </c>
    </row>
    <row r="171" spans="15:16" x14ac:dyDescent="0.3">
      <c r="O171" s="2">
        <v>0.2</v>
      </c>
      <c r="P171" s="4">
        <v>116</v>
      </c>
    </row>
    <row r="172" spans="15:16" x14ac:dyDescent="0.3">
      <c r="O172" s="2">
        <v>0.16</v>
      </c>
      <c r="P172" s="4">
        <v>92</v>
      </c>
    </row>
    <row r="173" spans="15:16" x14ac:dyDescent="0.3">
      <c r="O173" s="2">
        <v>0.18</v>
      </c>
      <c r="P173" s="4">
        <v>50</v>
      </c>
    </row>
    <row r="174" spans="15:16" x14ac:dyDescent="0.3">
      <c r="O174" s="2">
        <v>0.18</v>
      </c>
      <c r="P174" s="4">
        <v>39</v>
      </c>
    </row>
    <row r="175" spans="15:16" x14ac:dyDescent="0.3">
      <c r="O175" s="2">
        <v>0.18</v>
      </c>
      <c r="P175" s="4">
        <v>34</v>
      </c>
    </row>
    <row r="176" spans="15:16" x14ac:dyDescent="0.3">
      <c r="O176" s="2">
        <v>0.18</v>
      </c>
      <c r="P176" s="4">
        <v>14</v>
      </c>
    </row>
    <row r="177" spans="15:16" x14ac:dyDescent="0.3">
      <c r="O177" s="2">
        <v>0.18</v>
      </c>
      <c r="P177" s="4">
        <v>24</v>
      </c>
    </row>
    <row r="178" spans="15:16" x14ac:dyDescent="0.3">
      <c r="O178" s="2">
        <v>0.18</v>
      </c>
      <c r="P178" s="4">
        <v>15</v>
      </c>
    </row>
    <row r="179" spans="15:16" x14ac:dyDescent="0.3">
      <c r="O179" s="2">
        <v>0.18</v>
      </c>
      <c r="P179" s="4">
        <v>13</v>
      </c>
    </row>
    <row r="180" spans="15:16" x14ac:dyDescent="0.3">
      <c r="O180" s="2">
        <v>0.18</v>
      </c>
      <c r="P180" s="4">
        <v>7</v>
      </c>
    </row>
    <row r="181" spans="15:16" x14ac:dyDescent="0.3">
      <c r="O181" s="2">
        <v>0.18</v>
      </c>
      <c r="P181" s="4">
        <v>1</v>
      </c>
    </row>
    <row r="182" spans="15:16" x14ac:dyDescent="0.3">
      <c r="O182" s="2">
        <v>0.16</v>
      </c>
      <c r="P182" s="4">
        <v>5</v>
      </c>
    </row>
    <row r="183" spans="15:16" x14ac:dyDescent="0.3">
      <c r="O183" s="2">
        <v>0.16</v>
      </c>
      <c r="P183" s="4">
        <v>2</v>
      </c>
    </row>
    <row r="184" spans="15:16" x14ac:dyDescent="0.3">
      <c r="O184" s="2">
        <v>0.16</v>
      </c>
      <c r="P184" s="4">
        <v>8</v>
      </c>
    </row>
    <row r="185" spans="15:16" x14ac:dyDescent="0.3">
      <c r="O185" s="2">
        <v>0.16</v>
      </c>
      <c r="P185" s="4">
        <v>15</v>
      </c>
    </row>
    <row r="186" spans="15:16" x14ac:dyDescent="0.3">
      <c r="O186" s="2">
        <v>0.16</v>
      </c>
      <c r="P186" s="4">
        <v>20</v>
      </c>
    </row>
    <row r="187" spans="15:16" x14ac:dyDescent="0.3">
      <c r="O187" s="2">
        <v>0.18</v>
      </c>
      <c r="P187" s="4">
        <v>56</v>
      </c>
    </row>
    <row r="188" spans="15:16" x14ac:dyDescent="0.3">
      <c r="O188" s="2">
        <v>0.2</v>
      </c>
      <c r="P188" s="4">
        <v>60</v>
      </c>
    </row>
    <row r="189" spans="15:16" x14ac:dyDescent="0.3">
      <c r="O189" s="2">
        <v>0.2</v>
      </c>
      <c r="P189" s="4">
        <v>90</v>
      </c>
    </row>
    <row r="190" spans="15:16" x14ac:dyDescent="0.3">
      <c r="O190" s="2">
        <v>0.2</v>
      </c>
      <c r="P190" s="4">
        <v>95</v>
      </c>
    </row>
    <row r="191" spans="15:16" x14ac:dyDescent="0.3">
      <c r="O191" s="2">
        <v>0.2</v>
      </c>
      <c r="P191" s="4">
        <v>83</v>
      </c>
    </row>
    <row r="192" spans="15:16" x14ac:dyDescent="0.3">
      <c r="O192" s="2">
        <v>0.2</v>
      </c>
      <c r="P192" s="4">
        <v>69</v>
      </c>
    </row>
    <row r="193" spans="15:16" x14ac:dyDescent="0.3">
      <c r="O193" s="2">
        <v>0.18</v>
      </c>
      <c r="P193" s="4">
        <v>68</v>
      </c>
    </row>
    <row r="194" spans="15:16" x14ac:dyDescent="0.3">
      <c r="O194" s="2">
        <v>0.16</v>
      </c>
      <c r="P194" s="4">
        <v>64</v>
      </c>
    </row>
    <row r="195" spans="15:16" x14ac:dyDescent="0.3">
      <c r="O195" s="2">
        <v>0.14000000000000001</v>
      </c>
      <c r="P195" s="4">
        <v>52</v>
      </c>
    </row>
    <row r="196" spans="15:16" x14ac:dyDescent="0.3">
      <c r="O196" s="2">
        <v>0.14000000000000001</v>
      </c>
      <c r="P196" s="4">
        <v>26</v>
      </c>
    </row>
    <row r="197" spans="15:16" x14ac:dyDescent="0.3">
      <c r="O197" s="2">
        <v>0.12</v>
      </c>
      <c r="P197" s="4">
        <v>28</v>
      </c>
    </row>
    <row r="198" spans="15:16" x14ac:dyDescent="0.3">
      <c r="O198" s="2">
        <v>0.12</v>
      </c>
      <c r="P198" s="4">
        <v>35</v>
      </c>
    </row>
    <row r="199" spans="15:16" x14ac:dyDescent="0.3">
      <c r="O199" s="2">
        <v>0.12</v>
      </c>
      <c r="P199" s="4">
        <v>33</v>
      </c>
    </row>
    <row r="200" spans="15:16" x14ac:dyDescent="0.3">
      <c r="O200" s="2">
        <v>0.1</v>
      </c>
      <c r="P200" s="4">
        <v>22</v>
      </c>
    </row>
    <row r="201" spans="15:16" x14ac:dyDescent="0.3">
      <c r="O201" s="2">
        <v>0.1</v>
      </c>
      <c r="P201" s="4">
        <v>24</v>
      </c>
    </row>
    <row r="202" spans="15:16" x14ac:dyDescent="0.3">
      <c r="O202" s="2">
        <v>0.1</v>
      </c>
      <c r="P202" s="4">
        <v>12</v>
      </c>
    </row>
    <row r="203" spans="15:16" x14ac:dyDescent="0.3">
      <c r="O203" s="2">
        <v>0.1</v>
      </c>
      <c r="P203" s="4">
        <v>11</v>
      </c>
    </row>
    <row r="204" spans="15:16" x14ac:dyDescent="0.3">
      <c r="O204" s="2">
        <v>0.1</v>
      </c>
      <c r="P204" s="4">
        <v>4</v>
      </c>
    </row>
    <row r="205" spans="15:16" x14ac:dyDescent="0.3">
      <c r="O205" s="2">
        <v>0.08</v>
      </c>
      <c r="P205" s="4">
        <v>1</v>
      </c>
    </row>
    <row r="206" spans="15:16" x14ac:dyDescent="0.3">
      <c r="O206" s="2">
        <v>0.08</v>
      </c>
      <c r="P206" s="4">
        <v>1</v>
      </c>
    </row>
    <row r="207" spans="15:16" x14ac:dyDescent="0.3">
      <c r="O207" s="2">
        <v>0.1</v>
      </c>
      <c r="P207" s="4">
        <v>1</v>
      </c>
    </row>
    <row r="208" spans="15:16" x14ac:dyDescent="0.3">
      <c r="O208" s="2">
        <v>0.08</v>
      </c>
      <c r="P208" s="4">
        <v>5</v>
      </c>
    </row>
    <row r="209" spans="15:16" x14ac:dyDescent="0.3">
      <c r="O209" s="2">
        <v>0.1</v>
      </c>
      <c r="P209" s="4">
        <v>10</v>
      </c>
    </row>
    <row r="210" spans="15:16" x14ac:dyDescent="0.3">
      <c r="O210" s="2">
        <v>0.12</v>
      </c>
      <c r="P210" s="4">
        <v>19</v>
      </c>
    </row>
    <row r="211" spans="15:16" x14ac:dyDescent="0.3">
      <c r="O211" s="2">
        <v>0.14000000000000001</v>
      </c>
      <c r="P211" s="4">
        <v>49</v>
      </c>
    </row>
    <row r="212" spans="15:16" x14ac:dyDescent="0.3">
      <c r="O212" s="2">
        <v>0.16</v>
      </c>
      <c r="P212" s="4">
        <v>47</v>
      </c>
    </row>
    <row r="213" spans="15:16" x14ac:dyDescent="0.3">
      <c r="O213" s="2">
        <v>0.18</v>
      </c>
      <c r="P213" s="4">
        <v>79</v>
      </c>
    </row>
    <row r="214" spans="15:16" x14ac:dyDescent="0.3">
      <c r="O214" s="2">
        <v>0.2</v>
      </c>
      <c r="P214" s="4">
        <v>69</v>
      </c>
    </row>
    <row r="215" spans="15:16" x14ac:dyDescent="0.3">
      <c r="O215" s="2">
        <v>0.22</v>
      </c>
      <c r="P215" s="4">
        <v>64</v>
      </c>
    </row>
    <row r="216" spans="15:16" x14ac:dyDescent="0.3">
      <c r="O216" s="2">
        <v>0.22</v>
      </c>
      <c r="P216" s="4">
        <v>77</v>
      </c>
    </row>
    <row r="217" spans="15:16" x14ac:dyDescent="0.3">
      <c r="O217" s="2">
        <v>0.2</v>
      </c>
      <c r="P217" s="4">
        <v>79</v>
      </c>
    </row>
    <row r="218" spans="15:16" x14ac:dyDescent="0.3">
      <c r="O218" s="2">
        <v>0.18</v>
      </c>
      <c r="P218" s="4">
        <v>59</v>
      </c>
    </row>
    <row r="219" spans="15:16" x14ac:dyDescent="0.3">
      <c r="O219" s="2">
        <v>0.16</v>
      </c>
      <c r="P219" s="4">
        <v>44</v>
      </c>
    </row>
    <row r="220" spans="15:16" x14ac:dyDescent="0.3">
      <c r="O220" s="2">
        <v>0.16</v>
      </c>
      <c r="P220" s="4">
        <v>40</v>
      </c>
    </row>
    <row r="221" spans="15:16" x14ac:dyDescent="0.3">
      <c r="O221" s="2">
        <v>0.14000000000000001</v>
      </c>
      <c r="P221" s="4">
        <v>38</v>
      </c>
    </row>
    <row r="222" spans="15:16" x14ac:dyDescent="0.3">
      <c r="O222" s="2">
        <v>0.14000000000000001</v>
      </c>
      <c r="P222" s="4">
        <v>19</v>
      </c>
    </row>
    <row r="223" spans="15:16" x14ac:dyDescent="0.3">
      <c r="O223" s="2">
        <v>0.14000000000000001</v>
      </c>
      <c r="P223" s="4">
        <v>10</v>
      </c>
    </row>
    <row r="224" spans="15:16" x14ac:dyDescent="0.3">
      <c r="O224" s="2">
        <v>0.12</v>
      </c>
      <c r="P224" s="4">
        <v>6</v>
      </c>
    </row>
    <row r="225" spans="15:16" x14ac:dyDescent="0.3">
      <c r="O225" s="2">
        <v>0.12</v>
      </c>
      <c r="P225" s="4">
        <v>3</v>
      </c>
    </row>
    <row r="226" spans="15:16" x14ac:dyDescent="0.3">
      <c r="O226" s="2">
        <v>0.12</v>
      </c>
      <c r="P226" s="4">
        <v>0</v>
      </c>
    </row>
    <row r="227" spans="15:16" x14ac:dyDescent="0.3">
      <c r="O227" s="2">
        <v>0.12</v>
      </c>
      <c r="P227" s="4">
        <v>3</v>
      </c>
    </row>
    <row r="228" spans="15:16" x14ac:dyDescent="0.3">
      <c r="O228" s="2">
        <v>0.12</v>
      </c>
      <c r="P228" s="4">
        <v>1</v>
      </c>
    </row>
    <row r="229" spans="15:16" x14ac:dyDescent="0.3">
      <c r="O229" s="2">
        <v>0.1</v>
      </c>
      <c r="P229" s="4">
        <v>2</v>
      </c>
    </row>
    <row r="230" spans="15:16" x14ac:dyDescent="0.3">
      <c r="O230" s="2">
        <v>0.1</v>
      </c>
      <c r="P230" s="4">
        <v>3</v>
      </c>
    </row>
    <row r="231" spans="15:16" x14ac:dyDescent="0.3">
      <c r="O231" s="2">
        <v>0.12</v>
      </c>
      <c r="P231" s="4">
        <v>31</v>
      </c>
    </row>
    <row r="232" spans="15:16" x14ac:dyDescent="0.3">
      <c r="O232" s="2">
        <v>0.12</v>
      </c>
      <c r="P232" s="4">
        <v>75</v>
      </c>
    </row>
    <row r="233" spans="15:16" x14ac:dyDescent="0.3">
      <c r="O233" s="2">
        <v>0.12</v>
      </c>
      <c r="P233" s="4">
        <v>184</v>
      </c>
    </row>
    <row r="234" spans="15:16" x14ac:dyDescent="0.3">
      <c r="O234" s="2">
        <v>0.14000000000000001</v>
      </c>
      <c r="P234" s="4">
        <v>92</v>
      </c>
    </row>
    <row r="235" spans="15:16" x14ac:dyDescent="0.3">
      <c r="O235" s="2">
        <v>0.14000000000000001</v>
      </c>
      <c r="P235" s="4">
        <v>31</v>
      </c>
    </row>
    <row r="236" spans="15:16" x14ac:dyDescent="0.3">
      <c r="O236" s="2">
        <v>0.16</v>
      </c>
      <c r="P236" s="4">
        <v>28</v>
      </c>
    </row>
    <row r="237" spans="15:16" x14ac:dyDescent="0.3">
      <c r="O237" s="2">
        <v>0.2</v>
      </c>
      <c r="P237" s="4">
        <v>47</v>
      </c>
    </row>
    <row r="238" spans="15:16" x14ac:dyDescent="0.3">
      <c r="O238" s="2">
        <v>0.2</v>
      </c>
      <c r="P238" s="4">
        <v>50</v>
      </c>
    </row>
    <row r="239" spans="15:16" x14ac:dyDescent="0.3">
      <c r="O239" s="2">
        <v>0.2</v>
      </c>
      <c r="P239" s="4">
        <v>47</v>
      </c>
    </row>
    <row r="240" spans="15:16" x14ac:dyDescent="0.3">
      <c r="O240" s="2">
        <v>0.2</v>
      </c>
      <c r="P240" s="4">
        <v>43</v>
      </c>
    </row>
    <row r="241" spans="15:16" x14ac:dyDescent="0.3">
      <c r="O241" s="2">
        <v>0.2</v>
      </c>
      <c r="P241" s="4">
        <v>70</v>
      </c>
    </row>
    <row r="242" spans="15:16" x14ac:dyDescent="0.3">
      <c r="O242" s="2">
        <v>0.2</v>
      </c>
      <c r="P242" s="4">
        <v>174</v>
      </c>
    </row>
    <row r="243" spans="15:16" x14ac:dyDescent="0.3">
      <c r="O243" s="2">
        <v>0.2</v>
      </c>
      <c r="P243" s="4">
        <v>154</v>
      </c>
    </row>
    <row r="244" spans="15:16" x14ac:dyDescent="0.3">
      <c r="O244" s="2">
        <v>0.16</v>
      </c>
      <c r="P244" s="4">
        <v>92</v>
      </c>
    </row>
    <row r="245" spans="15:16" x14ac:dyDescent="0.3">
      <c r="O245" s="2">
        <v>0.16</v>
      </c>
      <c r="P245" s="4">
        <v>73</v>
      </c>
    </row>
    <row r="246" spans="15:16" x14ac:dyDescent="0.3">
      <c r="O246" s="2">
        <v>0.14000000000000001</v>
      </c>
      <c r="P246" s="4">
        <v>37</v>
      </c>
    </row>
    <row r="247" spans="15:16" x14ac:dyDescent="0.3">
      <c r="O247" s="2">
        <v>0.14000000000000001</v>
      </c>
      <c r="P247" s="4">
        <v>22</v>
      </c>
    </row>
    <row r="248" spans="15:16" x14ac:dyDescent="0.3">
      <c r="O248" s="2">
        <v>0.14000000000000001</v>
      </c>
      <c r="P248" s="4">
        <v>18</v>
      </c>
    </row>
    <row r="249" spans="15:16" x14ac:dyDescent="0.3">
      <c r="O249" s="2">
        <v>0.14000000000000001</v>
      </c>
      <c r="P249" s="4">
        <v>10</v>
      </c>
    </row>
    <row r="250" spans="15:16" x14ac:dyDescent="0.3">
      <c r="O250" s="2">
        <v>0.14000000000000001</v>
      </c>
      <c r="P250" s="4">
        <v>3</v>
      </c>
    </row>
    <row r="251" spans="15:16" x14ac:dyDescent="0.3">
      <c r="O251" s="2">
        <v>0.16</v>
      </c>
      <c r="P251" s="4">
        <v>3</v>
      </c>
    </row>
    <row r="252" spans="15:16" x14ac:dyDescent="0.3">
      <c r="O252" s="2">
        <v>0.16</v>
      </c>
      <c r="P252" s="4">
        <v>6</v>
      </c>
    </row>
    <row r="253" spans="15:16" x14ac:dyDescent="0.3">
      <c r="O253" s="2">
        <v>0.16</v>
      </c>
      <c r="P253" s="4">
        <v>27</v>
      </c>
    </row>
    <row r="254" spans="15:16" x14ac:dyDescent="0.3">
      <c r="O254" s="2">
        <v>0.16</v>
      </c>
      <c r="P254" s="4">
        <v>97</v>
      </c>
    </row>
    <row r="255" spans="15:16" x14ac:dyDescent="0.3">
      <c r="O255" s="2">
        <v>0.18</v>
      </c>
      <c r="P255" s="4">
        <v>214</v>
      </c>
    </row>
    <row r="256" spans="15:16" x14ac:dyDescent="0.3">
      <c r="O256" s="2">
        <v>0.18</v>
      </c>
      <c r="P256" s="4">
        <v>127</v>
      </c>
    </row>
    <row r="257" spans="15:16" x14ac:dyDescent="0.3">
      <c r="O257" s="2">
        <v>0.2</v>
      </c>
      <c r="P257" s="4">
        <v>51</v>
      </c>
    </row>
    <row r="258" spans="15:16" x14ac:dyDescent="0.3">
      <c r="O258" s="2">
        <v>0.2</v>
      </c>
      <c r="P258" s="4">
        <v>31</v>
      </c>
    </row>
    <row r="259" spans="15:16" x14ac:dyDescent="0.3">
      <c r="O259" s="2">
        <v>0.2</v>
      </c>
      <c r="P259" s="4">
        <v>55</v>
      </c>
    </row>
    <row r="260" spans="15:16" x14ac:dyDescent="0.3">
      <c r="O260" s="2">
        <v>0.2</v>
      </c>
      <c r="P260" s="4">
        <v>46</v>
      </c>
    </row>
    <row r="261" spans="15:16" x14ac:dyDescent="0.3">
      <c r="O261" s="2">
        <v>0.2</v>
      </c>
      <c r="P261" s="4">
        <v>60</v>
      </c>
    </row>
    <row r="262" spans="15:16" x14ac:dyDescent="0.3">
      <c r="O262" s="2">
        <v>0.16</v>
      </c>
      <c r="P262" s="4">
        <v>45</v>
      </c>
    </row>
    <row r="263" spans="15:16" x14ac:dyDescent="0.3">
      <c r="O263" s="2">
        <v>0.16</v>
      </c>
      <c r="P263" s="4">
        <v>72</v>
      </c>
    </row>
    <row r="264" spans="15:16" x14ac:dyDescent="0.3">
      <c r="O264" s="2">
        <v>0.16</v>
      </c>
      <c r="P264" s="4">
        <v>130</v>
      </c>
    </row>
    <row r="265" spans="15:16" x14ac:dyDescent="0.3">
      <c r="O265" s="2">
        <v>0.16</v>
      </c>
      <c r="P265" s="4">
        <v>94</v>
      </c>
    </row>
    <row r="266" spans="15:16" x14ac:dyDescent="0.3">
      <c r="O266" s="2">
        <v>0.16</v>
      </c>
      <c r="P266" s="4">
        <v>51</v>
      </c>
    </row>
    <row r="267" spans="15:16" x14ac:dyDescent="0.3">
      <c r="O267" s="2">
        <v>0.16</v>
      </c>
      <c r="P267" s="4">
        <v>32</v>
      </c>
    </row>
    <row r="268" spans="15:16" x14ac:dyDescent="0.3">
      <c r="O268" s="2">
        <v>0.16</v>
      </c>
      <c r="P268" s="4">
        <v>20</v>
      </c>
    </row>
    <row r="269" spans="15:16" x14ac:dyDescent="0.3">
      <c r="O269" s="2">
        <v>0.16</v>
      </c>
      <c r="P269" s="4">
        <v>28</v>
      </c>
    </row>
    <row r="270" spans="15:16" x14ac:dyDescent="0.3">
      <c r="O270" s="2">
        <v>0.16</v>
      </c>
      <c r="P270" s="4">
        <v>18</v>
      </c>
    </row>
    <row r="271" spans="15:16" x14ac:dyDescent="0.3">
      <c r="O271" s="2">
        <v>0.16</v>
      </c>
      <c r="P271" s="4">
        <v>7</v>
      </c>
    </row>
    <row r="272" spans="15:16" x14ac:dyDescent="0.3">
      <c r="O272" s="2">
        <v>0.16</v>
      </c>
      <c r="P272" s="4">
        <v>6</v>
      </c>
    </row>
    <row r="273" spans="15:16" x14ac:dyDescent="0.3">
      <c r="O273" s="2">
        <v>0.14000000000000001</v>
      </c>
      <c r="P273" s="4">
        <v>1</v>
      </c>
    </row>
    <row r="274" spans="15:16" x14ac:dyDescent="0.3">
      <c r="O274" s="2">
        <v>0.14000000000000001</v>
      </c>
      <c r="P274" s="4">
        <v>5</v>
      </c>
    </row>
    <row r="275" spans="15:16" x14ac:dyDescent="0.3">
      <c r="O275" s="2">
        <v>0.12</v>
      </c>
      <c r="P275" s="4">
        <v>16</v>
      </c>
    </row>
    <row r="276" spans="15:16" x14ac:dyDescent="0.3">
      <c r="O276" s="2">
        <v>0.14000000000000001</v>
      </c>
      <c r="P276" s="4">
        <v>54</v>
      </c>
    </row>
    <row r="277" spans="15:16" x14ac:dyDescent="0.3">
      <c r="O277" s="2">
        <v>0.16</v>
      </c>
      <c r="P277" s="4">
        <v>125</v>
      </c>
    </row>
    <row r="278" spans="15:16" x14ac:dyDescent="0.3">
      <c r="O278" s="2">
        <v>0.16</v>
      </c>
      <c r="P278" s="4">
        <v>78</v>
      </c>
    </row>
    <row r="279" spans="15:16" x14ac:dyDescent="0.3">
      <c r="O279" s="2">
        <v>0.18</v>
      </c>
      <c r="P279" s="4">
        <v>39</v>
      </c>
    </row>
    <row r="280" spans="15:16" x14ac:dyDescent="0.3">
      <c r="O280" s="2">
        <v>0.2</v>
      </c>
      <c r="P280" s="4">
        <v>32</v>
      </c>
    </row>
    <row r="281" spans="15:16" x14ac:dyDescent="0.3">
      <c r="O281" s="2">
        <v>0.2</v>
      </c>
      <c r="P281" s="4">
        <v>52</v>
      </c>
    </row>
    <row r="282" spans="15:16" x14ac:dyDescent="0.3">
      <c r="O282" s="2">
        <v>0.22</v>
      </c>
      <c r="P282" s="4">
        <v>49</v>
      </c>
    </row>
    <row r="283" spans="15:16" x14ac:dyDescent="0.3">
      <c r="O283" s="2">
        <v>0.2</v>
      </c>
      <c r="P283" s="4">
        <v>44</v>
      </c>
    </row>
    <row r="284" spans="15:16" x14ac:dyDescent="0.3">
      <c r="O284" s="2">
        <v>0.2</v>
      </c>
      <c r="P284" s="4">
        <v>48</v>
      </c>
    </row>
    <row r="285" spans="15:16" x14ac:dyDescent="0.3">
      <c r="O285" s="2">
        <v>0.22</v>
      </c>
      <c r="P285" s="4">
        <v>63</v>
      </c>
    </row>
    <row r="286" spans="15:16" x14ac:dyDescent="0.3">
      <c r="O286" s="2">
        <v>0.2</v>
      </c>
      <c r="P286" s="4">
        <v>139</v>
      </c>
    </row>
    <row r="287" spans="15:16" x14ac:dyDescent="0.3">
      <c r="O287" s="2">
        <v>0.2</v>
      </c>
      <c r="P287" s="4">
        <v>135</v>
      </c>
    </row>
    <row r="288" spans="15:16" x14ac:dyDescent="0.3">
      <c r="O288" s="2">
        <v>0.18</v>
      </c>
      <c r="P288" s="4">
        <v>82</v>
      </c>
    </row>
    <row r="289" spans="15:16" x14ac:dyDescent="0.3">
      <c r="O289" s="2">
        <v>0.16</v>
      </c>
      <c r="P289" s="4">
        <v>54</v>
      </c>
    </row>
    <row r="290" spans="15:16" x14ac:dyDescent="0.3">
      <c r="O290" s="2">
        <v>0.16</v>
      </c>
      <c r="P290" s="4">
        <v>57</v>
      </c>
    </row>
    <row r="291" spans="15:16" x14ac:dyDescent="0.3">
      <c r="O291" s="2">
        <v>0.16</v>
      </c>
      <c r="P291" s="4">
        <v>32</v>
      </c>
    </row>
    <row r="292" spans="15:16" x14ac:dyDescent="0.3">
      <c r="O292" s="2">
        <v>0.14000000000000001</v>
      </c>
      <c r="P292" s="4">
        <v>19</v>
      </c>
    </row>
    <row r="293" spans="15:16" x14ac:dyDescent="0.3">
      <c r="O293" s="2">
        <v>0.14000000000000001</v>
      </c>
      <c r="P293" s="4">
        <v>6</v>
      </c>
    </row>
    <row r="294" spans="15:16" x14ac:dyDescent="0.3">
      <c r="O294" s="2">
        <v>0.14000000000000001</v>
      </c>
      <c r="P294" s="4">
        <v>2</v>
      </c>
    </row>
    <row r="295" spans="15:16" x14ac:dyDescent="0.3">
      <c r="O295" s="2">
        <v>0.14000000000000001</v>
      </c>
      <c r="P295" s="4">
        <v>2</v>
      </c>
    </row>
    <row r="296" spans="15:16" x14ac:dyDescent="0.3">
      <c r="O296" s="2">
        <v>0.14000000000000001</v>
      </c>
      <c r="P296" s="4">
        <v>3</v>
      </c>
    </row>
    <row r="297" spans="15:16" x14ac:dyDescent="0.3">
      <c r="O297" s="2">
        <v>0.14000000000000001</v>
      </c>
      <c r="P297" s="4">
        <v>4</v>
      </c>
    </row>
    <row r="298" spans="15:16" x14ac:dyDescent="0.3">
      <c r="O298" s="2">
        <v>0.14000000000000001</v>
      </c>
      <c r="P298" s="4">
        <v>3</v>
      </c>
    </row>
    <row r="299" spans="15:16" x14ac:dyDescent="0.3">
      <c r="O299" s="2">
        <v>0.12</v>
      </c>
      <c r="P299" s="4">
        <v>28</v>
      </c>
    </row>
    <row r="300" spans="15:16" x14ac:dyDescent="0.3">
      <c r="O300" s="2">
        <v>0.12</v>
      </c>
      <c r="P300" s="4">
        <v>72</v>
      </c>
    </row>
    <row r="301" spans="15:16" x14ac:dyDescent="0.3">
      <c r="O301" s="2">
        <v>0.14000000000000001</v>
      </c>
      <c r="P301" s="4">
        <v>197</v>
      </c>
    </row>
    <row r="302" spans="15:16" x14ac:dyDescent="0.3">
      <c r="O302" s="2">
        <v>0.14000000000000001</v>
      </c>
      <c r="P302" s="4">
        <v>137</v>
      </c>
    </row>
    <row r="303" spans="15:16" x14ac:dyDescent="0.3">
      <c r="O303" s="2">
        <v>0.16</v>
      </c>
      <c r="P303" s="4">
        <v>36</v>
      </c>
    </row>
    <row r="304" spans="15:16" x14ac:dyDescent="0.3">
      <c r="O304" s="2">
        <v>0.2</v>
      </c>
      <c r="P304" s="4">
        <v>33</v>
      </c>
    </row>
    <row r="305" spans="15:16" x14ac:dyDescent="0.3">
      <c r="O305" s="2">
        <v>0.2</v>
      </c>
      <c r="P305" s="4">
        <v>49</v>
      </c>
    </row>
    <row r="306" spans="15:16" x14ac:dyDescent="0.3">
      <c r="O306" s="2">
        <v>0.22</v>
      </c>
      <c r="P306" s="4">
        <v>81</v>
      </c>
    </row>
    <row r="307" spans="15:16" x14ac:dyDescent="0.3">
      <c r="O307" s="2">
        <v>0.22</v>
      </c>
      <c r="P307" s="4">
        <v>39</v>
      </c>
    </row>
    <row r="308" spans="15:16" x14ac:dyDescent="0.3">
      <c r="O308" s="2">
        <v>0.24</v>
      </c>
      <c r="P308" s="4">
        <v>55</v>
      </c>
    </row>
    <row r="309" spans="15:16" x14ac:dyDescent="0.3">
      <c r="O309" s="2">
        <v>0.24</v>
      </c>
      <c r="P309" s="4">
        <v>76</v>
      </c>
    </row>
    <row r="310" spans="15:16" x14ac:dyDescent="0.3">
      <c r="O310" s="2">
        <v>0.2</v>
      </c>
      <c r="P310" s="4">
        <v>158</v>
      </c>
    </row>
    <row r="311" spans="15:16" x14ac:dyDescent="0.3">
      <c r="O311" s="2">
        <v>0.2</v>
      </c>
      <c r="P311" s="4">
        <v>141</v>
      </c>
    </row>
    <row r="312" spans="15:16" x14ac:dyDescent="0.3">
      <c r="O312" s="2">
        <v>0.16</v>
      </c>
      <c r="P312" s="4">
        <v>98</v>
      </c>
    </row>
    <row r="313" spans="15:16" x14ac:dyDescent="0.3">
      <c r="O313" s="2">
        <v>0.16</v>
      </c>
      <c r="P313" s="4">
        <v>64</v>
      </c>
    </row>
    <row r="314" spans="15:16" x14ac:dyDescent="0.3">
      <c r="O314" s="2">
        <v>0.14000000000000001</v>
      </c>
      <c r="P314" s="4">
        <v>40</v>
      </c>
    </row>
    <row r="315" spans="15:16" x14ac:dyDescent="0.3">
      <c r="O315" s="2">
        <v>0.14000000000000001</v>
      </c>
      <c r="P315" s="4">
        <v>30</v>
      </c>
    </row>
    <row r="316" spans="15:16" x14ac:dyDescent="0.3">
      <c r="O316" s="2">
        <v>0.12</v>
      </c>
      <c r="P316" s="4">
        <v>14</v>
      </c>
    </row>
    <row r="317" spans="15:16" x14ac:dyDescent="0.3">
      <c r="O317" s="2">
        <v>0.12</v>
      </c>
      <c r="P317" s="4">
        <v>14</v>
      </c>
    </row>
    <row r="318" spans="15:16" x14ac:dyDescent="0.3">
      <c r="O318" s="2">
        <v>0.1</v>
      </c>
      <c r="P318" s="4">
        <v>5</v>
      </c>
    </row>
    <row r="319" spans="15:16" x14ac:dyDescent="0.3">
      <c r="O319" s="2">
        <v>0.1</v>
      </c>
      <c r="P319" s="4">
        <v>1</v>
      </c>
    </row>
    <row r="320" spans="15:16" x14ac:dyDescent="0.3">
      <c r="O320" s="2">
        <v>0.1</v>
      </c>
      <c r="P320" s="4">
        <v>1</v>
      </c>
    </row>
    <row r="321" spans="15:16" x14ac:dyDescent="0.3">
      <c r="O321" s="2">
        <v>0.1</v>
      </c>
      <c r="P321" s="4">
        <v>8</v>
      </c>
    </row>
    <row r="322" spans="15:16" x14ac:dyDescent="0.3">
      <c r="O322" s="2">
        <v>0.1</v>
      </c>
      <c r="P322" s="4">
        <v>17</v>
      </c>
    </row>
    <row r="323" spans="15:16" x14ac:dyDescent="0.3">
      <c r="O323" s="2">
        <v>0.1</v>
      </c>
      <c r="P323" s="4">
        <v>70</v>
      </c>
    </row>
    <row r="324" spans="15:16" x14ac:dyDescent="0.3">
      <c r="O324" s="2">
        <v>0.12</v>
      </c>
      <c r="P324" s="4">
        <v>156</v>
      </c>
    </row>
    <row r="325" spans="15:16" x14ac:dyDescent="0.3">
      <c r="O325" s="2">
        <v>0.14000000000000001</v>
      </c>
      <c r="P325" s="4">
        <v>117</v>
      </c>
    </row>
    <row r="326" spans="15:16" x14ac:dyDescent="0.3">
      <c r="O326" s="2">
        <v>0.18</v>
      </c>
      <c r="P326" s="4">
        <v>40</v>
      </c>
    </row>
    <row r="327" spans="15:16" x14ac:dyDescent="0.3">
      <c r="O327" s="2">
        <v>0.18</v>
      </c>
      <c r="P327" s="4">
        <v>47</v>
      </c>
    </row>
    <row r="328" spans="15:16" x14ac:dyDescent="0.3">
      <c r="O328" s="2">
        <v>0.2</v>
      </c>
      <c r="P328" s="4">
        <v>59</v>
      </c>
    </row>
    <row r="329" spans="15:16" x14ac:dyDescent="0.3">
      <c r="O329" s="2">
        <v>0.22</v>
      </c>
      <c r="P329" s="4">
        <v>73</v>
      </c>
    </row>
    <row r="330" spans="15:16" x14ac:dyDescent="0.3">
      <c r="O330" s="2">
        <v>0.22</v>
      </c>
      <c r="P330" s="4">
        <v>59</v>
      </c>
    </row>
    <row r="331" spans="15:16" x14ac:dyDescent="0.3">
      <c r="O331" s="2">
        <v>0.24</v>
      </c>
      <c r="P331" s="4">
        <v>59</v>
      </c>
    </row>
    <row r="332" spans="15:16" x14ac:dyDescent="0.3">
      <c r="O332" s="2">
        <v>0.22</v>
      </c>
      <c r="P332" s="4">
        <v>87</v>
      </c>
    </row>
    <row r="333" spans="15:16" x14ac:dyDescent="0.3">
      <c r="O333" s="2">
        <v>0.22</v>
      </c>
      <c r="P333" s="4">
        <v>155</v>
      </c>
    </row>
    <row r="334" spans="15:16" x14ac:dyDescent="0.3">
      <c r="O334" s="2">
        <v>0.2</v>
      </c>
      <c r="P334" s="4">
        <v>134</v>
      </c>
    </row>
    <row r="335" spans="15:16" x14ac:dyDescent="0.3">
      <c r="O335" s="2">
        <v>0.16</v>
      </c>
      <c r="P335" s="4">
        <v>89</v>
      </c>
    </row>
    <row r="336" spans="15:16" x14ac:dyDescent="0.3">
      <c r="O336" s="2">
        <v>0.18</v>
      </c>
      <c r="P336" s="4">
        <v>68</v>
      </c>
    </row>
    <row r="337" spans="15:16" x14ac:dyDescent="0.3">
      <c r="O337" s="2">
        <v>0.16</v>
      </c>
      <c r="P337" s="4">
        <v>48</v>
      </c>
    </row>
    <row r="338" spans="15:16" x14ac:dyDescent="0.3">
      <c r="O338" s="2">
        <v>0.16</v>
      </c>
      <c r="P338" s="4">
        <v>34</v>
      </c>
    </row>
    <row r="339" spans="15:16" x14ac:dyDescent="0.3">
      <c r="O339" s="2">
        <v>0.18</v>
      </c>
      <c r="P339" s="4">
        <v>26</v>
      </c>
    </row>
    <row r="340" spans="15:16" x14ac:dyDescent="0.3">
      <c r="O340" s="2">
        <v>0.18</v>
      </c>
      <c r="P340" s="4">
        <v>25</v>
      </c>
    </row>
    <row r="341" spans="15:16" x14ac:dyDescent="0.3">
      <c r="O341" s="2">
        <v>0.16</v>
      </c>
      <c r="P341" s="4">
        <v>18</v>
      </c>
    </row>
    <row r="342" spans="15:16" x14ac:dyDescent="0.3">
      <c r="O342" s="2">
        <v>0.16</v>
      </c>
      <c r="P342" s="4">
        <v>12</v>
      </c>
    </row>
    <row r="343" spans="15:16" x14ac:dyDescent="0.3">
      <c r="O343" s="2">
        <v>0.16</v>
      </c>
      <c r="P343" s="4">
        <v>7</v>
      </c>
    </row>
    <row r="344" spans="15:16" x14ac:dyDescent="0.3">
      <c r="O344" s="2">
        <v>0.16</v>
      </c>
      <c r="P344" s="4">
        <v>5</v>
      </c>
    </row>
    <row r="345" spans="15:16" x14ac:dyDescent="0.3">
      <c r="O345" s="2">
        <v>0.16</v>
      </c>
      <c r="P345" s="4">
        <v>1</v>
      </c>
    </row>
    <row r="346" spans="15:16" x14ac:dyDescent="0.3">
      <c r="O346" s="2">
        <v>0.14000000000000001</v>
      </c>
      <c r="P346" s="4">
        <v>2</v>
      </c>
    </row>
    <row r="347" spans="15:16" x14ac:dyDescent="0.3">
      <c r="O347" s="2">
        <v>0.14000000000000001</v>
      </c>
      <c r="P347" s="4">
        <v>9</v>
      </c>
    </row>
    <row r="348" spans="15:16" x14ac:dyDescent="0.3">
      <c r="O348" s="2">
        <v>0.14000000000000001</v>
      </c>
      <c r="P348" s="4">
        <v>22</v>
      </c>
    </row>
    <row r="349" spans="15:16" x14ac:dyDescent="0.3">
      <c r="O349" s="2">
        <v>0.16</v>
      </c>
      <c r="P349" s="4">
        <v>31</v>
      </c>
    </row>
    <row r="350" spans="15:16" x14ac:dyDescent="0.3">
      <c r="O350" s="2">
        <v>0.18</v>
      </c>
      <c r="P350" s="4">
        <v>57</v>
      </c>
    </row>
    <row r="351" spans="15:16" x14ac:dyDescent="0.3">
      <c r="O351" s="2">
        <v>0.2</v>
      </c>
      <c r="P351" s="4">
        <v>54</v>
      </c>
    </row>
    <row r="352" spans="15:16" x14ac:dyDescent="0.3">
      <c r="O352" s="2">
        <v>0.24</v>
      </c>
      <c r="P352" s="4">
        <v>74</v>
      </c>
    </row>
    <row r="353" spans="15:16" x14ac:dyDescent="0.3">
      <c r="O353" s="2">
        <v>0.28000000000000003</v>
      </c>
      <c r="P353" s="4">
        <v>80</v>
      </c>
    </row>
    <row r="354" spans="15:16" x14ac:dyDescent="0.3">
      <c r="O354" s="2">
        <v>0.3</v>
      </c>
      <c r="P354" s="4">
        <v>92</v>
      </c>
    </row>
    <row r="355" spans="15:16" x14ac:dyDescent="0.3">
      <c r="O355" s="2">
        <v>0.32</v>
      </c>
      <c r="P355" s="4">
        <v>108</v>
      </c>
    </row>
    <row r="356" spans="15:16" x14ac:dyDescent="0.3">
      <c r="O356" s="2">
        <v>0.34</v>
      </c>
      <c r="P356" s="4">
        <v>95</v>
      </c>
    </row>
    <row r="357" spans="15:16" x14ac:dyDescent="0.3">
      <c r="O357" s="2">
        <v>0.32</v>
      </c>
      <c r="P357" s="4">
        <v>54</v>
      </c>
    </row>
    <row r="358" spans="15:16" x14ac:dyDescent="0.3">
      <c r="O358" s="2">
        <v>0.3</v>
      </c>
      <c r="P358" s="4">
        <v>69</v>
      </c>
    </row>
    <row r="359" spans="15:16" x14ac:dyDescent="0.3">
      <c r="O359" s="2">
        <v>0.32</v>
      </c>
      <c r="P359" s="4">
        <v>60</v>
      </c>
    </row>
    <row r="360" spans="15:16" x14ac:dyDescent="0.3">
      <c r="O360" s="2">
        <v>0.32</v>
      </c>
      <c r="P360" s="4">
        <v>35</v>
      </c>
    </row>
    <row r="361" spans="15:16" x14ac:dyDescent="0.3">
      <c r="O361" s="2">
        <v>0.32</v>
      </c>
      <c r="P361" s="4">
        <v>51</v>
      </c>
    </row>
    <row r="362" spans="15:16" x14ac:dyDescent="0.3">
      <c r="O362" s="2">
        <v>0.3</v>
      </c>
      <c r="P362" s="4">
        <v>26</v>
      </c>
    </row>
    <row r="363" spans="15:16" x14ac:dyDescent="0.3">
      <c r="O363" s="2">
        <v>0.3</v>
      </c>
      <c r="P363" s="4">
        <v>39</v>
      </c>
    </row>
    <row r="364" spans="15:16" x14ac:dyDescent="0.3">
      <c r="O364" s="2">
        <v>0.26</v>
      </c>
      <c r="P364" s="4">
        <v>33</v>
      </c>
    </row>
    <row r="365" spans="15:16" x14ac:dyDescent="0.3">
      <c r="O365" s="2">
        <v>0.26</v>
      </c>
      <c r="P365" s="4">
        <v>19</v>
      </c>
    </row>
    <row r="366" spans="15:16" x14ac:dyDescent="0.3">
      <c r="O366" s="2">
        <v>0.26</v>
      </c>
      <c r="P366" s="4">
        <v>13</v>
      </c>
    </row>
    <row r="367" spans="15:16" x14ac:dyDescent="0.3">
      <c r="O367" s="2">
        <v>0.22</v>
      </c>
      <c r="P367" s="4">
        <v>6</v>
      </c>
    </row>
    <row r="368" spans="15:16" x14ac:dyDescent="0.3">
      <c r="O368" s="2">
        <v>0.26</v>
      </c>
      <c r="P368" s="4">
        <v>1</v>
      </c>
    </row>
    <row r="369" spans="15:16" x14ac:dyDescent="0.3">
      <c r="O369" s="2">
        <v>0.26</v>
      </c>
      <c r="P369" s="4">
        <v>1</v>
      </c>
    </row>
    <row r="370" spans="15:16" x14ac:dyDescent="0.3">
      <c r="O370" s="2">
        <v>0.26</v>
      </c>
      <c r="P370" s="4">
        <v>1</v>
      </c>
    </row>
    <row r="371" spans="15:16" x14ac:dyDescent="0.3">
      <c r="O371" s="2">
        <v>0.24</v>
      </c>
      <c r="P371" s="4">
        <v>3</v>
      </c>
    </row>
    <row r="372" spans="15:16" x14ac:dyDescent="0.3">
      <c r="O372" s="2">
        <v>0.22</v>
      </c>
      <c r="P372" s="4">
        <v>18</v>
      </c>
    </row>
    <row r="373" spans="15:16" x14ac:dyDescent="0.3">
      <c r="O373" s="2">
        <v>0.22</v>
      </c>
      <c r="P373" s="4">
        <v>29</v>
      </c>
    </row>
    <row r="374" spans="15:16" x14ac:dyDescent="0.3">
      <c r="O374" s="2">
        <v>0.22</v>
      </c>
      <c r="P374" s="4">
        <v>71</v>
      </c>
    </row>
    <row r="375" spans="15:16" x14ac:dyDescent="0.3">
      <c r="O375" s="2">
        <v>0.24</v>
      </c>
      <c r="P375" s="4">
        <v>70</v>
      </c>
    </row>
    <row r="376" spans="15:16" x14ac:dyDescent="0.3">
      <c r="O376" s="2">
        <v>0.24</v>
      </c>
      <c r="P376" s="4">
        <v>75</v>
      </c>
    </row>
    <row r="377" spans="15:16" x14ac:dyDescent="0.3">
      <c r="O377" s="2">
        <v>0.26</v>
      </c>
      <c r="P377" s="4">
        <v>95</v>
      </c>
    </row>
    <row r="378" spans="15:16" x14ac:dyDescent="0.3">
      <c r="O378" s="2">
        <v>0.28000000000000003</v>
      </c>
      <c r="P378" s="4">
        <v>69</v>
      </c>
    </row>
    <row r="379" spans="15:16" x14ac:dyDescent="0.3">
      <c r="O379" s="2">
        <v>0.26</v>
      </c>
      <c r="P379" s="4">
        <v>78</v>
      </c>
    </row>
    <row r="380" spans="15:16" x14ac:dyDescent="0.3">
      <c r="O380" s="2">
        <v>0.24</v>
      </c>
      <c r="P380" s="4">
        <v>77</v>
      </c>
    </row>
    <row r="381" spans="15:16" x14ac:dyDescent="0.3">
      <c r="O381" s="2">
        <v>0.22</v>
      </c>
      <c r="P381" s="4">
        <v>82</v>
      </c>
    </row>
    <row r="382" spans="15:16" x14ac:dyDescent="0.3">
      <c r="O382" s="2">
        <v>0.2</v>
      </c>
      <c r="P382" s="4">
        <v>56</v>
      </c>
    </row>
    <row r="383" spans="15:16" x14ac:dyDescent="0.3">
      <c r="O383" s="2">
        <v>0.18</v>
      </c>
      <c r="P383" s="4">
        <v>47</v>
      </c>
    </row>
    <row r="384" spans="15:16" x14ac:dyDescent="0.3">
      <c r="O384" s="2">
        <v>0.18</v>
      </c>
      <c r="P384" s="4">
        <v>50</v>
      </c>
    </row>
    <row r="385" spans="15:16" x14ac:dyDescent="0.3">
      <c r="O385" s="2">
        <v>0.18</v>
      </c>
      <c r="P385" s="4">
        <v>22</v>
      </c>
    </row>
    <row r="386" spans="15:16" x14ac:dyDescent="0.3">
      <c r="O386" s="2">
        <v>0.2</v>
      </c>
      <c r="P386" s="4">
        <v>19</v>
      </c>
    </row>
    <row r="387" spans="15:16" x14ac:dyDescent="0.3">
      <c r="O387" s="2">
        <v>0.2</v>
      </c>
      <c r="P387" s="4">
        <v>18</v>
      </c>
    </row>
    <row r="388" spans="15:16" x14ac:dyDescent="0.3">
      <c r="O388" s="2">
        <v>0.2</v>
      </c>
      <c r="P388" s="4">
        <v>16</v>
      </c>
    </row>
    <row r="389" spans="15:16" x14ac:dyDescent="0.3">
      <c r="O389" s="2">
        <v>0.2</v>
      </c>
      <c r="P389" s="4">
        <v>15</v>
      </c>
    </row>
    <row r="390" spans="15:16" x14ac:dyDescent="0.3">
      <c r="O390" s="2">
        <v>0.18</v>
      </c>
      <c r="P390" s="4">
        <v>8</v>
      </c>
    </row>
    <row r="391" spans="15:16" x14ac:dyDescent="0.3">
      <c r="O391" s="2">
        <v>0.18</v>
      </c>
      <c r="P391" s="4">
        <v>2</v>
      </c>
    </row>
    <row r="392" spans="15:16" x14ac:dyDescent="0.3">
      <c r="O392" s="2">
        <v>0.18</v>
      </c>
      <c r="P392" s="4">
        <v>2</v>
      </c>
    </row>
    <row r="393" spans="15:16" x14ac:dyDescent="0.3">
      <c r="O393" s="2">
        <v>0.18</v>
      </c>
      <c r="P393" s="4">
        <v>1</v>
      </c>
    </row>
    <row r="394" spans="15:16" x14ac:dyDescent="0.3">
      <c r="O394" s="2">
        <v>0.18</v>
      </c>
      <c r="P394" s="4">
        <v>5</v>
      </c>
    </row>
    <row r="395" spans="15:16" x14ac:dyDescent="0.3">
      <c r="O395" s="2">
        <v>0.16</v>
      </c>
      <c r="P395" s="4">
        <v>9</v>
      </c>
    </row>
    <row r="396" spans="15:16" x14ac:dyDescent="0.3">
      <c r="O396" s="2">
        <v>0.16</v>
      </c>
      <c r="P396" s="4">
        <v>30</v>
      </c>
    </row>
    <row r="397" spans="15:16" x14ac:dyDescent="0.3">
      <c r="O397" s="2">
        <v>0.16</v>
      </c>
      <c r="P397" s="4">
        <v>39</v>
      </c>
    </row>
    <row r="398" spans="15:16" x14ac:dyDescent="0.3">
      <c r="O398" s="2">
        <v>0.16</v>
      </c>
      <c r="P398" s="4">
        <v>50</v>
      </c>
    </row>
    <row r="399" spans="15:16" x14ac:dyDescent="0.3">
      <c r="O399" s="2">
        <v>0.16</v>
      </c>
      <c r="P399" s="4">
        <v>55</v>
      </c>
    </row>
    <row r="400" spans="15:16" x14ac:dyDescent="0.3">
      <c r="O400" s="2">
        <v>0.18</v>
      </c>
      <c r="P400" s="4">
        <v>70</v>
      </c>
    </row>
    <row r="401" spans="15:16" x14ac:dyDescent="0.3">
      <c r="O401" s="2">
        <v>0.18</v>
      </c>
      <c r="P401" s="4">
        <v>80</v>
      </c>
    </row>
    <row r="402" spans="15:16" x14ac:dyDescent="0.3">
      <c r="O402" s="2">
        <v>0.18</v>
      </c>
      <c r="P402" s="4">
        <v>74</v>
      </c>
    </row>
    <row r="403" spans="15:16" x14ac:dyDescent="0.3">
      <c r="O403" s="2">
        <v>0.2</v>
      </c>
      <c r="P403" s="4">
        <v>72</v>
      </c>
    </row>
    <row r="404" spans="15:16" x14ac:dyDescent="0.3">
      <c r="O404" s="2">
        <v>0.2</v>
      </c>
      <c r="P404" s="4">
        <v>76</v>
      </c>
    </row>
    <row r="405" spans="15:16" x14ac:dyDescent="0.3">
      <c r="O405" s="2">
        <v>0.2</v>
      </c>
      <c r="P405" s="4">
        <v>67</v>
      </c>
    </row>
    <row r="406" spans="15:16" x14ac:dyDescent="0.3">
      <c r="O406" s="2">
        <v>0.18</v>
      </c>
      <c r="P406" s="4">
        <v>85</v>
      </c>
    </row>
    <row r="407" spans="15:16" x14ac:dyDescent="0.3">
      <c r="O407" s="2">
        <v>0.18</v>
      </c>
      <c r="P407" s="4">
        <v>58</v>
      </c>
    </row>
    <row r="408" spans="15:16" x14ac:dyDescent="0.3">
      <c r="O408" s="2">
        <v>0.16</v>
      </c>
      <c r="P408" s="4">
        <v>29</v>
      </c>
    </row>
    <row r="409" spans="15:16" x14ac:dyDescent="0.3">
      <c r="O409" s="2">
        <v>0.16</v>
      </c>
      <c r="P409" s="4">
        <v>24</v>
      </c>
    </row>
    <row r="410" spans="15:16" x14ac:dyDescent="0.3">
      <c r="O410" s="2">
        <v>0.14000000000000001</v>
      </c>
      <c r="P410" s="4">
        <v>13</v>
      </c>
    </row>
    <row r="411" spans="15:16" x14ac:dyDescent="0.3">
      <c r="O411" s="2">
        <v>0.16</v>
      </c>
      <c r="P411" s="4">
        <v>3</v>
      </c>
    </row>
    <row r="412" spans="15:16" x14ac:dyDescent="0.3">
      <c r="O412" s="2">
        <v>0.2</v>
      </c>
      <c r="P412" s="4">
        <v>3</v>
      </c>
    </row>
    <row r="413" spans="15:16" x14ac:dyDescent="0.3">
      <c r="O413" s="2">
        <v>0.2</v>
      </c>
      <c r="P413" s="4">
        <v>22</v>
      </c>
    </row>
    <row r="414" spans="15:16" x14ac:dyDescent="0.3">
      <c r="O414" s="2">
        <v>0.22</v>
      </c>
      <c r="P414" s="4">
        <v>26</v>
      </c>
    </row>
    <row r="415" spans="15:16" x14ac:dyDescent="0.3">
      <c r="O415" s="2">
        <v>0.22</v>
      </c>
      <c r="P415" s="4">
        <v>32</v>
      </c>
    </row>
    <row r="416" spans="15:16" x14ac:dyDescent="0.3">
      <c r="O416" s="2">
        <v>0.22</v>
      </c>
      <c r="P416" s="4">
        <v>61</v>
      </c>
    </row>
    <row r="417" spans="15:16" x14ac:dyDescent="0.3">
      <c r="O417" s="2">
        <v>0.22</v>
      </c>
      <c r="P417" s="4">
        <v>124</v>
      </c>
    </row>
    <row r="418" spans="15:16" x14ac:dyDescent="0.3">
      <c r="O418" s="2">
        <v>0.22</v>
      </c>
      <c r="P418" s="4">
        <v>132</v>
      </c>
    </row>
    <row r="419" spans="15:16" x14ac:dyDescent="0.3">
      <c r="O419" s="2">
        <v>0.22</v>
      </c>
      <c r="P419" s="4">
        <v>98</v>
      </c>
    </row>
    <row r="420" spans="15:16" x14ac:dyDescent="0.3">
      <c r="O420" s="2">
        <v>0.22</v>
      </c>
      <c r="P420" s="4">
        <v>83</v>
      </c>
    </row>
    <row r="421" spans="15:16" x14ac:dyDescent="0.3">
      <c r="O421" s="2">
        <v>0.22</v>
      </c>
      <c r="P421" s="4">
        <v>41</v>
      </c>
    </row>
    <row r="422" spans="15:16" x14ac:dyDescent="0.3">
      <c r="O422" s="2">
        <v>0.22</v>
      </c>
      <c r="P422" s="4">
        <v>33</v>
      </c>
    </row>
    <row r="423" spans="15:16" x14ac:dyDescent="0.3">
      <c r="O423" s="2">
        <v>0.22</v>
      </c>
      <c r="P423" s="4">
        <v>19</v>
      </c>
    </row>
    <row r="424" spans="15:16" x14ac:dyDescent="0.3">
      <c r="O424" s="2">
        <v>0.22</v>
      </c>
      <c r="P424" s="4">
        <v>3</v>
      </c>
    </row>
    <row r="425" spans="15:16" x14ac:dyDescent="0.3">
      <c r="O425" s="2">
        <v>0.22</v>
      </c>
      <c r="P425" s="4">
        <v>6</v>
      </c>
    </row>
    <row r="426" spans="15:16" x14ac:dyDescent="0.3">
      <c r="O426" s="2">
        <v>0.22</v>
      </c>
      <c r="P426" s="4">
        <v>3</v>
      </c>
    </row>
    <row r="427" spans="15:16" x14ac:dyDescent="0.3">
      <c r="O427" s="2">
        <v>0.22</v>
      </c>
      <c r="P427" s="4">
        <v>1</v>
      </c>
    </row>
    <row r="428" spans="15:16" x14ac:dyDescent="0.3">
      <c r="O428" s="2">
        <v>0.22</v>
      </c>
      <c r="P428" s="4">
        <v>7</v>
      </c>
    </row>
    <row r="429" spans="15:16" x14ac:dyDescent="0.3">
      <c r="O429" s="2">
        <v>0.22</v>
      </c>
      <c r="P429" s="4">
        <v>32</v>
      </c>
    </row>
    <row r="430" spans="15:16" x14ac:dyDescent="0.3">
      <c r="O430" s="2">
        <v>0.24</v>
      </c>
      <c r="P430" s="4">
        <v>89</v>
      </c>
    </row>
    <row r="431" spans="15:16" x14ac:dyDescent="0.3">
      <c r="O431" s="2">
        <v>0.24</v>
      </c>
      <c r="P431" s="4">
        <v>196</v>
      </c>
    </row>
    <row r="432" spans="15:16" x14ac:dyDescent="0.3">
      <c r="O432" s="2">
        <v>0.24</v>
      </c>
      <c r="P432" s="4">
        <v>107</v>
      </c>
    </row>
    <row r="433" spans="15:16" x14ac:dyDescent="0.3">
      <c r="O433" s="2">
        <v>0.26</v>
      </c>
      <c r="P433" s="4">
        <v>46</v>
      </c>
    </row>
    <row r="434" spans="15:16" x14ac:dyDescent="0.3">
      <c r="O434" s="2">
        <v>0.28000000000000003</v>
      </c>
      <c r="P434" s="4">
        <v>47</v>
      </c>
    </row>
    <row r="435" spans="15:16" x14ac:dyDescent="0.3">
      <c r="O435" s="2">
        <v>0.3</v>
      </c>
      <c r="P435" s="4">
        <v>65</v>
      </c>
    </row>
    <row r="436" spans="15:16" x14ac:dyDescent="0.3">
      <c r="O436" s="2">
        <v>0.4</v>
      </c>
      <c r="P436" s="4">
        <v>67</v>
      </c>
    </row>
    <row r="437" spans="15:16" x14ac:dyDescent="0.3">
      <c r="O437" s="2">
        <v>0.4</v>
      </c>
      <c r="P437" s="4">
        <v>68</v>
      </c>
    </row>
    <row r="438" spans="15:16" x14ac:dyDescent="0.3">
      <c r="O438" s="2">
        <v>0.4</v>
      </c>
      <c r="P438" s="4">
        <v>78</v>
      </c>
    </row>
    <row r="439" spans="15:16" x14ac:dyDescent="0.3">
      <c r="O439" s="2">
        <v>0.38</v>
      </c>
      <c r="P439" s="4">
        <v>94</v>
      </c>
    </row>
    <row r="440" spans="15:16" x14ac:dyDescent="0.3">
      <c r="O440" s="2">
        <v>0.36</v>
      </c>
      <c r="P440" s="4">
        <v>190</v>
      </c>
    </row>
    <row r="441" spans="15:16" x14ac:dyDescent="0.3">
      <c r="O441" s="2">
        <v>0.34</v>
      </c>
      <c r="P441" s="4">
        <v>156</v>
      </c>
    </row>
    <row r="442" spans="15:16" x14ac:dyDescent="0.3">
      <c r="O442" s="2">
        <v>0.32</v>
      </c>
      <c r="P442" s="4">
        <v>108</v>
      </c>
    </row>
    <row r="443" spans="15:16" x14ac:dyDescent="0.3">
      <c r="O443" s="2">
        <v>0.32</v>
      </c>
      <c r="P443" s="4">
        <v>74</v>
      </c>
    </row>
    <row r="444" spans="15:16" x14ac:dyDescent="0.3">
      <c r="O444" s="2">
        <v>0.32</v>
      </c>
      <c r="P444" s="4">
        <v>55</v>
      </c>
    </row>
    <row r="445" spans="15:16" x14ac:dyDescent="0.3">
      <c r="O445" s="2">
        <v>0.3</v>
      </c>
      <c r="P445" s="4">
        <v>53</v>
      </c>
    </row>
    <row r="446" spans="15:16" x14ac:dyDescent="0.3">
      <c r="O446" s="2">
        <v>0.3</v>
      </c>
      <c r="P446" s="4">
        <v>27</v>
      </c>
    </row>
    <row r="447" spans="15:16" x14ac:dyDescent="0.3">
      <c r="O447" s="2">
        <v>0.26</v>
      </c>
      <c r="P447" s="4">
        <v>8</v>
      </c>
    </row>
    <row r="448" spans="15:16" x14ac:dyDescent="0.3">
      <c r="O448" s="2">
        <v>0.26</v>
      </c>
      <c r="P448" s="4">
        <v>3</v>
      </c>
    </row>
    <row r="449" spans="15:16" x14ac:dyDescent="0.3">
      <c r="O449" s="2">
        <v>0.26</v>
      </c>
      <c r="P449" s="4">
        <v>2</v>
      </c>
    </row>
    <row r="450" spans="15:16" x14ac:dyDescent="0.3">
      <c r="O450" s="2">
        <v>0.26</v>
      </c>
      <c r="P450" s="4">
        <v>1</v>
      </c>
    </row>
    <row r="451" spans="15:16" x14ac:dyDescent="0.3">
      <c r="O451" s="2">
        <v>0.26</v>
      </c>
      <c r="P451" s="4">
        <v>1</v>
      </c>
    </row>
    <row r="452" spans="15:16" x14ac:dyDescent="0.3">
      <c r="O452" s="2">
        <v>0.24</v>
      </c>
      <c r="P452" s="4">
        <v>6</v>
      </c>
    </row>
    <row r="453" spans="15:16" x14ac:dyDescent="0.3">
      <c r="O453" s="2">
        <v>0.22</v>
      </c>
      <c r="P453" s="4">
        <v>35</v>
      </c>
    </row>
    <row r="454" spans="15:16" x14ac:dyDescent="0.3">
      <c r="O454" s="2">
        <v>0.22</v>
      </c>
      <c r="P454" s="4">
        <v>100</v>
      </c>
    </row>
    <row r="455" spans="15:16" x14ac:dyDescent="0.3">
      <c r="O455" s="2">
        <v>0.22</v>
      </c>
      <c r="P455" s="4">
        <v>247</v>
      </c>
    </row>
    <row r="456" spans="15:16" x14ac:dyDescent="0.3">
      <c r="O456" s="2">
        <v>0.24</v>
      </c>
      <c r="P456" s="4">
        <v>140</v>
      </c>
    </row>
    <row r="457" spans="15:16" x14ac:dyDescent="0.3">
      <c r="O457" s="2">
        <v>0.26</v>
      </c>
      <c r="P457" s="4">
        <v>56</v>
      </c>
    </row>
    <row r="458" spans="15:16" x14ac:dyDescent="0.3">
      <c r="O458" s="2">
        <v>0.28000000000000003</v>
      </c>
      <c r="P458" s="4">
        <v>63</v>
      </c>
    </row>
    <row r="459" spans="15:16" x14ac:dyDescent="0.3">
      <c r="O459" s="2">
        <v>0.3</v>
      </c>
      <c r="P459" s="4">
        <v>77</v>
      </c>
    </row>
    <row r="460" spans="15:16" x14ac:dyDescent="0.3">
      <c r="O460" s="2">
        <v>0.28000000000000003</v>
      </c>
      <c r="P460" s="4">
        <v>86</v>
      </c>
    </row>
    <row r="461" spans="15:16" x14ac:dyDescent="0.3">
      <c r="O461" s="2">
        <v>0.3</v>
      </c>
      <c r="P461" s="4">
        <v>75</v>
      </c>
    </row>
    <row r="462" spans="15:16" x14ac:dyDescent="0.3">
      <c r="O462" s="2">
        <v>0.32</v>
      </c>
      <c r="P462" s="4">
        <v>62</v>
      </c>
    </row>
    <row r="463" spans="15:16" x14ac:dyDescent="0.3">
      <c r="O463" s="2">
        <v>0.3</v>
      </c>
      <c r="P463" s="4">
        <v>83</v>
      </c>
    </row>
    <row r="464" spans="15:16" x14ac:dyDescent="0.3">
      <c r="O464" s="2">
        <v>0.3</v>
      </c>
      <c r="P464" s="4">
        <v>207</v>
      </c>
    </row>
    <row r="465" spans="15:16" x14ac:dyDescent="0.3">
      <c r="O465" s="2">
        <v>0.26</v>
      </c>
      <c r="P465" s="4">
        <v>184</v>
      </c>
    </row>
    <row r="466" spans="15:16" x14ac:dyDescent="0.3">
      <c r="O466" s="2">
        <v>0.26</v>
      </c>
      <c r="P466" s="4">
        <v>146</v>
      </c>
    </row>
    <row r="467" spans="15:16" x14ac:dyDescent="0.3">
      <c r="O467" s="2">
        <v>0.26</v>
      </c>
      <c r="P467" s="4">
        <v>124</v>
      </c>
    </row>
    <row r="468" spans="15:16" x14ac:dyDescent="0.3">
      <c r="O468" s="2">
        <v>0.24</v>
      </c>
      <c r="P468" s="4">
        <v>54</v>
      </c>
    </row>
    <row r="469" spans="15:16" x14ac:dyDescent="0.3">
      <c r="O469" s="2">
        <v>0.24</v>
      </c>
      <c r="P469" s="4">
        <v>56</v>
      </c>
    </row>
    <row r="470" spans="15:16" x14ac:dyDescent="0.3">
      <c r="O470" s="2">
        <v>0.24</v>
      </c>
      <c r="P470" s="4">
        <v>28</v>
      </c>
    </row>
    <row r="471" spans="15:16" x14ac:dyDescent="0.3">
      <c r="O471" s="2">
        <v>0.24</v>
      </c>
      <c r="P471" s="4">
        <v>20</v>
      </c>
    </row>
    <row r="472" spans="15:16" x14ac:dyDescent="0.3">
      <c r="O472" s="2">
        <v>0.24</v>
      </c>
      <c r="P472" s="4">
        <v>6</v>
      </c>
    </row>
    <row r="473" spans="15:16" x14ac:dyDescent="0.3">
      <c r="O473" s="2">
        <v>0.24</v>
      </c>
      <c r="P473" s="4">
        <v>2</v>
      </c>
    </row>
    <row r="474" spans="15:16" x14ac:dyDescent="0.3">
      <c r="O474" s="2">
        <v>0.22</v>
      </c>
      <c r="P474" s="4">
        <v>1</v>
      </c>
    </row>
    <row r="475" spans="15:16" x14ac:dyDescent="0.3">
      <c r="O475" s="2">
        <v>0.22</v>
      </c>
      <c r="P475" s="4">
        <v>1</v>
      </c>
    </row>
    <row r="476" spans="15:16" x14ac:dyDescent="0.3">
      <c r="O476" s="2">
        <v>0.24</v>
      </c>
      <c r="P476" s="4">
        <v>4</v>
      </c>
    </row>
    <row r="477" spans="15:16" x14ac:dyDescent="0.3">
      <c r="O477" s="2">
        <v>0.22</v>
      </c>
      <c r="P477" s="4">
        <v>27</v>
      </c>
    </row>
    <row r="478" spans="15:16" x14ac:dyDescent="0.3">
      <c r="O478" s="2">
        <v>0.2</v>
      </c>
      <c r="P478" s="4">
        <v>66</v>
      </c>
    </row>
    <row r="479" spans="15:16" x14ac:dyDescent="0.3">
      <c r="O479" s="2">
        <v>0.2</v>
      </c>
      <c r="P479" s="4">
        <v>210</v>
      </c>
    </row>
    <row r="480" spans="15:16" x14ac:dyDescent="0.3">
      <c r="O480" s="2">
        <v>0.2</v>
      </c>
      <c r="P480" s="4">
        <v>159</v>
      </c>
    </row>
    <row r="481" spans="15:16" x14ac:dyDescent="0.3">
      <c r="O481" s="2">
        <v>0.2</v>
      </c>
      <c r="P481" s="4">
        <v>57</v>
      </c>
    </row>
    <row r="482" spans="15:16" x14ac:dyDescent="0.3">
      <c r="O482" s="2">
        <v>0.22</v>
      </c>
      <c r="P482" s="4">
        <v>53</v>
      </c>
    </row>
    <row r="483" spans="15:16" x14ac:dyDescent="0.3">
      <c r="O483" s="2">
        <v>0.22</v>
      </c>
      <c r="P483" s="4">
        <v>67</v>
      </c>
    </row>
    <row r="484" spans="15:16" x14ac:dyDescent="0.3">
      <c r="O484" s="2">
        <v>0.2</v>
      </c>
      <c r="P484" s="4">
        <v>65</v>
      </c>
    </row>
    <row r="485" spans="15:16" x14ac:dyDescent="0.3">
      <c r="O485" s="2">
        <v>0.2</v>
      </c>
      <c r="P485" s="4">
        <v>56</v>
      </c>
    </row>
    <row r="486" spans="15:16" x14ac:dyDescent="0.3">
      <c r="O486" s="2">
        <v>0.16</v>
      </c>
      <c r="P486" s="4">
        <v>61</v>
      </c>
    </row>
    <row r="487" spans="15:16" x14ac:dyDescent="0.3">
      <c r="O487" s="2">
        <v>0.16</v>
      </c>
      <c r="P487" s="4">
        <v>97</v>
      </c>
    </row>
    <row r="488" spans="15:16" x14ac:dyDescent="0.3">
      <c r="O488" s="2">
        <v>0.14000000000000001</v>
      </c>
      <c r="P488" s="4">
        <v>151</v>
      </c>
    </row>
    <row r="489" spans="15:16" x14ac:dyDescent="0.3">
      <c r="O489" s="2">
        <v>0.12</v>
      </c>
      <c r="P489" s="4">
        <v>119</v>
      </c>
    </row>
    <row r="490" spans="15:16" x14ac:dyDescent="0.3">
      <c r="O490" s="2">
        <v>0.12</v>
      </c>
      <c r="P490" s="4">
        <v>93</v>
      </c>
    </row>
    <row r="491" spans="15:16" x14ac:dyDescent="0.3">
      <c r="O491" s="2">
        <v>0.1</v>
      </c>
      <c r="P491" s="4">
        <v>52</v>
      </c>
    </row>
    <row r="492" spans="15:16" x14ac:dyDescent="0.3">
      <c r="O492" s="2">
        <v>0.08</v>
      </c>
      <c r="P492" s="4">
        <v>41</v>
      </c>
    </row>
    <row r="493" spans="15:16" x14ac:dyDescent="0.3">
      <c r="O493" s="2">
        <v>0.06</v>
      </c>
      <c r="P493" s="4">
        <v>33</v>
      </c>
    </row>
    <row r="494" spans="15:16" x14ac:dyDescent="0.3">
      <c r="O494" s="2">
        <v>0.06</v>
      </c>
      <c r="P494" s="4">
        <v>27</v>
      </c>
    </row>
    <row r="495" spans="15:16" x14ac:dyDescent="0.3">
      <c r="O495" s="2">
        <v>0.04</v>
      </c>
      <c r="P495" s="4">
        <v>13</v>
      </c>
    </row>
    <row r="496" spans="15:16" x14ac:dyDescent="0.3">
      <c r="O496" s="2">
        <v>0.04</v>
      </c>
      <c r="P496" s="4">
        <v>9</v>
      </c>
    </row>
    <row r="497" spans="15:16" x14ac:dyDescent="0.3">
      <c r="O497" s="2">
        <v>0.04</v>
      </c>
      <c r="P497" s="4">
        <v>11</v>
      </c>
    </row>
    <row r="498" spans="15:16" x14ac:dyDescent="0.3">
      <c r="O498" s="2">
        <v>0.04</v>
      </c>
      <c r="P498" s="4">
        <v>6</v>
      </c>
    </row>
    <row r="499" spans="15:16" x14ac:dyDescent="0.3">
      <c r="O499" s="2">
        <v>0.02</v>
      </c>
      <c r="P499" s="4">
        <v>3</v>
      </c>
    </row>
    <row r="500" spans="15:16" x14ac:dyDescent="0.3">
      <c r="O500" s="2">
        <v>0.02</v>
      </c>
      <c r="P500" s="4">
        <v>2</v>
      </c>
    </row>
    <row r="501" spans="15:16" x14ac:dyDescent="0.3">
      <c r="O501" s="2">
        <v>0.02</v>
      </c>
      <c r="P501" s="4">
        <v>8</v>
      </c>
    </row>
    <row r="502" spans="15:16" x14ac:dyDescent="0.3">
      <c r="O502" s="2">
        <v>0.02</v>
      </c>
      <c r="P502" s="4">
        <v>26</v>
      </c>
    </row>
    <row r="503" spans="15:16" x14ac:dyDescent="0.3">
      <c r="O503" s="2">
        <v>0.04</v>
      </c>
      <c r="P503" s="4">
        <v>37</v>
      </c>
    </row>
    <row r="504" spans="15:16" x14ac:dyDescent="0.3">
      <c r="O504" s="2">
        <v>0.04</v>
      </c>
      <c r="P504" s="4">
        <v>50</v>
      </c>
    </row>
    <row r="505" spans="15:16" x14ac:dyDescent="0.3">
      <c r="O505" s="2">
        <v>0.06</v>
      </c>
      <c r="P505" s="4">
        <v>59</v>
      </c>
    </row>
    <row r="506" spans="15:16" x14ac:dyDescent="0.3">
      <c r="O506" s="2">
        <v>0.06</v>
      </c>
      <c r="P506" s="4">
        <v>60</v>
      </c>
    </row>
    <row r="507" spans="15:16" x14ac:dyDescent="0.3">
      <c r="O507" s="2">
        <v>0.08</v>
      </c>
      <c r="P507" s="4">
        <v>72</v>
      </c>
    </row>
    <row r="508" spans="15:16" x14ac:dyDescent="0.3">
      <c r="O508" s="2">
        <v>0.1</v>
      </c>
      <c r="P508" s="4">
        <v>64</v>
      </c>
    </row>
    <row r="509" spans="15:16" x14ac:dyDescent="0.3">
      <c r="O509" s="2">
        <v>0.12</v>
      </c>
      <c r="P509" s="4">
        <v>93</v>
      </c>
    </row>
    <row r="510" spans="15:16" x14ac:dyDescent="0.3">
      <c r="O510" s="2">
        <v>0.12</v>
      </c>
      <c r="P510" s="4">
        <v>72</v>
      </c>
    </row>
    <row r="511" spans="15:16" x14ac:dyDescent="0.3">
      <c r="O511" s="2">
        <v>0.12</v>
      </c>
      <c r="P511" s="4">
        <v>59</v>
      </c>
    </row>
    <row r="512" spans="15:16" x14ac:dyDescent="0.3">
      <c r="O512" s="2">
        <v>0.08</v>
      </c>
      <c r="P512" s="4">
        <v>54</v>
      </c>
    </row>
    <row r="513" spans="15:16" x14ac:dyDescent="0.3">
      <c r="O513" s="2">
        <v>0.08</v>
      </c>
      <c r="P513" s="4">
        <v>53</v>
      </c>
    </row>
    <row r="514" spans="15:16" x14ac:dyDescent="0.3">
      <c r="O514" s="2">
        <v>0.06</v>
      </c>
      <c r="P514" s="4">
        <v>44</v>
      </c>
    </row>
    <row r="515" spans="15:16" x14ac:dyDescent="0.3">
      <c r="O515" s="2">
        <v>0.06</v>
      </c>
      <c r="P515" s="4">
        <v>39</v>
      </c>
    </row>
    <row r="516" spans="15:16" x14ac:dyDescent="0.3">
      <c r="O516" s="2">
        <v>0.06</v>
      </c>
      <c r="P516" s="4">
        <v>23</v>
      </c>
    </row>
    <row r="517" spans="15:16" x14ac:dyDescent="0.3">
      <c r="O517" s="2">
        <v>0.04</v>
      </c>
      <c r="P517" s="4">
        <v>31</v>
      </c>
    </row>
    <row r="518" spans="15:16" x14ac:dyDescent="0.3">
      <c r="O518" s="2">
        <v>0.04</v>
      </c>
      <c r="P518" s="4">
        <v>20</v>
      </c>
    </row>
    <row r="519" spans="15:16" x14ac:dyDescent="0.3">
      <c r="O519" s="2">
        <v>0.04</v>
      </c>
      <c r="P519" s="4">
        <v>12</v>
      </c>
    </row>
    <row r="520" spans="15:16" x14ac:dyDescent="0.3">
      <c r="O520" s="2">
        <v>0.02</v>
      </c>
      <c r="P520" s="4">
        <v>15</v>
      </c>
    </row>
    <row r="521" spans="15:16" x14ac:dyDescent="0.3">
      <c r="O521" s="2">
        <v>0.02</v>
      </c>
      <c r="P521" s="4">
        <v>4</v>
      </c>
    </row>
    <row r="522" spans="15:16" x14ac:dyDescent="0.3">
      <c r="O522" s="2">
        <v>0.04</v>
      </c>
      <c r="P522" s="4">
        <v>3</v>
      </c>
    </row>
    <row r="523" spans="15:16" x14ac:dyDescent="0.3">
      <c r="O523" s="2">
        <v>0.04</v>
      </c>
      <c r="P523" s="4">
        <v>1</v>
      </c>
    </row>
    <row r="524" spans="15:16" x14ac:dyDescent="0.3">
      <c r="O524" s="2">
        <v>0.08</v>
      </c>
      <c r="P524" s="4">
        <v>1</v>
      </c>
    </row>
    <row r="525" spans="15:16" x14ac:dyDescent="0.3">
      <c r="O525" s="2">
        <v>0.06</v>
      </c>
      <c r="P525" s="4">
        <v>17</v>
      </c>
    </row>
    <row r="526" spans="15:16" x14ac:dyDescent="0.3">
      <c r="O526" s="2">
        <v>0.1</v>
      </c>
      <c r="P526" s="4">
        <v>25</v>
      </c>
    </row>
    <row r="527" spans="15:16" x14ac:dyDescent="0.3">
      <c r="O527" s="2">
        <v>0.14000000000000001</v>
      </c>
      <c r="P527" s="4">
        <v>51</v>
      </c>
    </row>
    <row r="528" spans="15:16" x14ac:dyDescent="0.3">
      <c r="O528" s="2">
        <v>0.14000000000000001</v>
      </c>
      <c r="P528" s="4">
        <v>77</v>
      </c>
    </row>
    <row r="529" spans="15:16" x14ac:dyDescent="0.3">
      <c r="O529" s="2">
        <v>0.16</v>
      </c>
      <c r="P529" s="4">
        <v>92</v>
      </c>
    </row>
    <row r="530" spans="15:16" x14ac:dyDescent="0.3">
      <c r="O530" s="2">
        <v>0.14000000000000001</v>
      </c>
      <c r="P530" s="4">
        <v>75</v>
      </c>
    </row>
    <row r="531" spans="15:16" x14ac:dyDescent="0.3">
      <c r="O531" s="2">
        <v>0.16</v>
      </c>
      <c r="P531" s="4">
        <v>93</v>
      </c>
    </row>
    <row r="532" spans="15:16" x14ac:dyDescent="0.3">
      <c r="O532" s="2">
        <v>0.16</v>
      </c>
      <c r="P532" s="4">
        <v>64</v>
      </c>
    </row>
    <row r="533" spans="15:16" x14ac:dyDescent="0.3">
      <c r="O533" s="2">
        <v>0.16</v>
      </c>
      <c r="P533" s="4">
        <v>56</v>
      </c>
    </row>
    <row r="534" spans="15:16" x14ac:dyDescent="0.3">
      <c r="O534" s="2">
        <v>0.14000000000000001</v>
      </c>
      <c r="P534" s="4">
        <v>50</v>
      </c>
    </row>
    <row r="535" spans="15:16" x14ac:dyDescent="0.3">
      <c r="O535" s="2">
        <v>0.12</v>
      </c>
      <c r="P535" s="4">
        <v>44</v>
      </c>
    </row>
    <row r="536" spans="15:16" x14ac:dyDescent="0.3">
      <c r="O536" s="2">
        <v>0.12</v>
      </c>
      <c r="P536" s="4">
        <v>45</v>
      </c>
    </row>
    <row r="537" spans="15:16" x14ac:dyDescent="0.3">
      <c r="O537" s="2">
        <v>0.1</v>
      </c>
      <c r="P537" s="4">
        <v>31</v>
      </c>
    </row>
    <row r="538" spans="15:16" x14ac:dyDescent="0.3">
      <c r="O538" s="2">
        <v>0.1</v>
      </c>
      <c r="P538" s="4">
        <v>20</v>
      </c>
    </row>
    <row r="539" spans="15:16" x14ac:dyDescent="0.3">
      <c r="O539" s="2">
        <v>0.08</v>
      </c>
      <c r="P539" s="4">
        <v>23</v>
      </c>
    </row>
    <row r="540" spans="15:16" x14ac:dyDescent="0.3">
      <c r="O540" s="2">
        <v>0.06</v>
      </c>
      <c r="P540" s="4">
        <v>17</v>
      </c>
    </row>
    <row r="541" spans="15:16" x14ac:dyDescent="0.3">
      <c r="O541" s="2">
        <v>0.06</v>
      </c>
      <c r="P541" s="4">
        <v>7</v>
      </c>
    </row>
    <row r="542" spans="15:16" x14ac:dyDescent="0.3">
      <c r="O542" s="2">
        <v>0.04</v>
      </c>
      <c r="P542" s="4">
        <v>1</v>
      </c>
    </row>
    <row r="543" spans="15:16" x14ac:dyDescent="0.3">
      <c r="O543" s="2">
        <v>0.04</v>
      </c>
      <c r="P543" s="4">
        <v>1</v>
      </c>
    </row>
    <row r="544" spans="15:16" x14ac:dyDescent="0.3">
      <c r="O544" s="2">
        <v>0.02</v>
      </c>
      <c r="P544" s="4">
        <v>1</v>
      </c>
    </row>
    <row r="545" spans="15:16" x14ac:dyDescent="0.3">
      <c r="O545" s="2">
        <v>0.02</v>
      </c>
      <c r="P545" s="4">
        <v>5</v>
      </c>
    </row>
    <row r="546" spans="15:16" x14ac:dyDescent="0.3">
      <c r="O546" s="2">
        <v>0.02</v>
      </c>
      <c r="P546" s="4">
        <v>15</v>
      </c>
    </row>
    <row r="547" spans="15:16" x14ac:dyDescent="0.3">
      <c r="O547" s="2">
        <v>0.02</v>
      </c>
      <c r="P547" s="4">
        <v>79</v>
      </c>
    </row>
    <row r="548" spans="15:16" x14ac:dyDescent="0.3">
      <c r="O548" s="2">
        <v>0.04</v>
      </c>
      <c r="P548" s="4">
        <v>171</v>
      </c>
    </row>
    <row r="549" spans="15:16" x14ac:dyDescent="0.3">
      <c r="O549" s="2">
        <v>0.06</v>
      </c>
      <c r="P549" s="4">
        <v>98</v>
      </c>
    </row>
    <row r="550" spans="15:16" x14ac:dyDescent="0.3">
      <c r="O550" s="2">
        <v>0.1</v>
      </c>
      <c r="P550" s="4">
        <v>34</v>
      </c>
    </row>
    <row r="551" spans="15:16" x14ac:dyDescent="0.3">
      <c r="O551" s="2">
        <v>0.1</v>
      </c>
      <c r="P551" s="4">
        <v>43</v>
      </c>
    </row>
    <row r="552" spans="15:16" x14ac:dyDescent="0.3">
      <c r="O552" s="2">
        <v>0.12</v>
      </c>
      <c r="P552" s="4">
        <v>52</v>
      </c>
    </row>
    <row r="553" spans="15:16" x14ac:dyDescent="0.3">
      <c r="O553" s="2">
        <v>0.14000000000000001</v>
      </c>
      <c r="P553" s="4">
        <v>54</v>
      </c>
    </row>
    <row r="554" spans="15:16" x14ac:dyDescent="0.3">
      <c r="O554" s="2">
        <v>0.14000000000000001</v>
      </c>
      <c r="P554" s="4">
        <v>43</v>
      </c>
    </row>
    <row r="555" spans="15:16" x14ac:dyDescent="0.3">
      <c r="O555" s="2">
        <v>0.16</v>
      </c>
      <c r="P555" s="4">
        <v>50</v>
      </c>
    </row>
    <row r="556" spans="15:16" x14ac:dyDescent="0.3">
      <c r="O556" s="2">
        <v>0.16</v>
      </c>
      <c r="P556" s="4">
        <v>66</v>
      </c>
    </row>
    <row r="557" spans="15:16" x14ac:dyDescent="0.3">
      <c r="O557" s="2">
        <v>0.14000000000000001</v>
      </c>
      <c r="P557" s="4">
        <v>178</v>
      </c>
    </row>
    <row r="558" spans="15:16" x14ac:dyDescent="0.3">
      <c r="O558" s="2">
        <v>0.14000000000000001</v>
      </c>
      <c r="P558" s="4">
        <v>145</v>
      </c>
    </row>
    <row r="559" spans="15:16" x14ac:dyDescent="0.3">
      <c r="O559" s="2">
        <v>0.14000000000000001</v>
      </c>
      <c r="P559" s="4">
        <v>101</v>
      </c>
    </row>
    <row r="560" spans="15:16" x14ac:dyDescent="0.3">
      <c r="O560" s="2">
        <v>0.14000000000000001</v>
      </c>
      <c r="P560" s="4">
        <v>80</v>
      </c>
    </row>
    <row r="561" spans="15:16" x14ac:dyDescent="0.3">
      <c r="O561" s="2">
        <v>0.14000000000000001</v>
      </c>
      <c r="P561" s="4">
        <v>53</v>
      </c>
    </row>
    <row r="562" spans="15:16" x14ac:dyDescent="0.3">
      <c r="O562" s="2">
        <v>0.14000000000000001</v>
      </c>
      <c r="P562" s="4">
        <v>32</v>
      </c>
    </row>
    <row r="563" spans="15:16" x14ac:dyDescent="0.3">
      <c r="O563" s="2">
        <v>0.16</v>
      </c>
      <c r="P563" s="4">
        <v>21</v>
      </c>
    </row>
    <row r="564" spans="15:16" x14ac:dyDescent="0.3">
      <c r="O564" s="2">
        <v>0.16</v>
      </c>
      <c r="P564" s="4">
        <v>6</v>
      </c>
    </row>
    <row r="565" spans="15:16" x14ac:dyDescent="0.3">
      <c r="O565" s="2">
        <v>0.16</v>
      </c>
      <c r="P565" s="4">
        <v>5</v>
      </c>
    </row>
    <row r="566" spans="15:16" x14ac:dyDescent="0.3">
      <c r="O566" s="2">
        <v>0.16</v>
      </c>
      <c r="P566" s="4">
        <v>2</v>
      </c>
    </row>
    <row r="567" spans="15:16" x14ac:dyDescent="0.3">
      <c r="O567" s="2">
        <v>0.14000000000000001</v>
      </c>
      <c r="P567" s="4">
        <v>1</v>
      </c>
    </row>
    <row r="568" spans="15:16" x14ac:dyDescent="0.3">
      <c r="O568" s="2">
        <v>0.14000000000000001</v>
      </c>
      <c r="P568" s="4">
        <v>9</v>
      </c>
    </row>
    <row r="569" spans="15:16" x14ac:dyDescent="0.3">
      <c r="O569" s="2">
        <v>0.16</v>
      </c>
      <c r="P569" s="4">
        <v>35</v>
      </c>
    </row>
    <row r="570" spans="15:16" x14ac:dyDescent="0.3">
      <c r="O570" s="2">
        <v>0.16</v>
      </c>
      <c r="P570" s="4">
        <v>103</v>
      </c>
    </row>
    <row r="571" spans="15:16" x14ac:dyDescent="0.3">
      <c r="O571" s="2">
        <v>0.16</v>
      </c>
      <c r="P571" s="4">
        <v>233</v>
      </c>
    </row>
    <row r="572" spans="15:16" x14ac:dyDescent="0.3">
      <c r="O572" s="2">
        <v>0.2</v>
      </c>
      <c r="P572" s="4">
        <v>134</v>
      </c>
    </row>
    <row r="573" spans="15:16" x14ac:dyDescent="0.3">
      <c r="O573" s="2">
        <v>0.22</v>
      </c>
      <c r="P573" s="4">
        <v>49</v>
      </c>
    </row>
    <row r="574" spans="15:16" x14ac:dyDescent="0.3">
      <c r="O574" s="2">
        <v>0.24</v>
      </c>
      <c r="P574" s="4">
        <v>55</v>
      </c>
    </row>
    <row r="575" spans="15:16" x14ac:dyDescent="0.3">
      <c r="O575" s="2">
        <v>0.26</v>
      </c>
      <c r="P575" s="4">
        <v>85</v>
      </c>
    </row>
    <row r="576" spans="15:16" x14ac:dyDescent="0.3">
      <c r="O576" s="2">
        <v>0.26</v>
      </c>
      <c r="P576" s="4">
        <v>72</v>
      </c>
    </row>
    <row r="577" spans="15:16" x14ac:dyDescent="0.3">
      <c r="O577" s="2">
        <v>0.3</v>
      </c>
      <c r="P577" s="4">
        <v>57</v>
      </c>
    </row>
    <row r="578" spans="15:16" x14ac:dyDescent="0.3">
      <c r="O578" s="2">
        <v>0.32</v>
      </c>
      <c r="P578" s="4">
        <v>63</v>
      </c>
    </row>
    <row r="579" spans="15:16" x14ac:dyDescent="0.3">
      <c r="O579" s="2">
        <v>0.32</v>
      </c>
      <c r="P579" s="4">
        <v>102</v>
      </c>
    </row>
    <row r="580" spans="15:16" x14ac:dyDescent="0.3">
      <c r="O580" s="2">
        <v>0.3</v>
      </c>
      <c r="P580" s="4">
        <v>208</v>
      </c>
    </row>
    <row r="581" spans="15:16" x14ac:dyDescent="0.3">
      <c r="O581" s="2">
        <v>0.3</v>
      </c>
      <c r="P581" s="4">
        <v>218</v>
      </c>
    </row>
    <row r="582" spans="15:16" x14ac:dyDescent="0.3">
      <c r="O582" s="2">
        <v>0.26</v>
      </c>
      <c r="P582" s="4">
        <v>133</v>
      </c>
    </row>
    <row r="583" spans="15:16" x14ac:dyDescent="0.3">
      <c r="O583" s="2">
        <v>0.24</v>
      </c>
      <c r="P583" s="4">
        <v>103</v>
      </c>
    </row>
    <row r="584" spans="15:16" x14ac:dyDescent="0.3">
      <c r="O584" s="2">
        <v>0.24</v>
      </c>
      <c r="P584" s="4">
        <v>40</v>
      </c>
    </row>
    <row r="585" spans="15:16" x14ac:dyDescent="0.3">
      <c r="O585" s="2">
        <v>0.22</v>
      </c>
      <c r="P585" s="4">
        <v>49</v>
      </c>
    </row>
    <row r="586" spans="15:16" x14ac:dyDescent="0.3">
      <c r="O586" s="2">
        <v>0.22</v>
      </c>
      <c r="P586" s="4">
        <v>37</v>
      </c>
    </row>
    <row r="587" spans="15:16" x14ac:dyDescent="0.3">
      <c r="O587" s="2">
        <v>0.22</v>
      </c>
      <c r="P587" s="4">
        <v>14</v>
      </c>
    </row>
    <row r="588" spans="15:16" x14ac:dyDescent="0.3">
      <c r="O588" s="2">
        <v>0.24</v>
      </c>
      <c r="P588" s="4">
        <v>5</v>
      </c>
    </row>
    <row r="589" spans="15:16" x14ac:dyDescent="0.3">
      <c r="O589" s="2">
        <v>0.22</v>
      </c>
      <c r="P589" s="4">
        <v>7</v>
      </c>
    </row>
    <row r="590" spans="15:16" x14ac:dyDescent="0.3">
      <c r="O590" s="2">
        <v>0.2</v>
      </c>
      <c r="P590" s="4">
        <v>1</v>
      </c>
    </row>
    <row r="591" spans="15:16" x14ac:dyDescent="0.3">
      <c r="O591" s="2">
        <v>0.2</v>
      </c>
      <c r="P591" s="4">
        <v>8</v>
      </c>
    </row>
    <row r="592" spans="15:16" x14ac:dyDescent="0.3">
      <c r="O592" s="2">
        <v>0.22</v>
      </c>
      <c r="P592" s="4">
        <v>29</v>
      </c>
    </row>
    <row r="593" spans="15:16" x14ac:dyDescent="0.3">
      <c r="O593" s="2">
        <v>0.22</v>
      </c>
      <c r="P593" s="4">
        <v>69</v>
      </c>
    </row>
    <row r="594" spans="15:16" x14ac:dyDescent="0.3">
      <c r="O594" s="2">
        <v>0.22</v>
      </c>
      <c r="P594" s="4">
        <v>55</v>
      </c>
    </row>
    <row r="595" spans="15:16" x14ac:dyDescent="0.3">
      <c r="O595" s="2">
        <v>0.22</v>
      </c>
      <c r="P595" s="4">
        <v>26</v>
      </c>
    </row>
    <row r="596" spans="15:16" x14ac:dyDescent="0.3">
      <c r="O596" s="2">
        <v>0.22</v>
      </c>
      <c r="P596" s="4">
        <v>35</v>
      </c>
    </row>
    <row r="597" spans="15:16" x14ac:dyDescent="0.3">
      <c r="O597" s="2">
        <v>0.22</v>
      </c>
      <c r="P597" s="4">
        <v>41</v>
      </c>
    </row>
    <row r="598" spans="15:16" x14ac:dyDescent="0.3">
      <c r="O598" s="2">
        <v>0.22</v>
      </c>
      <c r="P598" s="4">
        <v>43</v>
      </c>
    </row>
    <row r="599" spans="15:16" x14ac:dyDescent="0.3">
      <c r="O599" s="2">
        <v>0.22</v>
      </c>
      <c r="P599" s="4">
        <v>36</v>
      </c>
    </row>
    <row r="600" spans="15:16" x14ac:dyDescent="0.3">
      <c r="O600" s="2">
        <v>0.22</v>
      </c>
      <c r="P600" s="4">
        <v>42</v>
      </c>
    </row>
    <row r="601" spans="15:16" x14ac:dyDescent="0.3">
      <c r="O601" s="2">
        <v>0.22</v>
      </c>
      <c r="P601" s="4">
        <v>35</v>
      </c>
    </row>
    <row r="602" spans="15:16" x14ac:dyDescent="0.3">
      <c r="O602" s="2">
        <v>0.2</v>
      </c>
      <c r="P602" s="4">
        <v>26</v>
      </c>
    </row>
    <row r="603" spans="15:16" x14ac:dyDescent="0.3">
      <c r="O603" s="2">
        <v>0.22</v>
      </c>
      <c r="P603" s="4">
        <v>23</v>
      </c>
    </row>
    <row r="604" spans="15:16" x14ac:dyDescent="0.3">
      <c r="O604" s="2">
        <v>0.22</v>
      </c>
      <c r="P604" s="4">
        <v>82</v>
      </c>
    </row>
    <row r="605" spans="15:16" x14ac:dyDescent="0.3">
      <c r="O605" s="2">
        <v>0.2</v>
      </c>
      <c r="P605" s="4">
        <v>101</v>
      </c>
    </row>
    <row r="606" spans="15:16" x14ac:dyDescent="0.3">
      <c r="O606" s="2">
        <v>0.2</v>
      </c>
      <c r="P606" s="4">
        <v>76</v>
      </c>
    </row>
    <row r="607" spans="15:16" x14ac:dyDescent="0.3">
      <c r="O607" s="2">
        <v>0.18</v>
      </c>
      <c r="P607" s="4">
        <v>55</v>
      </c>
    </row>
    <row r="608" spans="15:16" x14ac:dyDescent="0.3">
      <c r="O608" s="2">
        <v>0.18</v>
      </c>
      <c r="P608" s="4">
        <v>36</v>
      </c>
    </row>
    <row r="609" spans="15:16" x14ac:dyDescent="0.3">
      <c r="O609" s="2">
        <v>0.18</v>
      </c>
      <c r="P609" s="4">
        <v>27</v>
      </c>
    </row>
    <row r="610" spans="15:16" x14ac:dyDescent="0.3">
      <c r="O610" s="2">
        <v>0.18</v>
      </c>
      <c r="P610" s="4">
        <v>16</v>
      </c>
    </row>
    <row r="611" spans="15:16" x14ac:dyDescent="0.3">
      <c r="O611" s="2">
        <v>0.2</v>
      </c>
      <c r="P611" s="4">
        <v>9</v>
      </c>
    </row>
    <row r="612" spans="15:16" x14ac:dyDescent="0.3">
      <c r="O612" s="2">
        <v>0.2</v>
      </c>
      <c r="P612" s="4">
        <v>2</v>
      </c>
    </row>
    <row r="613" spans="15:16" x14ac:dyDescent="0.3">
      <c r="O613" s="2">
        <v>0.2</v>
      </c>
      <c r="P613" s="4">
        <v>2</v>
      </c>
    </row>
    <row r="614" spans="15:16" x14ac:dyDescent="0.3">
      <c r="O614" s="2">
        <v>0.2</v>
      </c>
      <c r="P614" s="4">
        <v>0</v>
      </c>
    </row>
    <row r="615" spans="15:16" x14ac:dyDescent="0.3">
      <c r="O615" s="2">
        <v>0.18</v>
      </c>
      <c r="P615" s="4">
        <v>4</v>
      </c>
    </row>
    <row r="616" spans="15:16" x14ac:dyDescent="0.3">
      <c r="O616" s="2">
        <v>0.18</v>
      </c>
      <c r="P616" s="4">
        <v>16</v>
      </c>
    </row>
    <row r="617" spans="15:16" x14ac:dyDescent="0.3">
      <c r="O617" s="2">
        <v>0.16</v>
      </c>
      <c r="P617" s="4">
        <v>58</v>
      </c>
    </row>
    <row r="618" spans="15:16" x14ac:dyDescent="0.3">
      <c r="O618" s="2">
        <v>0.16</v>
      </c>
      <c r="P618" s="4">
        <v>155</v>
      </c>
    </row>
    <row r="619" spans="15:16" x14ac:dyDescent="0.3">
      <c r="O619" s="2">
        <v>0.18</v>
      </c>
      <c r="P619" s="4">
        <v>95</v>
      </c>
    </row>
    <row r="620" spans="15:16" x14ac:dyDescent="0.3">
      <c r="O620" s="2">
        <v>0.18</v>
      </c>
      <c r="P620" s="4">
        <v>49</v>
      </c>
    </row>
    <row r="621" spans="15:16" x14ac:dyDescent="0.3">
      <c r="O621" s="2">
        <v>0.18</v>
      </c>
      <c r="P621" s="4">
        <v>30</v>
      </c>
    </row>
    <row r="622" spans="15:16" x14ac:dyDescent="0.3">
      <c r="O622" s="2">
        <v>0.18</v>
      </c>
      <c r="P622" s="4">
        <v>28</v>
      </c>
    </row>
    <row r="623" spans="15:16" x14ac:dyDescent="0.3">
      <c r="O623" s="2">
        <v>0.18</v>
      </c>
      <c r="P623" s="4">
        <v>31</v>
      </c>
    </row>
    <row r="624" spans="15:16" x14ac:dyDescent="0.3">
      <c r="O624" s="2">
        <v>0.22</v>
      </c>
      <c r="P624" s="4">
        <v>36</v>
      </c>
    </row>
    <row r="625" spans="15:16" x14ac:dyDescent="0.3">
      <c r="O625" s="2">
        <v>0.2</v>
      </c>
      <c r="P625" s="4">
        <v>40</v>
      </c>
    </row>
    <row r="626" spans="15:16" x14ac:dyDescent="0.3">
      <c r="O626" s="2">
        <v>0.22</v>
      </c>
      <c r="P626" s="2">
        <v>70</v>
      </c>
    </row>
    <row r="627" spans="15:16" x14ac:dyDescent="0.3">
      <c r="O627" s="2">
        <v>0.24</v>
      </c>
      <c r="P627" s="2">
        <v>147</v>
      </c>
    </row>
    <row r="628" spans="15:16" x14ac:dyDescent="0.3">
      <c r="O628" s="2">
        <v>0.24</v>
      </c>
      <c r="P628" s="2">
        <v>107</v>
      </c>
    </row>
    <row r="629" spans="15:16" x14ac:dyDescent="0.3">
      <c r="O629" s="2">
        <v>0.24</v>
      </c>
      <c r="P629" s="2">
        <v>84</v>
      </c>
    </row>
    <row r="630" spans="15:16" x14ac:dyDescent="0.3">
      <c r="O630" s="2">
        <v>0.24</v>
      </c>
      <c r="P630" s="2">
        <v>61</v>
      </c>
    </row>
    <row r="631" spans="15:16" x14ac:dyDescent="0.3">
      <c r="O631" s="2">
        <v>0.22</v>
      </c>
      <c r="P631" s="2">
        <v>57</v>
      </c>
    </row>
    <row r="632" spans="15:16" x14ac:dyDescent="0.3">
      <c r="O632" s="2">
        <v>0.24</v>
      </c>
      <c r="P632" s="2">
        <v>26</v>
      </c>
    </row>
    <row r="633" spans="15:16" x14ac:dyDescent="0.3">
      <c r="O633" s="2">
        <v>0.24</v>
      </c>
      <c r="P633" s="2">
        <v>22</v>
      </c>
    </row>
    <row r="634" spans="15:16" x14ac:dyDescent="0.3">
      <c r="O634" s="2">
        <v>0.22</v>
      </c>
      <c r="P634" s="2">
        <v>26</v>
      </c>
    </row>
    <row r="635" spans="15:16" x14ac:dyDescent="0.3">
      <c r="O635" s="2">
        <v>0.22</v>
      </c>
      <c r="P635" s="2">
        <v>20</v>
      </c>
    </row>
    <row r="636" spans="15:16" x14ac:dyDescent="0.3">
      <c r="O636" s="2">
        <v>0.22</v>
      </c>
      <c r="P636" s="2">
        <v>15</v>
      </c>
    </row>
    <row r="637" spans="15:16" x14ac:dyDescent="0.3">
      <c r="O637" s="2">
        <v>0.2</v>
      </c>
      <c r="P637" s="2">
        <v>5</v>
      </c>
    </row>
    <row r="638" spans="15:16" x14ac:dyDescent="0.3">
      <c r="O638" s="2">
        <v>0.16</v>
      </c>
      <c r="P638" s="2">
        <v>2</v>
      </c>
    </row>
    <row r="639" spans="15:16" x14ac:dyDescent="0.3">
      <c r="O639" s="2">
        <v>0.16</v>
      </c>
      <c r="P639" s="2">
        <v>2</v>
      </c>
    </row>
    <row r="640" spans="15:16" x14ac:dyDescent="0.3">
      <c r="O640" s="2">
        <v>0.16</v>
      </c>
      <c r="P640" s="2">
        <v>4</v>
      </c>
    </row>
    <row r="641" spans="15:16" x14ac:dyDescent="0.3">
      <c r="O641" s="2">
        <v>0.18</v>
      </c>
      <c r="P641" s="2">
        <v>31</v>
      </c>
    </row>
    <row r="642" spans="15:16" x14ac:dyDescent="0.3">
      <c r="O642" s="2">
        <v>0.18</v>
      </c>
      <c r="P642" s="2">
        <v>34</v>
      </c>
    </row>
    <row r="643" spans="15:16" x14ac:dyDescent="0.3">
      <c r="O643" s="2">
        <v>0.18</v>
      </c>
      <c r="P643" s="2">
        <v>51</v>
      </c>
    </row>
    <row r="644" spans="15:16" x14ac:dyDescent="0.3">
      <c r="O644" s="2">
        <v>0.18</v>
      </c>
      <c r="P644" s="2">
        <v>60</v>
      </c>
    </row>
    <row r="645" spans="15:16" x14ac:dyDescent="0.3">
      <c r="O645" s="2">
        <v>0.2</v>
      </c>
      <c r="P645" s="2">
        <v>66</v>
      </c>
    </row>
    <row r="646" spans="15:16" x14ac:dyDescent="0.3">
      <c r="O646" s="2">
        <v>0.22</v>
      </c>
      <c r="P646" s="2">
        <v>56</v>
      </c>
    </row>
    <row r="647" spans="15:16" x14ac:dyDescent="0.3">
      <c r="O647" s="2">
        <v>0.22</v>
      </c>
      <c r="P647" s="2">
        <v>89</v>
      </c>
    </row>
    <row r="648" spans="15:16" x14ac:dyDescent="0.3">
      <c r="O648" s="2">
        <v>0.22</v>
      </c>
      <c r="P648" s="2">
        <v>98</v>
      </c>
    </row>
    <row r="649" spans="15:16" x14ac:dyDescent="0.3">
      <c r="O649" s="2">
        <v>0.24</v>
      </c>
      <c r="P649" s="2">
        <v>88</v>
      </c>
    </row>
    <row r="650" spans="15:16" x14ac:dyDescent="0.3">
      <c r="O650" s="2">
        <v>0.24</v>
      </c>
      <c r="P650" s="2">
        <v>82</v>
      </c>
    </row>
    <row r="651" spans="15:16" x14ac:dyDescent="0.3">
      <c r="O651" s="2">
        <v>0.22</v>
      </c>
      <c r="P651" s="2">
        <v>59</v>
      </c>
    </row>
    <row r="652" spans="15:16" x14ac:dyDescent="0.3">
      <c r="O652" s="2">
        <v>0.22</v>
      </c>
      <c r="P652" s="2">
        <v>52</v>
      </c>
    </row>
    <row r="653" spans="15:16" x14ac:dyDescent="0.3">
      <c r="O653" s="2">
        <v>0.18</v>
      </c>
      <c r="P653" s="2">
        <v>42</v>
      </c>
    </row>
    <row r="654" spans="15:16" x14ac:dyDescent="0.3">
      <c r="O654" s="2">
        <v>0.18</v>
      </c>
      <c r="P654" s="2">
        <v>35</v>
      </c>
    </row>
    <row r="655" spans="15:16" x14ac:dyDescent="0.3">
      <c r="O655" s="2">
        <v>0.16</v>
      </c>
      <c r="P655" s="2">
        <v>28</v>
      </c>
    </row>
    <row r="656" spans="15:16" x14ac:dyDescent="0.3">
      <c r="O656" s="2">
        <v>0.16</v>
      </c>
      <c r="P656" s="2">
        <v>30</v>
      </c>
    </row>
    <row r="657" spans="15:16" x14ac:dyDescent="0.3">
      <c r="O657" s="2">
        <v>0.16</v>
      </c>
      <c r="P657" s="2">
        <v>33</v>
      </c>
    </row>
    <row r="658" spans="15:16" x14ac:dyDescent="0.3">
      <c r="O658" s="2">
        <v>0.14000000000000001</v>
      </c>
      <c r="P658" s="2">
        <v>22</v>
      </c>
    </row>
    <row r="659" spans="15:16" x14ac:dyDescent="0.3">
      <c r="O659" s="2">
        <v>0.16</v>
      </c>
      <c r="P659" s="2">
        <v>10</v>
      </c>
    </row>
    <row r="660" spans="15:16" x14ac:dyDescent="0.3">
      <c r="O660" s="2">
        <v>0.14000000000000001</v>
      </c>
      <c r="P660" s="2">
        <v>7</v>
      </c>
    </row>
    <row r="661" spans="15:16" x14ac:dyDescent="0.3">
      <c r="O661" s="2">
        <v>0.14000000000000001</v>
      </c>
      <c r="P661" s="2">
        <v>1</v>
      </c>
    </row>
    <row r="662" spans="15:16" x14ac:dyDescent="0.3">
      <c r="O662" s="2">
        <v>0.14000000000000001</v>
      </c>
      <c r="P662" s="2">
        <v>3</v>
      </c>
    </row>
    <row r="663" spans="15:16" x14ac:dyDescent="0.3">
      <c r="O663" s="2">
        <v>0.14000000000000001</v>
      </c>
      <c r="P663" s="2">
        <v>3</v>
      </c>
    </row>
    <row r="664" spans="15:16" x14ac:dyDescent="0.3">
      <c r="O664" s="2">
        <v>0.14000000000000001</v>
      </c>
      <c r="P664" s="2">
        <v>11</v>
      </c>
    </row>
    <row r="665" spans="15:16" x14ac:dyDescent="0.3">
      <c r="O665" s="2">
        <v>0.16</v>
      </c>
      <c r="P665" s="2">
        <v>34</v>
      </c>
    </row>
    <row r="666" spans="15:16" x14ac:dyDescent="0.3">
      <c r="O666" s="2">
        <v>0.18</v>
      </c>
      <c r="P666" s="2">
        <v>57</v>
      </c>
    </row>
    <row r="667" spans="15:16" x14ac:dyDescent="0.3">
      <c r="O667" s="2">
        <v>0.22</v>
      </c>
      <c r="P667" s="2">
        <v>50</v>
      </c>
    </row>
    <row r="668" spans="15:16" x14ac:dyDescent="0.3">
      <c r="O668" s="2">
        <v>0.3</v>
      </c>
      <c r="P668" s="2">
        <v>87</v>
      </c>
    </row>
    <row r="669" spans="15:16" x14ac:dyDescent="0.3">
      <c r="O669" s="2">
        <v>0.28000000000000003</v>
      </c>
      <c r="P669" s="2">
        <v>71</v>
      </c>
    </row>
    <row r="670" spans="15:16" x14ac:dyDescent="0.3">
      <c r="O670" s="2">
        <v>0.28000000000000003</v>
      </c>
      <c r="P670" s="2">
        <v>104</v>
      </c>
    </row>
    <row r="671" spans="15:16" x14ac:dyDescent="0.3">
      <c r="O671" s="2">
        <v>0.3</v>
      </c>
      <c r="P671" s="2">
        <v>95</v>
      </c>
    </row>
    <row r="672" spans="15:16" x14ac:dyDescent="0.3">
      <c r="O672" s="2">
        <v>0.3</v>
      </c>
      <c r="P672" s="2">
        <v>104</v>
      </c>
    </row>
    <row r="673" spans="15:16" x14ac:dyDescent="0.3">
      <c r="O673" s="2">
        <v>0.3</v>
      </c>
      <c r="P673" s="2">
        <v>71</v>
      </c>
    </row>
    <row r="674" spans="15:16" x14ac:dyDescent="0.3">
      <c r="O674" s="2">
        <v>0.26</v>
      </c>
      <c r="P674" s="2">
        <v>57</v>
      </c>
    </row>
    <row r="675" spans="15:16" x14ac:dyDescent="0.3">
      <c r="O675" s="2">
        <v>0.26</v>
      </c>
      <c r="P675" s="2">
        <v>46</v>
      </c>
    </row>
    <row r="676" spans="15:16" x14ac:dyDescent="0.3">
      <c r="O676" s="2">
        <v>0.26</v>
      </c>
      <c r="P676" s="2">
        <v>30</v>
      </c>
    </row>
    <row r="677" spans="15:16" x14ac:dyDescent="0.3">
      <c r="O677" s="2">
        <v>0.24</v>
      </c>
      <c r="P677" s="2">
        <v>25</v>
      </c>
    </row>
    <row r="678" spans="15:16" x14ac:dyDescent="0.3">
      <c r="O678" s="2">
        <v>0.24</v>
      </c>
      <c r="P678" s="2">
        <v>19</v>
      </c>
    </row>
    <row r="679" spans="15:16" x14ac:dyDescent="0.3">
      <c r="O679" s="2">
        <v>0.24</v>
      </c>
      <c r="P679" s="2">
        <v>16</v>
      </c>
    </row>
    <row r="680" spans="15:16" x14ac:dyDescent="0.3">
      <c r="O680" s="2">
        <v>0.24</v>
      </c>
      <c r="P680" s="2">
        <v>6</v>
      </c>
    </row>
    <row r="681" spans="15:16" x14ac:dyDescent="0.3">
      <c r="O681" s="2">
        <v>0.22</v>
      </c>
      <c r="P681" s="2">
        <v>5</v>
      </c>
    </row>
    <row r="682" spans="15:16" x14ac:dyDescent="0.3">
      <c r="O682" s="2">
        <v>0.22</v>
      </c>
      <c r="P682" s="2">
        <v>1</v>
      </c>
    </row>
    <row r="683" spans="15:16" x14ac:dyDescent="0.3">
      <c r="O683" s="2">
        <v>0.22</v>
      </c>
      <c r="P683" s="2">
        <v>2</v>
      </c>
    </row>
    <row r="684" spans="15:16" x14ac:dyDescent="0.3">
      <c r="O684" s="2">
        <v>0.2</v>
      </c>
      <c r="P684" s="2">
        <v>2</v>
      </c>
    </row>
    <row r="685" spans="15:16" x14ac:dyDescent="0.3">
      <c r="O685" s="2">
        <v>0.18</v>
      </c>
      <c r="P685" s="2">
        <v>8</v>
      </c>
    </row>
    <row r="686" spans="15:16" x14ac:dyDescent="0.3">
      <c r="O686" s="2">
        <v>0.16</v>
      </c>
      <c r="P686" s="2">
        <v>37</v>
      </c>
    </row>
    <row r="687" spans="15:16" x14ac:dyDescent="0.3">
      <c r="O687" s="2">
        <v>0.16</v>
      </c>
      <c r="P687" s="2">
        <v>71</v>
      </c>
    </row>
    <row r="688" spans="15:16" x14ac:dyDescent="0.3">
      <c r="O688" s="2">
        <v>0.16</v>
      </c>
      <c r="P688" s="2">
        <v>182</v>
      </c>
    </row>
    <row r="689" spans="15:16" x14ac:dyDescent="0.3">
      <c r="O689" s="2">
        <v>0.16</v>
      </c>
      <c r="P689" s="2">
        <v>112</v>
      </c>
    </row>
    <row r="690" spans="15:16" x14ac:dyDescent="0.3">
      <c r="O690" s="2">
        <v>0.16</v>
      </c>
      <c r="P690" s="2">
        <v>68</v>
      </c>
    </row>
    <row r="691" spans="15:16" x14ac:dyDescent="0.3">
      <c r="O691" s="2">
        <v>0.16</v>
      </c>
      <c r="P691" s="2">
        <v>46</v>
      </c>
    </row>
    <row r="692" spans="15:16" x14ac:dyDescent="0.3">
      <c r="O692" s="2">
        <v>0.18</v>
      </c>
      <c r="P692" s="2">
        <v>62</v>
      </c>
    </row>
    <row r="693" spans="15:16" x14ac:dyDescent="0.3">
      <c r="O693" s="2">
        <v>0.16</v>
      </c>
      <c r="P693" s="2">
        <v>52</v>
      </c>
    </row>
    <row r="694" spans="15:16" x14ac:dyDescent="0.3">
      <c r="O694" s="2">
        <v>0.18</v>
      </c>
      <c r="P694" s="2">
        <v>85</v>
      </c>
    </row>
    <row r="695" spans="15:16" x14ac:dyDescent="0.3">
      <c r="O695" s="2">
        <v>0.16</v>
      </c>
      <c r="P695" s="2">
        <v>41</v>
      </c>
    </row>
    <row r="696" spans="15:16" x14ac:dyDescent="0.3">
      <c r="O696" s="2">
        <v>0.16</v>
      </c>
      <c r="P696" s="2">
        <v>83</v>
      </c>
    </row>
    <row r="697" spans="15:16" x14ac:dyDescent="0.3">
      <c r="O697" s="2">
        <v>0.16</v>
      </c>
      <c r="P697" s="2">
        <v>155</v>
      </c>
    </row>
    <row r="698" spans="15:16" x14ac:dyDescent="0.3">
      <c r="O698" s="2">
        <v>0.16</v>
      </c>
      <c r="P698" s="2">
        <v>153</v>
      </c>
    </row>
    <row r="699" spans="15:16" x14ac:dyDescent="0.3">
      <c r="O699" s="2">
        <v>0.3</v>
      </c>
      <c r="P699" s="2">
        <v>108</v>
      </c>
    </row>
    <row r="700" spans="15:16" x14ac:dyDescent="0.3">
      <c r="O700" s="2">
        <v>0.16</v>
      </c>
      <c r="P700" s="2">
        <v>78</v>
      </c>
    </row>
    <row r="701" spans="15:16" x14ac:dyDescent="0.3">
      <c r="O701" s="2">
        <v>0.16</v>
      </c>
      <c r="P701" s="2">
        <v>53</v>
      </c>
    </row>
    <row r="702" spans="15:16" x14ac:dyDescent="0.3">
      <c r="O702" s="2">
        <v>0.16</v>
      </c>
      <c r="P702" s="2">
        <v>34</v>
      </c>
    </row>
    <row r="703" spans="15:16" x14ac:dyDescent="0.3">
      <c r="O703" s="2">
        <v>0.16</v>
      </c>
      <c r="P703" s="2">
        <v>15</v>
      </c>
    </row>
    <row r="704" spans="15:16" x14ac:dyDescent="0.3">
      <c r="O704" s="2">
        <v>0.16</v>
      </c>
      <c r="P704" s="2">
        <v>6</v>
      </c>
    </row>
    <row r="705" spans="15:16" x14ac:dyDescent="0.3">
      <c r="O705" s="2">
        <v>0.16</v>
      </c>
      <c r="P705" s="2">
        <v>3</v>
      </c>
    </row>
    <row r="706" spans="15:16" x14ac:dyDescent="0.3">
      <c r="O706" s="2">
        <v>0.16</v>
      </c>
      <c r="P706" s="2">
        <v>2</v>
      </c>
    </row>
    <row r="707" spans="15:16" x14ac:dyDescent="0.3">
      <c r="O707" s="2">
        <v>0.16</v>
      </c>
      <c r="P707" s="2">
        <v>2</v>
      </c>
    </row>
    <row r="708" spans="15:16" x14ac:dyDescent="0.3">
      <c r="O708" s="2">
        <v>0.14000000000000001</v>
      </c>
      <c r="P708" s="2">
        <v>3</v>
      </c>
    </row>
    <row r="709" spans="15:16" x14ac:dyDescent="0.3">
      <c r="O709" s="2">
        <v>0.14000000000000001</v>
      </c>
      <c r="P709" s="2">
        <v>22</v>
      </c>
    </row>
    <row r="710" spans="15:16" x14ac:dyDescent="0.3">
      <c r="O710" s="2">
        <v>0.16</v>
      </c>
      <c r="P710" s="2">
        <v>52</v>
      </c>
    </row>
    <row r="711" spans="15:16" x14ac:dyDescent="0.3">
      <c r="O711" s="2">
        <v>0.16</v>
      </c>
      <c r="P711" s="2">
        <v>132</v>
      </c>
    </row>
    <row r="712" spans="15:16" x14ac:dyDescent="0.3">
      <c r="O712" s="2">
        <v>0.16</v>
      </c>
      <c r="P712" s="2">
        <v>114</v>
      </c>
    </row>
    <row r="713" spans="15:16" x14ac:dyDescent="0.3">
      <c r="O713" s="2">
        <v>0.16</v>
      </c>
      <c r="P713" s="2">
        <v>47</v>
      </c>
    </row>
    <row r="714" spans="15:16" x14ac:dyDescent="0.3">
      <c r="O714" s="2">
        <v>0.18</v>
      </c>
      <c r="P714" s="2">
        <v>49</v>
      </c>
    </row>
    <row r="715" spans="15:16" x14ac:dyDescent="0.3">
      <c r="O715" s="2">
        <v>0.2</v>
      </c>
      <c r="P715" s="2">
        <v>53</v>
      </c>
    </row>
    <row r="716" spans="15:16" x14ac:dyDescent="0.3">
      <c r="O716" s="2">
        <v>0.2</v>
      </c>
      <c r="P716" s="2">
        <v>49</v>
      </c>
    </row>
    <row r="717" spans="15:16" x14ac:dyDescent="0.3">
      <c r="O717" s="2">
        <v>0.22</v>
      </c>
      <c r="P717" s="2">
        <v>49</v>
      </c>
    </row>
    <row r="718" spans="15:16" x14ac:dyDescent="0.3">
      <c r="O718" s="2">
        <v>0.24</v>
      </c>
      <c r="P718" s="2">
        <v>45</v>
      </c>
    </row>
    <row r="719" spans="15:16" x14ac:dyDescent="0.3">
      <c r="O719" s="2">
        <v>0.24</v>
      </c>
      <c r="P719" s="2">
        <v>61</v>
      </c>
    </row>
    <row r="720" spans="15:16" x14ac:dyDescent="0.3">
      <c r="O720" s="2">
        <v>0.24</v>
      </c>
      <c r="P720" s="2">
        <v>172</v>
      </c>
    </row>
    <row r="721" spans="15:16" x14ac:dyDescent="0.3">
      <c r="O721" s="2">
        <v>0.24</v>
      </c>
      <c r="P721" s="2">
        <v>165</v>
      </c>
    </row>
    <row r="722" spans="15:16" x14ac:dyDescent="0.3">
      <c r="O722" s="2">
        <v>0.24</v>
      </c>
      <c r="P722" s="2">
        <v>105</v>
      </c>
    </row>
    <row r="723" spans="15:16" x14ac:dyDescent="0.3">
      <c r="O723" s="2">
        <v>0.22</v>
      </c>
      <c r="P723" s="2">
        <v>69</v>
      </c>
    </row>
    <row r="724" spans="15:16" x14ac:dyDescent="0.3">
      <c r="O724" s="2">
        <v>0.22</v>
      </c>
      <c r="P724" s="2">
        <v>64</v>
      </c>
    </row>
    <row r="725" spans="15:16" x14ac:dyDescent="0.3">
      <c r="O725" s="2">
        <v>0.22</v>
      </c>
      <c r="P725" s="2">
        <v>34</v>
      </c>
    </row>
    <row r="726" spans="15:16" x14ac:dyDescent="0.3">
      <c r="O726" s="2">
        <v>0.2</v>
      </c>
      <c r="P726" s="2">
        <v>15</v>
      </c>
    </row>
    <row r="727" spans="15:16" x14ac:dyDescent="0.3">
      <c r="O727" s="2">
        <v>0.22</v>
      </c>
      <c r="P727" s="2">
        <v>2</v>
      </c>
    </row>
    <row r="728" spans="15:16" x14ac:dyDescent="0.3">
      <c r="O728" s="2">
        <v>0.22</v>
      </c>
      <c r="P728" s="2">
        <v>3</v>
      </c>
    </row>
    <row r="729" spans="15:16" x14ac:dyDescent="0.3">
      <c r="O729" s="2">
        <v>0.22</v>
      </c>
      <c r="P729" s="2">
        <v>0</v>
      </c>
    </row>
    <row r="730" spans="15:16" x14ac:dyDescent="0.3">
      <c r="O730" s="2">
        <v>0.22</v>
      </c>
      <c r="P730" s="2">
        <v>1</v>
      </c>
    </row>
    <row r="731" spans="15:16" x14ac:dyDescent="0.3">
      <c r="O731" s="2">
        <v>0.22</v>
      </c>
      <c r="P731" s="2">
        <v>1</v>
      </c>
    </row>
    <row r="732" spans="15:16" x14ac:dyDescent="0.3">
      <c r="O732" s="2">
        <v>0.22</v>
      </c>
      <c r="P732" s="2">
        <v>3</v>
      </c>
    </row>
    <row r="733" spans="15:16" x14ac:dyDescent="0.3">
      <c r="O733" s="2">
        <v>0.22</v>
      </c>
      <c r="P733" s="2">
        <v>17</v>
      </c>
    </row>
    <row r="734" spans="15:16" x14ac:dyDescent="0.3">
      <c r="O734" s="2">
        <v>0.22</v>
      </c>
      <c r="P734" s="2">
        <v>48</v>
      </c>
    </row>
    <row r="735" spans="15:16" x14ac:dyDescent="0.3">
      <c r="O735" s="2">
        <v>0.22</v>
      </c>
      <c r="P735" s="2">
        <v>154</v>
      </c>
    </row>
    <row r="736" spans="15:16" x14ac:dyDescent="0.3">
      <c r="O736" s="2">
        <v>0.24</v>
      </c>
      <c r="P736" s="2">
        <v>119</v>
      </c>
    </row>
    <row r="737" spans="15:16" x14ac:dyDescent="0.3">
      <c r="O737" s="2">
        <v>0.22</v>
      </c>
      <c r="P737" s="2">
        <v>59</v>
      </c>
    </row>
    <row r="738" spans="15:16" x14ac:dyDescent="0.3">
      <c r="O738" s="2">
        <v>0.24</v>
      </c>
      <c r="P738" s="2">
        <v>47</v>
      </c>
    </row>
    <row r="739" spans="15:16" x14ac:dyDescent="0.3">
      <c r="O739" s="2">
        <v>0.24</v>
      </c>
      <c r="P739" s="2">
        <v>61</v>
      </c>
    </row>
    <row r="740" spans="15:16" x14ac:dyDescent="0.3">
      <c r="O740" s="2">
        <v>0.34</v>
      </c>
      <c r="P740" s="2">
        <v>74</v>
      </c>
    </row>
    <row r="741" spans="15:16" x14ac:dyDescent="0.3">
      <c r="O741" s="2">
        <v>0.38</v>
      </c>
      <c r="P741" s="2">
        <v>61</v>
      </c>
    </row>
    <row r="742" spans="15:16" x14ac:dyDescent="0.3">
      <c r="O742" s="2">
        <v>0.38</v>
      </c>
      <c r="P742" s="2">
        <v>66</v>
      </c>
    </row>
    <row r="743" spans="15:16" x14ac:dyDescent="0.3">
      <c r="O743" s="2">
        <v>0.36</v>
      </c>
      <c r="P743" s="2">
        <v>95</v>
      </c>
    </row>
    <row r="744" spans="15:16" x14ac:dyDescent="0.3">
      <c r="O744" s="2">
        <v>0.36</v>
      </c>
      <c r="P744" s="2">
        <v>183</v>
      </c>
    </row>
    <row r="745" spans="15:16" x14ac:dyDescent="0.3">
      <c r="O745" s="2">
        <v>0.34</v>
      </c>
      <c r="P745" s="2">
        <v>175</v>
      </c>
    </row>
    <row r="746" spans="15:16" x14ac:dyDescent="0.3">
      <c r="O746" s="2">
        <v>0.28000000000000003</v>
      </c>
      <c r="P746" s="2">
        <v>88</v>
      </c>
    </row>
    <row r="747" spans="15:16" x14ac:dyDescent="0.3">
      <c r="O747" s="2">
        <v>0.24</v>
      </c>
      <c r="P747" s="2">
        <v>71</v>
      </c>
    </row>
    <row r="748" spans="15:16" x14ac:dyDescent="0.3">
      <c r="O748" s="2">
        <v>0.22</v>
      </c>
      <c r="P748" s="2">
        <v>62</v>
      </c>
    </row>
    <row r="749" spans="15:16" x14ac:dyDescent="0.3">
      <c r="O749" s="2">
        <v>0.22</v>
      </c>
      <c r="P749" s="2">
        <v>35</v>
      </c>
    </row>
    <row r="750" spans="15:16" x14ac:dyDescent="0.3">
      <c r="O750" s="2">
        <v>0.2</v>
      </c>
      <c r="P750" s="2">
        <v>29</v>
      </c>
    </row>
    <row r="751" spans="15:16" x14ac:dyDescent="0.3">
      <c r="O751" s="2">
        <v>0.2</v>
      </c>
      <c r="P751" s="2">
        <v>11</v>
      </c>
    </row>
    <row r="752" spans="15:16" x14ac:dyDescent="0.3">
      <c r="O752" s="2">
        <v>0.2</v>
      </c>
      <c r="P752" s="2">
        <v>5</v>
      </c>
    </row>
    <row r="753" spans="15:16" x14ac:dyDescent="0.3">
      <c r="O753" s="2">
        <v>0.18</v>
      </c>
      <c r="P753" s="2">
        <v>2</v>
      </c>
    </row>
    <row r="754" spans="15:16" x14ac:dyDescent="0.3">
      <c r="O754" s="2">
        <v>0.18</v>
      </c>
      <c r="P754" s="2">
        <v>1</v>
      </c>
    </row>
    <row r="755" spans="15:16" x14ac:dyDescent="0.3">
      <c r="O755" s="2">
        <v>0.16</v>
      </c>
      <c r="P755" s="2">
        <v>2</v>
      </c>
    </row>
    <row r="756" spans="15:16" x14ac:dyDescent="0.3">
      <c r="O756" s="2">
        <v>0.16</v>
      </c>
      <c r="P756" s="2">
        <v>39</v>
      </c>
    </row>
    <row r="757" spans="15:16" x14ac:dyDescent="0.3">
      <c r="O757" s="2">
        <v>0.14000000000000001</v>
      </c>
      <c r="P757" s="2">
        <v>86</v>
      </c>
    </row>
    <row r="758" spans="15:16" x14ac:dyDescent="0.3">
      <c r="O758" s="2">
        <v>0.14000000000000001</v>
      </c>
      <c r="P758" s="2">
        <v>184</v>
      </c>
    </row>
    <row r="759" spans="15:16" x14ac:dyDescent="0.3">
      <c r="O759" s="2">
        <v>0.16</v>
      </c>
      <c r="P759" s="2">
        <v>127</v>
      </c>
    </row>
    <row r="760" spans="15:16" x14ac:dyDescent="0.3">
      <c r="O760" s="2">
        <v>0.18</v>
      </c>
      <c r="P760" s="2">
        <v>50</v>
      </c>
    </row>
    <row r="761" spans="15:16" x14ac:dyDescent="0.3">
      <c r="O761" s="2">
        <v>0.18</v>
      </c>
      <c r="P761" s="2">
        <v>55</v>
      </c>
    </row>
    <row r="762" spans="15:16" x14ac:dyDescent="0.3">
      <c r="O762" s="2">
        <v>0.2</v>
      </c>
      <c r="P762" s="2">
        <v>67</v>
      </c>
    </row>
    <row r="763" spans="15:16" x14ac:dyDescent="0.3">
      <c r="O763" s="2">
        <v>0.2</v>
      </c>
      <c r="P763" s="2">
        <v>47</v>
      </c>
    </row>
    <row r="764" spans="15:16" x14ac:dyDescent="0.3">
      <c r="O764" s="2">
        <v>0.22</v>
      </c>
      <c r="P764" s="2">
        <v>43</v>
      </c>
    </row>
    <row r="765" spans="15:16" x14ac:dyDescent="0.3">
      <c r="O765" s="2">
        <v>0.22</v>
      </c>
      <c r="P765" s="2">
        <v>56</v>
      </c>
    </row>
    <row r="766" spans="15:16" x14ac:dyDescent="0.3">
      <c r="O766" s="2">
        <v>0.22</v>
      </c>
      <c r="P766" s="2">
        <v>73</v>
      </c>
    </row>
    <row r="767" spans="15:16" x14ac:dyDescent="0.3">
      <c r="O767" s="2">
        <v>0.2</v>
      </c>
      <c r="P767" s="2">
        <v>170</v>
      </c>
    </row>
    <row r="768" spans="15:16" x14ac:dyDescent="0.3">
      <c r="O768" s="2">
        <v>0.2</v>
      </c>
      <c r="P768" s="2">
        <v>145</v>
      </c>
    </row>
    <row r="769" spans="15:16" x14ac:dyDescent="0.3">
      <c r="O769" s="2">
        <v>0.2</v>
      </c>
      <c r="P769" s="2">
        <v>92</v>
      </c>
    </row>
    <row r="770" spans="15:16" x14ac:dyDescent="0.3">
      <c r="O770" s="2">
        <v>0.2</v>
      </c>
      <c r="P770" s="2">
        <v>108</v>
      </c>
    </row>
    <row r="771" spans="15:16" x14ac:dyDescent="0.3">
      <c r="O771" s="2">
        <v>0.18</v>
      </c>
      <c r="P771" s="2">
        <v>53</v>
      </c>
    </row>
    <row r="772" spans="15:16" x14ac:dyDescent="0.3">
      <c r="O772" s="2">
        <v>0.18</v>
      </c>
      <c r="P772" s="2">
        <v>39</v>
      </c>
    </row>
    <row r="773" spans="15:16" x14ac:dyDescent="0.3">
      <c r="O773" s="2">
        <v>0.2</v>
      </c>
      <c r="P773" s="2">
        <v>34</v>
      </c>
    </row>
    <row r="774" spans="15:16" x14ac:dyDescent="0.3">
      <c r="O774" s="2">
        <v>0.2</v>
      </c>
      <c r="P774" s="2">
        <v>10</v>
      </c>
    </row>
    <row r="775" spans="15:16" x14ac:dyDescent="0.3">
      <c r="O775" s="2">
        <v>0.16</v>
      </c>
      <c r="P775" s="2">
        <v>7</v>
      </c>
    </row>
    <row r="776" spans="15:16" x14ac:dyDescent="0.3">
      <c r="O776" s="2">
        <v>0.14000000000000001</v>
      </c>
      <c r="P776" s="2">
        <v>1</v>
      </c>
    </row>
    <row r="777" spans="15:16" x14ac:dyDescent="0.3">
      <c r="O777" s="2">
        <v>0.14000000000000001</v>
      </c>
      <c r="P777" s="2">
        <v>1</v>
      </c>
    </row>
    <row r="778" spans="15:16" x14ac:dyDescent="0.3">
      <c r="O778" s="2">
        <v>0.14000000000000001</v>
      </c>
      <c r="P778" s="2">
        <v>7</v>
      </c>
    </row>
    <row r="779" spans="15:16" x14ac:dyDescent="0.3">
      <c r="O779" s="2">
        <v>0.16</v>
      </c>
      <c r="P779" s="2">
        <v>26</v>
      </c>
    </row>
    <row r="780" spans="15:16" x14ac:dyDescent="0.3">
      <c r="O780" s="2">
        <v>0.14000000000000001</v>
      </c>
      <c r="P780" s="2">
        <v>87</v>
      </c>
    </row>
    <row r="781" spans="15:16" x14ac:dyDescent="0.3">
      <c r="O781" s="2">
        <v>0.14000000000000001</v>
      </c>
      <c r="P781" s="2">
        <v>217</v>
      </c>
    </row>
    <row r="782" spans="15:16" x14ac:dyDescent="0.3">
      <c r="O782" s="2">
        <v>0.16</v>
      </c>
      <c r="P782" s="2">
        <v>124</v>
      </c>
    </row>
    <row r="783" spans="15:16" x14ac:dyDescent="0.3">
      <c r="O783" s="2">
        <v>0.2</v>
      </c>
      <c r="P783" s="2">
        <v>46</v>
      </c>
    </row>
    <row r="784" spans="15:16" x14ac:dyDescent="0.3">
      <c r="O784" s="2">
        <v>0.22</v>
      </c>
      <c r="P784" s="2">
        <v>61</v>
      </c>
    </row>
    <row r="785" spans="15:16" x14ac:dyDescent="0.3">
      <c r="O785" s="2">
        <v>0.24</v>
      </c>
      <c r="P785" s="2">
        <v>78</v>
      </c>
    </row>
    <row r="786" spans="15:16" x14ac:dyDescent="0.3">
      <c r="O786" s="2">
        <v>0.26</v>
      </c>
      <c r="P786" s="2">
        <v>73</v>
      </c>
    </row>
    <row r="787" spans="15:16" x14ac:dyDescent="0.3">
      <c r="O787" s="2">
        <v>0.28000000000000003</v>
      </c>
      <c r="P787" s="2">
        <v>76</v>
      </c>
    </row>
    <row r="788" spans="15:16" x14ac:dyDescent="0.3">
      <c r="O788" s="2">
        <v>0.28000000000000003</v>
      </c>
      <c r="P788" s="2">
        <v>81</v>
      </c>
    </row>
    <row r="789" spans="15:16" x14ac:dyDescent="0.3">
      <c r="O789" s="2">
        <v>0.3</v>
      </c>
      <c r="P789" s="2">
        <v>91</v>
      </c>
    </row>
    <row r="790" spans="15:16" x14ac:dyDescent="0.3">
      <c r="O790" s="2">
        <v>0.26</v>
      </c>
      <c r="P790" s="2">
        <v>195</v>
      </c>
    </row>
    <row r="791" spans="15:16" x14ac:dyDescent="0.3">
      <c r="O791" s="2">
        <v>0.24</v>
      </c>
      <c r="P791" s="2">
        <v>152</v>
      </c>
    </row>
    <row r="792" spans="15:16" x14ac:dyDescent="0.3">
      <c r="O792" s="2">
        <v>0.24</v>
      </c>
      <c r="P792" s="2">
        <v>102</v>
      </c>
    </row>
    <row r="793" spans="15:16" x14ac:dyDescent="0.3">
      <c r="O793" s="2">
        <v>0.24</v>
      </c>
      <c r="P793" s="2">
        <v>69</v>
      </c>
    </row>
    <row r="794" spans="15:16" x14ac:dyDescent="0.3">
      <c r="O794" s="2">
        <v>0.24</v>
      </c>
      <c r="P794" s="2">
        <v>41</v>
      </c>
    </row>
    <row r="795" spans="15:16" x14ac:dyDescent="0.3">
      <c r="O795" s="2">
        <v>0.24</v>
      </c>
      <c r="P795" s="2">
        <v>45</v>
      </c>
    </row>
    <row r="796" spans="15:16" x14ac:dyDescent="0.3">
      <c r="O796" s="2">
        <v>0.24</v>
      </c>
      <c r="P796" s="2">
        <v>30</v>
      </c>
    </row>
    <row r="797" spans="15:16" x14ac:dyDescent="0.3">
      <c r="O797" s="2">
        <v>0.24</v>
      </c>
      <c r="P797" s="2">
        <v>36</v>
      </c>
    </row>
    <row r="798" spans="15:16" x14ac:dyDescent="0.3">
      <c r="O798" s="2">
        <v>0.24</v>
      </c>
      <c r="P798" s="2">
        <v>17</v>
      </c>
    </row>
    <row r="799" spans="15:16" x14ac:dyDescent="0.3">
      <c r="O799" s="2">
        <v>0.24</v>
      </c>
      <c r="P799" s="2">
        <v>12</v>
      </c>
    </row>
    <row r="800" spans="15:16" x14ac:dyDescent="0.3">
      <c r="O800" s="2">
        <v>0.24</v>
      </c>
      <c r="P800" s="2">
        <v>10</v>
      </c>
    </row>
    <row r="801" spans="15:16" x14ac:dyDescent="0.3">
      <c r="O801" s="2">
        <v>0.22</v>
      </c>
      <c r="P801" s="2">
        <v>8</v>
      </c>
    </row>
    <row r="802" spans="15:16" x14ac:dyDescent="0.3">
      <c r="O802" s="2">
        <v>0.2</v>
      </c>
      <c r="P802" s="2">
        <v>9</v>
      </c>
    </row>
    <row r="803" spans="15:16" x14ac:dyDescent="0.3">
      <c r="O803" s="2">
        <v>0.2</v>
      </c>
      <c r="P803" s="2">
        <v>4</v>
      </c>
    </row>
    <row r="804" spans="15:16" x14ac:dyDescent="0.3">
      <c r="O804" s="2">
        <v>0.22</v>
      </c>
      <c r="P804" s="2">
        <v>4</v>
      </c>
    </row>
    <row r="805" spans="15:16" x14ac:dyDescent="0.3">
      <c r="O805" s="2">
        <v>0.2</v>
      </c>
      <c r="P805" s="2">
        <v>10</v>
      </c>
    </row>
    <row r="806" spans="15:16" x14ac:dyDescent="0.3">
      <c r="O806" s="2">
        <v>0.2</v>
      </c>
      <c r="P806" s="2">
        <v>17</v>
      </c>
    </row>
    <row r="807" spans="15:16" x14ac:dyDescent="0.3">
      <c r="O807" s="2">
        <v>0.2</v>
      </c>
      <c r="P807" s="2">
        <v>31</v>
      </c>
    </row>
    <row r="808" spans="15:16" x14ac:dyDescent="0.3">
      <c r="O808" s="2">
        <v>0.22</v>
      </c>
      <c r="P808" s="2">
        <v>46</v>
      </c>
    </row>
    <row r="809" spans="15:16" x14ac:dyDescent="0.3">
      <c r="O809" s="2">
        <v>0.22</v>
      </c>
      <c r="P809" s="2">
        <v>42</v>
      </c>
    </row>
    <row r="810" spans="15:16" x14ac:dyDescent="0.3">
      <c r="O810" s="2">
        <v>0.22</v>
      </c>
      <c r="P810" s="2">
        <v>62</v>
      </c>
    </row>
    <row r="811" spans="15:16" x14ac:dyDescent="0.3">
      <c r="O811" s="2">
        <v>0.22</v>
      </c>
      <c r="P811" s="2">
        <v>50</v>
      </c>
    </row>
    <row r="812" spans="15:16" x14ac:dyDescent="0.3">
      <c r="O812" s="2">
        <v>0.22</v>
      </c>
      <c r="P812" s="2">
        <v>49</v>
      </c>
    </row>
    <row r="813" spans="15:16" x14ac:dyDescent="0.3">
      <c r="O813" s="2">
        <v>0.22</v>
      </c>
      <c r="P813" s="2">
        <v>63</v>
      </c>
    </row>
    <row r="814" spans="15:16" x14ac:dyDescent="0.3">
      <c r="O814" s="2">
        <v>0.24</v>
      </c>
      <c r="P814" s="2">
        <v>64</v>
      </c>
    </row>
    <row r="815" spans="15:16" x14ac:dyDescent="0.3">
      <c r="O815" s="2">
        <v>0.28000000000000003</v>
      </c>
      <c r="P815" s="2">
        <v>81</v>
      </c>
    </row>
    <row r="816" spans="15:16" x14ac:dyDescent="0.3">
      <c r="O816" s="2">
        <v>0.28000000000000003</v>
      </c>
      <c r="P816" s="2">
        <v>78</v>
      </c>
    </row>
    <row r="817" spans="15:16" x14ac:dyDescent="0.3">
      <c r="O817" s="2">
        <v>0.3</v>
      </c>
      <c r="P817" s="2">
        <v>64</v>
      </c>
    </row>
    <row r="818" spans="15:16" x14ac:dyDescent="0.3">
      <c r="O818" s="2">
        <v>0.26</v>
      </c>
      <c r="P818" s="2">
        <v>53</v>
      </c>
    </row>
    <row r="819" spans="15:16" x14ac:dyDescent="0.3">
      <c r="O819" s="2">
        <v>0.26</v>
      </c>
      <c r="P819" s="2">
        <v>43</v>
      </c>
    </row>
    <row r="820" spans="15:16" x14ac:dyDescent="0.3">
      <c r="O820" s="2">
        <v>0.26</v>
      </c>
      <c r="P820" s="2">
        <v>52</v>
      </c>
    </row>
    <row r="821" spans="15:16" x14ac:dyDescent="0.3">
      <c r="O821" s="2">
        <v>0.26</v>
      </c>
      <c r="P821" s="2">
        <v>37</v>
      </c>
    </row>
    <row r="822" spans="15:16" x14ac:dyDescent="0.3">
      <c r="O822" s="2">
        <v>0.26</v>
      </c>
      <c r="P822" s="2">
        <v>40</v>
      </c>
    </row>
    <row r="823" spans="15:16" x14ac:dyDescent="0.3">
      <c r="O823" s="2">
        <v>0.26</v>
      </c>
      <c r="P823" s="2">
        <v>20</v>
      </c>
    </row>
    <row r="824" spans="15:16" x14ac:dyDescent="0.3">
      <c r="O824" s="2">
        <v>0.26</v>
      </c>
      <c r="P824" s="2">
        <v>10</v>
      </c>
    </row>
    <row r="825" spans="15:16" x14ac:dyDescent="0.3">
      <c r="O825" s="2">
        <v>0.26</v>
      </c>
      <c r="P825" s="2">
        <v>2</v>
      </c>
    </row>
    <row r="826" spans="15:16" x14ac:dyDescent="0.3">
      <c r="O826" s="2">
        <v>0.26</v>
      </c>
      <c r="P826" s="2">
        <v>1</v>
      </c>
    </row>
    <row r="827" spans="15:16" x14ac:dyDescent="0.3">
      <c r="O827" s="2">
        <v>0.26</v>
      </c>
      <c r="P827" s="2">
        <v>1</v>
      </c>
    </row>
    <row r="828" spans="15:16" x14ac:dyDescent="0.3">
      <c r="O828" s="2">
        <v>0.24</v>
      </c>
      <c r="P828" s="2">
        <v>8</v>
      </c>
    </row>
    <row r="829" spans="15:16" x14ac:dyDescent="0.3">
      <c r="O829" s="2">
        <v>0.24</v>
      </c>
      <c r="P829" s="2">
        <v>21</v>
      </c>
    </row>
    <row r="830" spans="15:16" x14ac:dyDescent="0.3">
      <c r="O830" s="2">
        <v>0.28000000000000003</v>
      </c>
      <c r="P830" s="2">
        <v>38</v>
      </c>
    </row>
    <row r="831" spans="15:16" x14ac:dyDescent="0.3">
      <c r="O831" s="2">
        <v>0.3</v>
      </c>
      <c r="P831" s="2">
        <v>74</v>
      </c>
    </row>
    <row r="832" spans="15:16" x14ac:dyDescent="0.3">
      <c r="O832" s="2">
        <v>0.32</v>
      </c>
      <c r="P832" s="2">
        <v>89</v>
      </c>
    </row>
    <row r="833" spans="15:16" x14ac:dyDescent="0.3">
      <c r="O833" s="2">
        <v>0.34</v>
      </c>
      <c r="P833" s="2">
        <v>126</v>
      </c>
    </row>
    <row r="834" spans="15:16" x14ac:dyDescent="0.3">
      <c r="O834" s="2">
        <v>0.34</v>
      </c>
      <c r="P834" s="2">
        <v>135</v>
      </c>
    </row>
    <row r="835" spans="15:16" x14ac:dyDescent="0.3">
      <c r="O835" s="2">
        <v>0.34</v>
      </c>
      <c r="P835" s="2">
        <v>114</v>
      </c>
    </row>
    <row r="836" spans="15:16" x14ac:dyDescent="0.3">
      <c r="O836" s="2">
        <v>0.34</v>
      </c>
      <c r="P836" s="2">
        <v>130</v>
      </c>
    </row>
    <row r="837" spans="15:16" x14ac:dyDescent="0.3">
      <c r="O837" s="2">
        <v>0.34</v>
      </c>
      <c r="P837" s="2">
        <v>115</v>
      </c>
    </row>
    <row r="838" spans="15:16" x14ac:dyDescent="0.3">
      <c r="O838" s="2">
        <v>0.34</v>
      </c>
      <c r="P838" s="2">
        <v>97</v>
      </c>
    </row>
    <row r="839" spans="15:16" x14ac:dyDescent="0.3">
      <c r="O839" s="2">
        <v>0.3</v>
      </c>
      <c r="P839" s="2">
        <v>65</v>
      </c>
    </row>
    <row r="840" spans="15:16" x14ac:dyDescent="0.3">
      <c r="O840" s="2">
        <v>0.28000000000000003</v>
      </c>
      <c r="P840" s="2">
        <v>20</v>
      </c>
    </row>
    <row r="841" spans="15:16" x14ac:dyDescent="0.3">
      <c r="O841" s="2">
        <v>0.28000000000000003</v>
      </c>
      <c r="P841" s="2">
        <v>21</v>
      </c>
    </row>
    <row r="842" spans="15:16" x14ac:dyDescent="0.3">
      <c r="O842" s="2">
        <v>0.26</v>
      </c>
      <c r="P842" s="2">
        <v>22</v>
      </c>
    </row>
    <row r="843" spans="15:16" x14ac:dyDescent="0.3">
      <c r="O843" s="2">
        <v>0.26</v>
      </c>
      <c r="P843" s="2">
        <v>57</v>
      </c>
    </row>
    <row r="844" spans="15:16" x14ac:dyDescent="0.3">
      <c r="O844" s="2">
        <v>0.24</v>
      </c>
      <c r="P844" s="2">
        <v>26</v>
      </c>
    </row>
    <row r="845" spans="15:16" x14ac:dyDescent="0.3">
      <c r="O845" s="2">
        <v>0.24</v>
      </c>
      <c r="P845" s="2">
        <v>14</v>
      </c>
    </row>
    <row r="846" spans="15:16" x14ac:dyDescent="0.3">
      <c r="O846" s="2">
        <v>0.22</v>
      </c>
      <c r="P846" s="2">
        <v>4</v>
      </c>
    </row>
    <row r="847" spans="15:16" x14ac:dyDescent="0.3">
      <c r="O847" s="2">
        <v>0.2</v>
      </c>
      <c r="P847" s="2">
        <v>3</v>
      </c>
    </row>
    <row r="848" spans="15:16" x14ac:dyDescent="0.3">
      <c r="O848" s="2">
        <v>0.2</v>
      </c>
      <c r="P848" s="2">
        <v>1</v>
      </c>
    </row>
    <row r="849" spans="15:16" x14ac:dyDescent="0.3">
      <c r="O849" s="2">
        <v>0.2</v>
      </c>
      <c r="P849" s="2">
        <v>1</v>
      </c>
    </row>
    <row r="850" spans="15:16" x14ac:dyDescent="0.3">
      <c r="O850" s="2">
        <v>0.2</v>
      </c>
      <c r="P850" s="2">
        <v>9</v>
      </c>
    </row>
    <row r="851" spans="15:16" x14ac:dyDescent="0.3">
      <c r="O851" s="2">
        <v>0.18</v>
      </c>
      <c r="P851" s="2">
        <v>29</v>
      </c>
    </row>
    <row r="852" spans="15:16" x14ac:dyDescent="0.3">
      <c r="O852" s="2">
        <v>0.18</v>
      </c>
      <c r="P852" s="2">
        <v>89</v>
      </c>
    </row>
    <row r="853" spans="15:16" x14ac:dyDescent="0.3">
      <c r="O853" s="2">
        <v>0.16</v>
      </c>
      <c r="P853" s="2">
        <v>223</v>
      </c>
    </row>
    <row r="854" spans="15:16" x14ac:dyDescent="0.3">
      <c r="O854" s="2">
        <v>0.22</v>
      </c>
      <c r="P854" s="2">
        <v>115</v>
      </c>
    </row>
    <row r="855" spans="15:16" x14ac:dyDescent="0.3">
      <c r="O855" s="2">
        <v>0.24</v>
      </c>
      <c r="P855" s="2">
        <v>49</v>
      </c>
    </row>
    <row r="856" spans="15:16" x14ac:dyDescent="0.3">
      <c r="O856" s="2">
        <v>0.3</v>
      </c>
      <c r="P856" s="2">
        <v>36</v>
      </c>
    </row>
    <row r="857" spans="15:16" x14ac:dyDescent="0.3">
      <c r="O857" s="2">
        <v>0.32</v>
      </c>
      <c r="P857" s="2">
        <v>59</v>
      </c>
    </row>
    <row r="858" spans="15:16" x14ac:dyDescent="0.3">
      <c r="O858" s="2">
        <v>0.36</v>
      </c>
      <c r="P858" s="2">
        <v>54</v>
      </c>
    </row>
    <row r="859" spans="15:16" x14ac:dyDescent="0.3">
      <c r="O859" s="2">
        <v>0.36</v>
      </c>
      <c r="P859" s="2">
        <v>52</v>
      </c>
    </row>
    <row r="860" spans="15:16" x14ac:dyDescent="0.3">
      <c r="O860" s="2">
        <v>0.38</v>
      </c>
      <c r="P860" s="2">
        <v>46</v>
      </c>
    </row>
    <row r="861" spans="15:16" x14ac:dyDescent="0.3">
      <c r="O861" s="2">
        <v>0.36</v>
      </c>
      <c r="P861" s="2">
        <v>98</v>
      </c>
    </row>
    <row r="862" spans="15:16" x14ac:dyDescent="0.3">
      <c r="O862" s="2">
        <v>0.32</v>
      </c>
      <c r="P862" s="2">
        <v>207</v>
      </c>
    </row>
    <row r="863" spans="15:16" x14ac:dyDescent="0.3">
      <c r="O863" s="2">
        <v>0.34</v>
      </c>
      <c r="P863" s="2">
        <v>170</v>
      </c>
    </row>
    <row r="864" spans="15:16" x14ac:dyDescent="0.3">
      <c r="O864" s="2">
        <v>0.32</v>
      </c>
      <c r="P864" s="2">
        <v>123</v>
      </c>
    </row>
    <row r="865" spans="15:16" x14ac:dyDescent="0.3">
      <c r="O865" s="2">
        <v>0.32</v>
      </c>
      <c r="P865" s="2">
        <v>82</v>
      </c>
    </row>
    <row r="866" spans="15:16" x14ac:dyDescent="0.3">
      <c r="O866" s="2">
        <v>0.32</v>
      </c>
      <c r="P866" s="2">
        <v>75</v>
      </c>
    </row>
    <row r="867" spans="15:16" x14ac:dyDescent="0.3">
      <c r="O867" s="2">
        <v>0.28000000000000003</v>
      </c>
      <c r="P867" s="2">
        <v>34</v>
      </c>
    </row>
    <row r="868" spans="15:16" x14ac:dyDescent="0.3">
      <c r="O868" s="2">
        <v>0.3</v>
      </c>
      <c r="P868" s="2">
        <v>19</v>
      </c>
    </row>
    <row r="869" spans="15:16" x14ac:dyDescent="0.3">
      <c r="O869" s="2">
        <v>0.28000000000000003</v>
      </c>
      <c r="P869" s="2">
        <v>6</v>
      </c>
    </row>
    <row r="870" spans="15:16" x14ac:dyDescent="0.3">
      <c r="O870" s="2">
        <v>0.28000000000000003</v>
      </c>
      <c r="P870" s="2">
        <v>4</v>
      </c>
    </row>
    <row r="871" spans="15:16" x14ac:dyDescent="0.3">
      <c r="O871" s="2">
        <v>0.26</v>
      </c>
      <c r="P871" s="2">
        <v>1</v>
      </c>
    </row>
    <row r="872" spans="15:16" x14ac:dyDescent="0.3">
      <c r="O872" s="2">
        <v>0.28000000000000003</v>
      </c>
      <c r="P872" s="2">
        <v>1</v>
      </c>
    </row>
    <row r="873" spans="15:16" x14ac:dyDescent="0.3">
      <c r="O873" s="2">
        <v>0.26</v>
      </c>
      <c r="P873" s="2">
        <v>3</v>
      </c>
    </row>
    <row r="874" spans="15:16" x14ac:dyDescent="0.3">
      <c r="O874" s="2">
        <v>0.26</v>
      </c>
      <c r="P874" s="2">
        <v>2</v>
      </c>
    </row>
    <row r="875" spans="15:16" x14ac:dyDescent="0.3">
      <c r="O875" s="2">
        <v>0.26</v>
      </c>
      <c r="P875" s="2">
        <v>39</v>
      </c>
    </row>
    <row r="876" spans="15:16" x14ac:dyDescent="0.3">
      <c r="O876" s="2">
        <v>0.24</v>
      </c>
      <c r="P876" s="2">
        <v>97</v>
      </c>
    </row>
    <row r="877" spans="15:16" x14ac:dyDescent="0.3">
      <c r="O877" s="2">
        <v>0.24</v>
      </c>
      <c r="P877" s="2">
        <v>236</v>
      </c>
    </row>
    <row r="878" spans="15:16" x14ac:dyDescent="0.3">
      <c r="O878" s="2">
        <v>0.24</v>
      </c>
      <c r="P878" s="2">
        <v>128</v>
      </c>
    </row>
    <row r="879" spans="15:16" x14ac:dyDescent="0.3">
      <c r="O879" s="2">
        <v>0.22</v>
      </c>
      <c r="P879" s="2">
        <v>44</v>
      </c>
    </row>
    <row r="880" spans="15:16" x14ac:dyDescent="0.3">
      <c r="O880" s="2">
        <v>0.22</v>
      </c>
      <c r="P880" s="2">
        <v>49</v>
      </c>
    </row>
    <row r="881" spans="15:16" x14ac:dyDescent="0.3">
      <c r="O881" s="2">
        <v>0.24</v>
      </c>
      <c r="P881" s="2">
        <v>63</v>
      </c>
    </row>
    <row r="882" spans="15:16" x14ac:dyDescent="0.3">
      <c r="O882" s="2">
        <v>0.24</v>
      </c>
      <c r="P882" s="2">
        <v>48</v>
      </c>
    </row>
    <row r="883" spans="15:16" x14ac:dyDescent="0.3">
      <c r="O883" s="2">
        <v>0.22</v>
      </c>
      <c r="P883" s="2">
        <v>61</v>
      </c>
    </row>
    <row r="884" spans="15:16" x14ac:dyDescent="0.3">
      <c r="O884" s="2">
        <v>0.22</v>
      </c>
      <c r="P884" s="2">
        <v>45</v>
      </c>
    </row>
    <row r="885" spans="15:16" x14ac:dyDescent="0.3">
      <c r="O885" s="2">
        <v>0.22</v>
      </c>
      <c r="P885" s="2">
        <v>79</v>
      </c>
    </row>
    <row r="886" spans="15:16" x14ac:dyDescent="0.3">
      <c r="O886" s="2">
        <v>0.22</v>
      </c>
      <c r="P886" s="2">
        <v>172</v>
      </c>
    </row>
    <row r="887" spans="15:16" x14ac:dyDescent="0.3">
      <c r="O887" s="2">
        <v>0.2</v>
      </c>
      <c r="P887" s="2">
        <v>151</v>
      </c>
    </row>
    <row r="888" spans="15:16" x14ac:dyDescent="0.3">
      <c r="O888" s="2">
        <v>0.16</v>
      </c>
      <c r="P888" s="2">
        <v>100</v>
      </c>
    </row>
    <row r="889" spans="15:16" x14ac:dyDescent="0.3">
      <c r="O889" s="2">
        <v>0.16</v>
      </c>
      <c r="P889" s="2">
        <v>53</v>
      </c>
    </row>
    <row r="890" spans="15:16" x14ac:dyDescent="0.3">
      <c r="O890" s="2">
        <v>0.14000000000000001</v>
      </c>
      <c r="P890" s="2">
        <v>46</v>
      </c>
    </row>
    <row r="891" spans="15:16" x14ac:dyDescent="0.3">
      <c r="O891" s="2">
        <v>0.12</v>
      </c>
      <c r="P891" s="2">
        <v>29</v>
      </c>
    </row>
    <row r="892" spans="15:16" x14ac:dyDescent="0.3">
      <c r="O892" s="2">
        <v>0.12</v>
      </c>
      <c r="P892" s="2">
        <v>9</v>
      </c>
    </row>
    <row r="893" spans="15:16" x14ac:dyDescent="0.3">
      <c r="O893" s="2">
        <v>0.1</v>
      </c>
      <c r="P893" s="2">
        <v>17</v>
      </c>
    </row>
    <row r="894" spans="15:16" x14ac:dyDescent="0.3">
      <c r="O894" s="2">
        <v>0.1</v>
      </c>
      <c r="P894" s="2">
        <v>7</v>
      </c>
    </row>
    <row r="895" spans="15:16" x14ac:dyDescent="0.3">
      <c r="O895" s="2">
        <v>0.08</v>
      </c>
      <c r="P895" s="2">
        <v>2</v>
      </c>
    </row>
    <row r="896" spans="15:16" x14ac:dyDescent="0.3">
      <c r="O896" s="2">
        <v>0.06</v>
      </c>
      <c r="P896" s="2">
        <v>2</v>
      </c>
    </row>
    <row r="897" spans="15:16" x14ac:dyDescent="0.3">
      <c r="O897" s="2">
        <v>0.06</v>
      </c>
      <c r="P897" s="2">
        <v>7</v>
      </c>
    </row>
    <row r="898" spans="15:16" x14ac:dyDescent="0.3">
      <c r="O898" s="2">
        <v>0.06</v>
      </c>
      <c r="P898" s="2">
        <v>43</v>
      </c>
    </row>
    <row r="899" spans="15:16" x14ac:dyDescent="0.3">
      <c r="O899" s="2">
        <v>0.06</v>
      </c>
      <c r="P899" s="2">
        <v>95</v>
      </c>
    </row>
    <row r="900" spans="15:16" x14ac:dyDescent="0.3">
      <c r="O900" s="2">
        <v>0.1</v>
      </c>
      <c r="P900" s="2">
        <v>198</v>
      </c>
    </row>
    <row r="901" spans="15:16" x14ac:dyDescent="0.3">
      <c r="O901" s="2">
        <v>0.12</v>
      </c>
      <c r="P901" s="2">
        <v>119</v>
      </c>
    </row>
    <row r="902" spans="15:16" x14ac:dyDescent="0.3">
      <c r="O902" s="2">
        <v>0.14000000000000001</v>
      </c>
      <c r="P902" s="2">
        <v>51</v>
      </c>
    </row>
    <row r="903" spans="15:16" x14ac:dyDescent="0.3">
      <c r="O903" s="2">
        <v>0.14000000000000001</v>
      </c>
      <c r="P903" s="2">
        <v>40</v>
      </c>
    </row>
    <row r="904" spans="15:16" x14ac:dyDescent="0.3">
      <c r="O904" s="2">
        <v>0.18</v>
      </c>
      <c r="P904" s="2">
        <v>57</v>
      </c>
    </row>
    <row r="905" spans="15:16" x14ac:dyDescent="0.3">
      <c r="O905" s="2">
        <v>0.18</v>
      </c>
      <c r="P905" s="2">
        <v>67</v>
      </c>
    </row>
    <row r="906" spans="15:16" x14ac:dyDescent="0.3">
      <c r="O906" s="2">
        <v>0.2</v>
      </c>
      <c r="P906" s="2">
        <v>56</v>
      </c>
    </row>
    <row r="907" spans="15:16" x14ac:dyDescent="0.3">
      <c r="O907" s="2">
        <v>0.2</v>
      </c>
      <c r="P907" s="2">
        <v>61</v>
      </c>
    </row>
    <row r="908" spans="15:16" x14ac:dyDescent="0.3">
      <c r="O908" s="2">
        <v>0.2</v>
      </c>
      <c r="P908" s="2">
        <v>72</v>
      </c>
    </row>
    <row r="909" spans="15:16" x14ac:dyDescent="0.3">
      <c r="O909" s="2">
        <v>0.2</v>
      </c>
      <c r="P909" s="2">
        <v>157</v>
      </c>
    </row>
    <row r="910" spans="15:16" x14ac:dyDescent="0.3">
      <c r="O910" s="2">
        <v>0.18</v>
      </c>
      <c r="P910" s="2">
        <v>168</v>
      </c>
    </row>
    <row r="911" spans="15:16" x14ac:dyDescent="0.3">
      <c r="O911" s="2">
        <v>0.14000000000000001</v>
      </c>
      <c r="P911" s="2">
        <v>87</v>
      </c>
    </row>
    <row r="912" spans="15:16" x14ac:dyDescent="0.3">
      <c r="O912" s="2">
        <v>0.14000000000000001</v>
      </c>
      <c r="P912" s="2">
        <v>84</v>
      </c>
    </row>
    <row r="913" spans="15:16" x14ac:dyDescent="0.3">
      <c r="O913" s="2">
        <v>0.14000000000000001</v>
      </c>
      <c r="P913" s="2">
        <v>83</v>
      </c>
    </row>
    <row r="914" spans="15:16" x14ac:dyDescent="0.3">
      <c r="O914" s="2">
        <v>0.16</v>
      </c>
      <c r="P914" s="2">
        <v>42</v>
      </c>
    </row>
    <row r="915" spans="15:16" x14ac:dyDescent="0.3">
      <c r="O915" s="2">
        <v>0.16</v>
      </c>
      <c r="P915" s="2">
        <v>37</v>
      </c>
    </row>
    <row r="916" spans="15:16" x14ac:dyDescent="0.3">
      <c r="O916" s="2">
        <v>0.14000000000000001</v>
      </c>
      <c r="P916" s="2">
        <v>16</v>
      </c>
    </row>
    <row r="917" spans="15:16" x14ac:dyDescent="0.3">
      <c r="O917" s="2">
        <v>0.14000000000000001</v>
      </c>
      <c r="P917" s="2">
        <v>7</v>
      </c>
    </row>
    <row r="918" spans="15:16" x14ac:dyDescent="0.3">
      <c r="O918" s="2">
        <v>0.14000000000000001</v>
      </c>
      <c r="P918" s="2">
        <v>3</v>
      </c>
    </row>
    <row r="919" spans="15:16" x14ac:dyDescent="0.3">
      <c r="O919" s="2">
        <v>0.14000000000000001</v>
      </c>
      <c r="P919" s="2">
        <v>1</v>
      </c>
    </row>
    <row r="920" spans="15:16" x14ac:dyDescent="0.3">
      <c r="O920" s="2">
        <v>0.12</v>
      </c>
      <c r="P920" s="2">
        <v>6</v>
      </c>
    </row>
    <row r="921" spans="15:16" x14ac:dyDescent="0.3">
      <c r="O921" s="2">
        <v>0.12</v>
      </c>
      <c r="P921" s="2">
        <v>26</v>
      </c>
    </row>
    <row r="922" spans="15:16" x14ac:dyDescent="0.3">
      <c r="O922" s="2">
        <v>0.1</v>
      </c>
      <c r="P922" s="2">
        <v>99</v>
      </c>
    </row>
    <row r="923" spans="15:16" x14ac:dyDescent="0.3">
      <c r="O923" s="2">
        <v>0.1</v>
      </c>
      <c r="P923" s="2">
        <v>173</v>
      </c>
    </row>
    <row r="924" spans="15:16" x14ac:dyDescent="0.3">
      <c r="O924" s="2">
        <v>0.12</v>
      </c>
      <c r="P924" s="2">
        <v>121</v>
      </c>
    </row>
    <row r="925" spans="15:16" x14ac:dyDescent="0.3">
      <c r="O925" s="2">
        <v>0.12</v>
      </c>
      <c r="P925" s="2">
        <v>34</v>
      </c>
    </row>
    <row r="926" spans="15:16" x14ac:dyDescent="0.3">
      <c r="O926" s="2">
        <v>0.14000000000000001</v>
      </c>
      <c r="P926" s="2">
        <v>44</v>
      </c>
    </row>
    <row r="927" spans="15:16" x14ac:dyDescent="0.3">
      <c r="O927" s="2">
        <v>0.16</v>
      </c>
      <c r="P927" s="2">
        <v>65</v>
      </c>
    </row>
    <row r="928" spans="15:16" x14ac:dyDescent="0.3">
      <c r="O928" s="2">
        <v>0.18</v>
      </c>
      <c r="P928" s="2">
        <v>59</v>
      </c>
    </row>
    <row r="929" spans="15:16" x14ac:dyDescent="0.3">
      <c r="O929" s="2">
        <v>0.2</v>
      </c>
      <c r="P929" s="2">
        <v>42</v>
      </c>
    </row>
    <row r="930" spans="15:16" x14ac:dyDescent="0.3">
      <c r="O930" s="2">
        <v>0.2</v>
      </c>
      <c r="P930" s="2">
        <v>50</v>
      </c>
    </row>
    <row r="931" spans="15:16" x14ac:dyDescent="0.3">
      <c r="O931" s="2">
        <v>0.2</v>
      </c>
      <c r="P931" s="2">
        <v>76</v>
      </c>
    </row>
    <row r="932" spans="15:16" x14ac:dyDescent="0.3">
      <c r="O932" s="2">
        <v>0.18</v>
      </c>
      <c r="P932" s="2">
        <v>159</v>
      </c>
    </row>
    <row r="933" spans="15:16" x14ac:dyDescent="0.3">
      <c r="O933" s="2">
        <v>0.16</v>
      </c>
      <c r="P933" s="2">
        <v>157</v>
      </c>
    </row>
    <row r="934" spans="15:16" x14ac:dyDescent="0.3">
      <c r="O934" s="2">
        <v>0.14000000000000001</v>
      </c>
      <c r="P934" s="2">
        <v>110</v>
      </c>
    </row>
    <row r="935" spans="15:16" x14ac:dyDescent="0.3">
      <c r="O935" s="2">
        <v>0.14000000000000001</v>
      </c>
      <c r="P935" s="2">
        <v>93</v>
      </c>
    </row>
    <row r="936" spans="15:16" x14ac:dyDescent="0.3">
      <c r="O936" s="2">
        <v>0.14000000000000001</v>
      </c>
      <c r="P936" s="2">
        <v>70</v>
      </c>
    </row>
    <row r="937" spans="15:16" x14ac:dyDescent="0.3">
      <c r="O937" s="2">
        <v>0.12</v>
      </c>
      <c r="P937" s="2">
        <v>47</v>
      </c>
    </row>
    <row r="938" spans="15:16" x14ac:dyDescent="0.3">
      <c r="O938" s="2">
        <v>0.12</v>
      </c>
      <c r="P938" s="2">
        <v>33</v>
      </c>
    </row>
    <row r="939" spans="15:16" x14ac:dyDescent="0.3">
      <c r="O939" s="2">
        <v>0.1</v>
      </c>
      <c r="P939" s="2">
        <v>12</v>
      </c>
    </row>
    <row r="940" spans="15:16" x14ac:dyDescent="0.3">
      <c r="O940" s="2">
        <v>0.1</v>
      </c>
      <c r="P940" s="2">
        <v>6</v>
      </c>
    </row>
    <row r="941" spans="15:16" x14ac:dyDescent="0.3">
      <c r="O941" s="2">
        <v>0.1</v>
      </c>
      <c r="P941" s="2">
        <v>3</v>
      </c>
    </row>
    <row r="942" spans="15:16" x14ac:dyDescent="0.3">
      <c r="O942" s="2">
        <v>0.08</v>
      </c>
      <c r="P942" s="2">
        <v>4</v>
      </c>
    </row>
    <row r="943" spans="15:16" x14ac:dyDescent="0.3">
      <c r="O943" s="2">
        <v>0.1</v>
      </c>
      <c r="P943" s="2">
        <v>23</v>
      </c>
    </row>
    <row r="944" spans="15:16" x14ac:dyDescent="0.3">
      <c r="O944" s="2">
        <v>0.08</v>
      </c>
      <c r="P944" s="2">
        <v>73</v>
      </c>
    </row>
    <row r="945" spans="15:16" x14ac:dyDescent="0.3">
      <c r="O945" s="2">
        <v>0.1</v>
      </c>
      <c r="P945" s="2">
        <v>212</v>
      </c>
    </row>
    <row r="946" spans="15:16" x14ac:dyDescent="0.3">
      <c r="O946" s="2">
        <v>0.12</v>
      </c>
      <c r="P946" s="2">
        <v>132</v>
      </c>
    </row>
    <row r="947" spans="15:16" x14ac:dyDescent="0.3">
      <c r="O947" s="2">
        <v>0.14000000000000001</v>
      </c>
      <c r="P947" s="2">
        <v>39</v>
      </c>
    </row>
    <row r="948" spans="15:16" x14ac:dyDescent="0.3">
      <c r="O948" s="2">
        <v>0.22</v>
      </c>
      <c r="P948" s="2">
        <v>52</v>
      </c>
    </row>
    <row r="949" spans="15:16" x14ac:dyDescent="0.3">
      <c r="O949" s="2">
        <v>0.22</v>
      </c>
      <c r="P949" s="2">
        <v>64</v>
      </c>
    </row>
    <row r="950" spans="15:16" x14ac:dyDescent="0.3">
      <c r="O950" s="2">
        <v>0.24</v>
      </c>
      <c r="P950" s="2">
        <v>89</v>
      </c>
    </row>
    <row r="951" spans="15:16" x14ac:dyDescent="0.3">
      <c r="O951" s="2">
        <v>0.3</v>
      </c>
      <c r="P951" s="2">
        <v>67</v>
      </c>
    </row>
    <row r="952" spans="15:16" x14ac:dyDescent="0.3">
      <c r="O952" s="2">
        <v>0.32</v>
      </c>
      <c r="P952" s="2">
        <v>62</v>
      </c>
    </row>
    <row r="953" spans="15:16" x14ac:dyDescent="0.3">
      <c r="O953" s="2">
        <v>0.3</v>
      </c>
      <c r="P953" s="2">
        <v>111</v>
      </c>
    </row>
    <row r="954" spans="15:16" x14ac:dyDescent="0.3">
      <c r="O954" s="2">
        <v>0.3</v>
      </c>
      <c r="P954" s="2">
        <v>193</v>
      </c>
    </row>
    <row r="955" spans="15:16" x14ac:dyDescent="0.3">
      <c r="O955" s="2">
        <v>0.28000000000000003</v>
      </c>
      <c r="P955" s="2">
        <v>165</v>
      </c>
    </row>
    <row r="956" spans="15:16" x14ac:dyDescent="0.3">
      <c r="O956" s="2">
        <v>0.26</v>
      </c>
      <c r="P956" s="2">
        <v>94</v>
      </c>
    </row>
    <row r="957" spans="15:16" x14ac:dyDescent="0.3">
      <c r="O957" s="2">
        <v>0.22</v>
      </c>
      <c r="P957" s="2">
        <v>61</v>
      </c>
    </row>
    <row r="958" spans="15:16" x14ac:dyDescent="0.3">
      <c r="O958" s="2">
        <v>0.2</v>
      </c>
      <c r="P958" s="2">
        <v>46</v>
      </c>
    </row>
    <row r="959" spans="15:16" x14ac:dyDescent="0.3">
      <c r="O959" s="2">
        <v>0.2</v>
      </c>
      <c r="P959" s="2">
        <v>41</v>
      </c>
    </row>
    <row r="960" spans="15:16" x14ac:dyDescent="0.3">
      <c r="O960" s="2">
        <v>0.18</v>
      </c>
      <c r="P960" s="2">
        <v>48</v>
      </c>
    </row>
    <row r="961" spans="15:16" x14ac:dyDescent="0.3">
      <c r="O961" s="2">
        <v>0.16</v>
      </c>
      <c r="P961" s="2">
        <v>27</v>
      </c>
    </row>
    <row r="962" spans="15:16" x14ac:dyDescent="0.3">
      <c r="O962" s="2">
        <v>0.14000000000000001</v>
      </c>
      <c r="P962" s="2">
        <v>22</v>
      </c>
    </row>
    <row r="963" spans="15:16" x14ac:dyDescent="0.3">
      <c r="O963" s="2">
        <v>0.14000000000000001</v>
      </c>
      <c r="P963" s="2">
        <v>13</v>
      </c>
    </row>
    <row r="964" spans="15:16" x14ac:dyDescent="0.3">
      <c r="O964" s="2">
        <v>0.12</v>
      </c>
      <c r="P964" s="2">
        <v>7</v>
      </c>
    </row>
    <row r="965" spans="15:16" x14ac:dyDescent="0.3">
      <c r="O965" s="2">
        <v>0.12</v>
      </c>
      <c r="P965" s="2">
        <v>4</v>
      </c>
    </row>
    <row r="966" spans="15:16" x14ac:dyDescent="0.3">
      <c r="O966" s="2">
        <v>0.12</v>
      </c>
      <c r="P966" s="2">
        <v>1</v>
      </c>
    </row>
    <row r="967" spans="15:16" x14ac:dyDescent="0.3">
      <c r="O967" s="2">
        <v>0.12</v>
      </c>
      <c r="P967" s="2">
        <v>1</v>
      </c>
    </row>
    <row r="968" spans="15:16" x14ac:dyDescent="0.3">
      <c r="O968" s="2">
        <v>0.12</v>
      </c>
      <c r="P968" s="2">
        <v>9</v>
      </c>
    </row>
    <row r="969" spans="15:16" x14ac:dyDescent="0.3">
      <c r="O969" s="2">
        <v>0.14000000000000001</v>
      </c>
      <c r="P969" s="2">
        <v>28</v>
      </c>
    </row>
    <row r="970" spans="15:16" x14ac:dyDescent="0.3">
      <c r="O970" s="2">
        <v>0.16</v>
      </c>
      <c r="P970" s="2">
        <v>38</v>
      </c>
    </row>
    <row r="971" spans="15:16" x14ac:dyDescent="0.3">
      <c r="O971" s="2">
        <v>0.22</v>
      </c>
      <c r="P971" s="2">
        <v>71</v>
      </c>
    </row>
    <row r="972" spans="15:16" x14ac:dyDescent="0.3">
      <c r="O972" s="2">
        <v>0.3</v>
      </c>
      <c r="P972" s="2">
        <v>84</v>
      </c>
    </row>
    <row r="973" spans="15:16" x14ac:dyDescent="0.3">
      <c r="O973" s="2">
        <v>0.3</v>
      </c>
      <c r="P973" s="2">
        <v>93</v>
      </c>
    </row>
    <row r="974" spans="15:16" x14ac:dyDescent="0.3">
      <c r="O974" s="2">
        <v>0.3</v>
      </c>
      <c r="P974" s="2">
        <v>103</v>
      </c>
    </row>
    <row r="975" spans="15:16" x14ac:dyDescent="0.3">
      <c r="O975" s="2">
        <v>0.34</v>
      </c>
      <c r="P975" s="2">
        <v>90</v>
      </c>
    </row>
    <row r="976" spans="15:16" x14ac:dyDescent="0.3">
      <c r="O976" s="2">
        <v>0.34</v>
      </c>
      <c r="P976" s="2">
        <v>127</v>
      </c>
    </row>
    <row r="977" spans="15:16" x14ac:dyDescent="0.3">
      <c r="O977" s="2">
        <v>0.34</v>
      </c>
      <c r="P977" s="2">
        <v>103</v>
      </c>
    </row>
    <row r="978" spans="15:16" x14ac:dyDescent="0.3">
      <c r="O978" s="2">
        <v>0.32</v>
      </c>
      <c r="P978" s="2">
        <v>113</v>
      </c>
    </row>
    <row r="979" spans="15:16" x14ac:dyDescent="0.3">
      <c r="O979" s="2">
        <v>0.28000000000000003</v>
      </c>
      <c r="P979" s="2">
        <v>60</v>
      </c>
    </row>
    <row r="980" spans="15:16" x14ac:dyDescent="0.3">
      <c r="O980" s="2">
        <v>0.28000000000000003</v>
      </c>
      <c r="P980" s="2">
        <v>39</v>
      </c>
    </row>
    <row r="981" spans="15:16" x14ac:dyDescent="0.3">
      <c r="O981" s="2">
        <v>0.26</v>
      </c>
      <c r="P981" s="2">
        <v>39</v>
      </c>
    </row>
    <row r="982" spans="15:16" x14ac:dyDescent="0.3">
      <c r="O982" s="2">
        <v>0.26</v>
      </c>
      <c r="P982" s="2">
        <v>42</v>
      </c>
    </row>
    <row r="983" spans="15:16" x14ac:dyDescent="0.3">
      <c r="O983" s="2">
        <v>0.24</v>
      </c>
      <c r="P983" s="2">
        <v>39</v>
      </c>
    </row>
    <row r="984" spans="15:16" x14ac:dyDescent="0.3">
      <c r="O984" s="2">
        <v>0.22</v>
      </c>
      <c r="P984" s="2">
        <v>31</v>
      </c>
    </row>
    <row r="985" spans="15:16" x14ac:dyDescent="0.3">
      <c r="O985" s="2">
        <v>0.2</v>
      </c>
      <c r="P985" s="2">
        <v>34</v>
      </c>
    </row>
    <row r="986" spans="15:16" x14ac:dyDescent="0.3">
      <c r="O986" s="2">
        <v>0.2</v>
      </c>
      <c r="P986" s="2">
        <v>23</v>
      </c>
    </row>
    <row r="987" spans="15:16" x14ac:dyDescent="0.3">
      <c r="O987" s="2">
        <v>0.2</v>
      </c>
      <c r="P987" s="2">
        <v>19</v>
      </c>
    </row>
    <row r="988" spans="15:16" x14ac:dyDescent="0.3">
      <c r="O988" s="2">
        <v>0.2</v>
      </c>
      <c r="P988" s="2">
        <v>8</v>
      </c>
    </row>
    <row r="989" spans="15:16" x14ac:dyDescent="0.3">
      <c r="O989" s="2">
        <v>0.2</v>
      </c>
      <c r="P989" s="2">
        <v>2</v>
      </c>
    </row>
    <row r="990" spans="15:16" x14ac:dyDescent="0.3">
      <c r="O990" s="2">
        <v>0.2</v>
      </c>
      <c r="P990" s="2">
        <v>3</v>
      </c>
    </row>
    <row r="991" spans="15:16" x14ac:dyDescent="0.3">
      <c r="O991" s="2">
        <v>0.22</v>
      </c>
      <c r="P991" s="2">
        <v>3</v>
      </c>
    </row>
    <row r="992" spans="15:16" x14ac:dyDescent="0.3">
      <c r="O992" s="2">
        <v>0.22</v>
      </c>
      <c r="P992" s="2">
        <v>11</v>
      </c>
    </row>
    <row r="993" spans="15:16" x14ac:dyDescent="0.3">
      <c r="O993" s="2">
        <v>0.24</v>
      </c>
      <c r="P993" s="2">
        <v>35</v>
      </c>
    </row>
    <row r="994" spans="15:16" x14ac:dyDescent="0.3">
      <c r="O994" s="2">
        <v>0.3</v>
      </c>
      <c r="P994" s="2">
        <v>86</v>
      </c>
    </row>
    <row r="995" spans="15:16" x14ac:dyDescent="0.3">
      <c r="O995" s="2">
        <v>0.32</v>
      </c>
      <c r="P995" s="2">
        <v>86</v>
      </c>
    </row>
    <row r="996" spans="15:16" x14ac:dyDescent="0.3">
      <c r="O996" s="2">
        <v>0.36</v>
      </c>
      <c r="P996" s="2">
        <v>94</v>
      </c>
    </row>
    <row r="997" spans="15:16" x14ac:dyDescent="0.3">
      <c r="O997" s="2">
        <v>0.38</v>
      </c>
      <c r="P997" s="2">
        <v>92</v>
      </c>
    </row>
    <row r="998" spans="15:16" x14ac:dyDescent="0.3">
      <c r="O998" s="2">
        <v>0.4</v>
      </c>
      <c r="P998" s="2">
        <v>110</v>
      </c>
    </row>
    <row r="999" spans="15:16" x14ac:dyDescent="0.3">
      <c r="O999" s="2">
        <v>0.4</v>
      </c>
      <c r="P999" s="2">
        <v>122</v>
      </c>
    </row>
    <row r="1000" spans="15:16" x14ac:dyDescent="0.3">
      <c r="O1000" s="2">
        <v>0.42</v>
      </c>
      <c r="P1000" s="2">
        <v>106</v>
      </c>
    </row>
    <row r="1001" spans="15:16" x14ac:dyDescent="0.3">
      <c r="O1001" s="2">
        <v>0.42</v>
      </c>
      <c r="P1001" s="2">
        <v>95</v>
      </c>
    </row>
    <row r="1002" spans="15:16" x14ac:dyDescent="0.3">
      <c r="O1002" s="2">
        <v>0.4</v>
      </c>
      <c r="P1002" s="2">
        <v>78</v>
      </c>
    </row>
    <row r="1003" spans="15:16" x14ac:dyDescent="0.3">
      <c r="O1003" s="2">
        <v>0.4</v>
      </c>
      <c r="P1003" s="2">
        <v>50</v>
      </c>
    </row>
    <row r="1004" spans="15:16" x14ac:dyDescent="0.3">
      <c r="O1004" s="2">
        <v>0.4</v>
      </c>
      <c r="P1004" s="2">
        <v>32</v>
      </c>
    </row>
    <row r="1005" spans="15:16" x14ac:dyDescent="0.3">
      <c r="O1005" s="2">
        <v>0.4</v>
      </c>
      <c r="P1005" s="2">
        <v>45</v>
      </c>
    </row>
    <row r="1006" spans="15:16" x14ac:dyDescent="0.3">
      <c r="O1006" s="2">
        <v>0.4</v>
      </c>
      <c r="P1006" s="2">
        <v>31</v>
      </c>
    </row>
    <row r="1007" spans="15:16" x14ac:dyDescent="0.3">
      <c r="O1007" s="2">
        <v>0.4</v>
      </c>
      <c r="P1007" s="2">
        <v>27</v>
      </c>
    </row>
    <row r="1008" spans="15:16" x14ac:dyDescent="0.3">
      <c r="O1008" s="2">
        <v>0.38</v>
      </c>
      <c r="P1008" s="2">
        <v>8</v>
      </c>
    </row>
    <row r="1009" spans="15:16" x14ac:dyDescent="0.3">
      <c r="O1009" s="2">
        <v>0.38</v>
      </c>
      <c r="P1009" s="2">
        <v>6</v>
      </c>
    </row>
    <row r="1010" spans="15:16" x14ac:dyDescent="0.3">
      <c r="O1010" s="2">
        <v>0.36</v>
      </c>
      <c r="P1010" s="2">
        <v>2</v>
      </c>
    </row>
    <row r="1011" spans="15:16" x14ac:dyDescent="0.3">
      <c r="O1011" s="2">
        <v>0.34</v>
      </c>
      <c r="P1011" s="2">
        <v>1</v>
      </c>
    </row>
    <row r="1012" spans="15:16" x14ac:dyDescent="0.3">
      <c r="O1012" s="2">
        <v>0.32</v>
      </c>
      <c r="P1012" s="2">
        <v>2</v>
      </c>
    </row>
    <row r="1013" spans="15:16" x14ac:dyDescent="0.3">
      <c r="O1013" s="2">
        <v>0.32</v>
      </c>
      <c r="P1013" s="2">
        <v>3</v>
      </c>
    </row>
    <row r="1014" spans="15:16" x14ac:dyDescent="0.3">
      <c r="O1014" s="2">
        <v>0.34</v>
      </c>
      <c r="P1014" s="2">
        <v>25</v>
      </c>
    </row>
    <row r="1015" spans="15:16" x14ac:dyDescent="0.3">
      <c r="O1015" s="2">
        <v>0.34</v>
      </c>
      <c r="P1015" s="2">
        <v>96</v>
      </c>
    </row>
  </sheetData>
  <sheetProtection pivotTables="0"/>
  <conditionalFormatting sqref="O15:O1015 AQ1002:AQ1048576">
    <cfRule type="cellIs" dxfId="0" priority="3" operator="greaterThan">
      <formula>0.24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95D6-21B8-4E16-8C18-1E0FA3988278}">
  <sheetPr codeName="Sheet1"/>
  <dimension ref="A1:Z764"/>
  <sheetViews>
    <sheetView zoomScale="69" workbookViewId="0">
      <selection activeCell="Z15" sqref="Z15"/>
    </sheetView>
  </sheetViews>
  <sheetFormatPr defaultRowHeight="14.4" x14ac:dyDescent="0.3"/>
  <cols>
    <col min="1" max="1" width="15.88671875" customWidth="1"/>
    <col min="2" max="2" width="13" customWidth="1"/>
    <col min="3" max="3" width="13.88671875" customWidth="1"/>
    <col min="4" max="4" width="28" customWidth="1"/>
    <col min="5" max="5" width="28.109375" customWidth="1"/>
  </cols>
  <sheetData>
    <row r="1" spans="1:26" x14ac:dyDescent="0.3">
      <c r="A1" t="s">
        <v>14</v>
      </c>
      <c r="B1" t="s">
        <v>0</v>
      </c>
      <c r="C1" t="s">
        <v>32</v>
      </c>
      <c r="D1" t="s">
        <v>33</v>
      </c>
      <c r="E1" t="s">
        <v>34</v>
      </c>
    </row>
    <row r="2" spans="1:26" x14ac:dyDescent="0.3">
      <c r="A2" s="13">
        <v>40544</v>
      </c>
      <c r="B2">
        <v>16</v>
      </c>
    </row>
    <row r="3" spans="1:26" x14ac:dyDescent="0.3">
      <c r="A3" s="13">
        <v>40545</v>
      </c>
      <c r="B3">
        <v>40</v>
      </c>
    </row>
    <row r="4" spans="1:26" x14ac:dyDescent="0.3">
      <c r="A4" s="13">
        <v>40546</v>
      </c>
      <c r="B4">
        <v>32</v>
      </c>
    </row>
    <row r="5" spans="1:26" x14ac:dyDescent="0.3">
      <c r="A5" s="13">
        <v>40547</v>
      </c>
      <c r="B5">
        <v>13</v>
      </c>
    </row>
    <row r="6" spans="1:26" x14ac:dyDescent="0.3">
      <c r="A6" s="13">
        <v>40548</v>
      </c>
      <c r="B6">
        <v>1</v>
      </c>
    </row>
    <row r="7" spans="1:26" x14ac:dyDescent="0.3">
      <c r="A7" s="13">
        <v>40549</v>
      </c>
      <c r="B7">
        <v>1</v>
      </c>
    </row>
    <row r="8" spans="1:26" x14ac:dyDescent="0.3">
      <c r="A8" s="13">
        <v>40550</v>
      </c>
      <c r="B8">
        <v>2</v>
      </c>
    </row>
    <row r="9" spans="1:26" x14ac:dyDescent="0.3">
      <c r="A9" s="13">
        <v>40551</v>
      </c>
      <c r="B9">
        <v>3</v>
      </c>
    </row>
    <row r="10" spans="1:26" x14ac:dyDescent="0.3">
      <c r="A10" s="13">
        <v>40552</v>
      </c>
      <c r="B10">
        <v>8</v>
      </c>
    </row>
    <row r="11" spans="1:26" x14ac:dyDescent="0.3">
      <c r="A11" s="13">
        <v>40553</v>
      </c>
      <c r="B11">
        <v>14</v>
      </c>
    </row>
    <row r="12" spans="1:26" x14ac:dyDescent="0.3">
      <c r="A12" s="13">
        <v>40554</v>
      </c>
      <c r="B12">
        <v>36</v>
      </c>
    </row>
    <row r="13" spans="1:26" x14ac:dyDescent="0.3">
      <c r="A13" s="13">
        <v>40555</v>
      </c>
      <c r="B13">
        <v>56</v>
      </c>
    </row>
    <row r="14" spans="1:26" x14ac:dyDescent="0.3">
      <c r="A14" s="13">
        <v>40556</v>
      </c>
      <c r="B14">
        <v>84</v>
      </c>
    </row>
    <row r="15" spans="1:26" x14ac:dyDescent="0.3">
      <c r="A15" s="13">
        <v>40557</v>
      </c>
      <c r="B15">
        <v>94</v>
      </c>
      <c r="Z15" s="15"/>
    </row>
    <row r="16" spans="1:26" x14ac:dyDescent="0.3">
      <c r="A16" s="13">
        <v>40558</v>
      </c>
      <c r="B16">
        <v>106</v>
      </c>
    </row>
    <row r="17" spans="1:2" x14ac:dyDescent="0.3">
      <c r="A17" s="13">
        <v>40559</v>
      </c>
      <c r="B17">
        <v>110</v>
      </c>
    </row>
    <row r="18" spans="1:2" x14ac:dyDescent="0.3">
      <c r="A18" s="13">
        <v>40560</v>
      </c>
      <c r="B18">
        <v>93</v>
      </c>
    </row>
    <row r="19" spans="1:2" x14ac:dyDescent="0.3">
      <c r="A19" s="13">
        <v>40561</v>
      </c>
      <c r="B19">
        <v>67</v>
      </c>
    </row>
    <row r="20" spans="1:2" x14ac:dyDescent="0.3">
      <c r="A20" s="13">
        <v>40562</v>
      </c>
      <c r="B20">
        <v>35</v>
      </c>
    </row>
    <row r="21" spans="1:2" x14ac:dyDescent="0.3">
      <c r="A21" s="13">
        <v>40563</v>
      </c>
      <c r="B21">
        <v>37</v>
      </c>
    </row>
    <row r="22" spans="1:2" x14ac:dyDescent="0.3">
      <c r="A22" s="13">
        <v>40564</v>
      </c>
      <c r="B22">
        <v>36</v>
      </c>
    </row>
    <row r="23" spans="1:2" x14ac:dyDescent="0.3">
      <c r="A23" s="13">
        <v>40565</v>
      </c>
      <c r="B23">
        <v>34</v>
      </c>
    </row>
    <row r="24" spans="1:2" x14ac:dyDescent="0.3">
      <c r="A24" s="13">
        <v>40566</v>
      </c>
      <c r="B24">
        <v>28</v>
      </c>
    </row>
    <row r="25" spans="1:2" x14ac:dyDescent="0.3">
      <c r="A25" s="13">
        <v>40567</v>
      </c>
      <c r="B25">
        <v>39</v>
      </c>
    </row>
    <row r="26" spans="1:2" x14ac:dyDescent="0.3">
      <c r="A26" s="13">
        <v>40568</v>
      </c>
      <c r="B26">
        <v>17</v>
      </c>
    </row>
    <row r="27" spans="1:2" x14ac:dyDescent="0.3">
      <c r="A27" s="13">
        <v>40569</v>
      </c>
      <c r="B27">
        <v>17</v>
      </c>
    </row>
    <row r="28" spans="1:2" x14ac:dyDescent="0.3">
      <c r="A28" s="13">
        <v>40570</v>
      </c>
      <c r="B28">
        <v>9</v>
      </c>
    </row>
    <row r="29" spans="1:2" x14ac:dyDescent="0.3">
      <c r="A29" s="13">
        <v>40571</v>
      </c>
      <c r="B29">
        <v>66.888888888888886</v>
      </c>
    </row>
    <row r="30" spans="1:2" x14ac:dyDescent="0.3">
      <c r="A30" s="13">
        <v>40572</v>
      </c>
      <c r="B30">
        <v>45.875</v>
      </c>
    </row>
    <row r="31" spans="1:2" x14ac:dyDescent="0.3">
      <c r="A31" s="13">
        <v>40573</v>
      </c>
      <c r="B31">
        <v>45.75</v>
      </c>
    </row>
    <row r="32" spans="1:2" x14ac:dyDescent="0.3">
      <c r="A32" s="13">
        <v>40574</v>
      </c>
      <c r="B32">
        <v>60.08</v>
      </c>
    </row>
    <row r="33" spans="1:2" x14ac:dyDescent="0.3">
      <c r="A33" s="13">
        <v>40575</v>
      </c>
      <c r="B33">
        <v>57</v>
      </c>
    </row>
    <row r="34" spans="1:2" x14ac:dyDescent="0.3">
      <c r="A34" s="13">
        <v>40576</v>
      </c>
      <c r="B34">
        <v>61.84</v>
      </c>
    </row>
    <row r="35" spans="1:2" x14ac:dyDescent="0.3">
      <c r="A35" s="13">
        <v>40577</v>
      </c>
      <c r="B35">
        <v>66.791666666666671</v>
      </c>
    </row>
    <row r="36" spans="1:2" x14ac:dyDescent="0.3">
      <c r="A36" s="13">
        <v>40578</v>
      </c>
      <c r="B36">
        <v>74.083333333333329</v>
      </c>
    </row>
    <row r="37" spans="1:2" x14ac:dyDescent="0.3">
      <c r="A37" s="13">
        <v>40579</v>
      </c>
      <c r="B37">
        <v>43.92</v>
      </c>
    </row>
    <row r="38" spans="1:2" x14ac:dyDescent="0.3">
      <c r="A38" s="13">
        <v>40580</v>
      </c>
      <c r="B38">
        <v>67.92</v>
      </c>
    </row>
    <row r="39" spans="1:2" x14ac:dyDescent="0.3">
      <c r="A39" s="13">
        <v>40581</v>
      </c>
      <c r="B39">
        <v>70.84</v>
      </c>
    </row>
    <row r="40" spans="1:2" x14ac:dyDescent="0.3">
      <c r="A40" s="13">
        <v>40582</v>
      </c>
      <c r="B40">
        <v>64.16</v>
      </c>
    </row>
    <row r="41" spans="1:2" x14ac:dyDescent="0.3">
      <c r="A41" s="13">
        <v>40583</v>
      </c>
      <c r="B41">
        <v>70.041666666666671</v>
      </c>
    </row>
    <row r="42" spans="1:2" x14ac:dyDescent="0.3">
      <c r="A42" s="13">
        <v>40584</v>
      </c>
      <c r="B42">
        <v>66.791666666666671</v>
      </c>
    </row>
    <row r="43" spans="1:2" x14ac:dyDescent="0.3">
      <c r="A43" s="13">
        <v>40585</v>
      </c>
      <c r="B43">
        <v>78.217391304347828</v>
      </c>
    </row>
    <row r="44" spans="1:2" x14ac:dyDescent="0.3">
      <c r="A44" s="13">
        <v>40586</v>
      </c>
      <c r="B44">
        <v>60.08</v>
      </c>
    </row>
    <row r="45" spans="1:2" x14ac:dyDescent="0.3">
      <c r="A45" s="13">
        <v>40587</v>
      </c>
      <c r="B45">
        <v>67.125</v>
      </c>
    </row>
    <row r="46" spans="1:2" x14ac:dyDescent="0.3">
      <c r="A46" s="13">
        <v>40588</v>
      </c>
      <c r="B46">
        <v>20.222222222222221</v>
      </c>
    </row>
    <row r="47" spans="1:2" x14ac:dyDescent="0.3">
      <c r="A47" s="13">
        <v>40589</v>
      </c>
      <c r="B47">
        <v>9</v>
      </c>
    </row>
    <row r="48" spans="1:2" x14ac:dyDescent="0.3">
      <c r="A48" s="13">
        <v>40590</v>
      </c>
      <c r="B48">
        <v>8</v>
      </c>
    </row>
    <row r="49" spans="1:2" x14ac:dyDescent="0.3">
      <c r="A49" s="13">
        <v>40591</v>
      </c>
      <c r="B49">
        <v>5</v>
      </c>
    </row>
    <row r="50" spans="1:2" x14ac:dyDescent="0.3">
      <c r="A50" s="13">
        <v>40592</v>
      </c>
      <c r="B50">
        <v>2</v>
      </c>
    </row>
    <row r="51" spans="1:2" x14ac:dyDescent="0.3">
      <c r="A51" s="13">
        <v>40593</v>
      </c>
      <c r="B51">
        <v>1</v>
      </c>
    </row>
    <row r="52" spans="1:2" x14ac:dyDescent="0.3">
      <c r="A52" s="13">
        <v>40594</v>
      </c>
      <c r="B52">
        <v>3</v>
      </c>
    </row>
    <row r="53" spans="1:2" x14ac:dyDescent="0.3">
      <c r="A53" s="13">
        <v>40595</v>
      </c>
      <c r="B53">
        <v>30</v>
      </c>
    </row>
    <row r="54" spans="1:2" x14ac:dyDescent="0.3">
      <c r="A54" s="13">
        <v>40596</v>
      </c>
      <c r="B54">
        <v>64</v>
      </c>
    </row>
    <row r="55" spans="1:2" x14ac:dyDescent="0.3">
      <c r="A55" s="13">
        <v>40597</v>
      </c>
      <c r="B55">
        <v>154</v>
      </c>
    </row>
    <row r="56" spans="1:2" x14ac:dyDescent="0.3">
      <c r="A56" s="13">
        <v>40598</v>
      </c>
      <c r="B56">
        <v>88</v>
      </c>
    </row>
    <row r="57" spans="1:2" x14ac:dyDescent="0.3">
      <c r="A57" s="13">
        <v>40599</v>
      </c>
      <c r="B57">
        <v>44</v>
      </c>
    </row>
    <row r="58" spans="1:2" x14ac:dyDescent="0.3">
      <c r="A58" s="13">
        <v>40600</v>
      </c>
      <c r="B58">
        <v>51</v>
      </c>
    </row>
    <row r="59" spans="1:2" x14ac:dyDescent="0.3">
      <c r="A59" s="13">
        <v>40601</v>
      </c>
      <c r="B59">
        <v>61</v>
      </c>
    </row>
    <row r="60" spans="1:2" x14ac:dyDescent="0.3">
      <c r="A60" s="13">
        <v>40602</v>
      </c>
      <c r="B60">
        <v>61</v>
      </c>
    </row>
    <row r="61" spans="1:2" x14ac:dyDescent="0.3">
      <c r="A61" s="13">
        <v>40603</v>
      </c>
      <c r="B61">
        <v>77</v>
      </c>
    </row>
    <row r="62" spans="1:2" x14ac:dyDescent="0.3">
      <c r="A62" s="13">
        <v>40604</v>
      </c>
      <c r="B62">
        <v>72</v>
      </c>
    </row>
    <row r="63" spans="1:2" x14ac:dyDescent="0.3">
      <c r="A63" s="13">
        <v>40605</v>
      </c>
      <c r="B63">
        <v>76</v>
      </c>
    </row>
    <row r="64" spans="1:2" x14ac:dyDescent="0.3">
      <c r="A64" s="13">
        <v>40606</v>
      </c>
      <c r="B64">
        <v>157</v>
      </c>
    </row>
    <row r="65" spans="1:2" x14ac:dyDescent="0.3">
      <c r="A65" s="13">
        <v>40607</v>
      </c>
      <c r="B65">
        <v>157</v>
      </c>
    </row>
    <row r="66" spans="1:2" x14ac:dyDescent="0.3">
      <c r="A66" s="13">
        <v>40608</v>
      </c>
      <c r="B66">
        <v>110</v>
      </c>
    </row>
    <row r="67" spans="1:2" x14ac:dyDescent="0.3">
      <c r="A67" s="13">
        <v>40609</v>
      </c>
      <c r="B67">
        <v>52</v>
      </c>
    </row>
    <row r="68" spans="1:2" x14ac:dyDescent="0.3">
      <c r="A68" s="13">
        <v>40610</v>
      </c>
      <c r="B68">
        <v>52</v>
      </c>
    </row>
    <row r="69" spans="1:2" x14ac:dyDescent="0.3">
      <c r="A69" s="13">
        <v>40611</v>
      </c>
      <c r="B69">
        <v>20</v>
      </c>
    </row>
    <row r="70" spans="1:2" x14ac:dyDescent="0.3">
      <c r="A70" s="13">
        <v>40612</v>
      </c>
      <c r="B70">
        <v>12</v>
      </c>
    </row>
    <row r="71" spans="1:2" x14ac:dyDescent="0.3">
      <c r="A71" s="13">
        <v>40613</v>
      </c>
      <c r="B71">
        <v>5</v>
      </c>
    </row>
    <row r="72" spans="1:2" x14ac:dyDescent="0.3">
      <c r="A72" s="13">
        <v>40614</v>
      </c>
      <c r="B72">
        <v>2</v>
      </c>
    </row>
    <row r="73" spans="1:2" x14ac:dyDescent="0.3">
      <c r="A73" s="13">
        <v>40615</v>
      </c>
      <c r="B73">
        <v>1</v>
      </c>
    </row>
    <row r="74" spans="1:2" x14ac:dyDescent="0.3">
      <c r="A74" s="13">
        <v>40616</v>
      </c>
      <c r="B74">
        <v>2</v>
      </c>
    </row>
    <row r="75" spans="1:2" x14ac:dyDescent="0.3">
      <c r="A75" s="13">
        <v>40617</v>
      </c>
      <c r="B75">
        <v>4</v>
      </c>
    </row>
    <row r="76" spans="1:2" x14ac:dyDescent="0.3">
      <c r="A76" s="13">
        <v>40618</v>
      </c>
      <c r="B76">
        <v>36</v>
      </c>
    </row>
    <row r="77" spans="1:2" x14ac:dyDescent="0.3">
      <c r="A77" s="13">
        <v>40619</v>
      </c>
      <c r="B77">
        <v>94</v>
      </c>
    </row>
    <row r="78" spans="1:2" x14ac:dyDescent="0.3">
      <c r="A78" s="13">
        <v>40620</v>
      </c>
      <c r="B78">
        <v>179</v>
      </c>
    </row>
    <row r="79" spans="1:2" x14ac:dyDescent="0.3">
      <c r="A79" s="13">
        <v>40621</v>
      </c>
      <c r="B79">
        <v>100</v>
      </c>
    </row>
    <row r="80" spans="1:2" x14ac:dyDescent="0.3">
      <c r="A80" s="13">
        <v>40622</v>
      </c>
      <c r="B80">
        <v>42</v>
      </c>
    </row>
    <row r="81" spans="1:2" x14ac:dyDescent="0.3">
      <c r="A81" s="13">
        <v>40623</v>
      </c>
      <c r="B81">
        <v>57</v>
      </c>
    </row>
    <row r="82" spans="1:2" x14ac:dyDescent="0.3">
      <c r="A82" s="13">
        <v>40624</v>
      </c>
      <c r="B82">
        <v>78</v>
      </c>
    </row>
    <row r="83" spans="1:2" x14ac:dyDescent="0.3">
      <c r="A83" s="13">
        <v>40625</v>
      </c>
      <c r="B83">
        <v>97</v>
      </c>
    </row>
    <row r="84" spans="1:2" x14ac:dyDescent="0.3">
      <c r="A84" s="13">
        <v>40626</v>
      </c>
      <c r="B84">
        <v>63</v>
      </c>
    </row>
    <row r="85" spans="1:2" x14ac:dyDescent="0.3">
      <c r="A85" s="13">
        <v>40627</v>
      </c>
      <c r="B85">
        <v>65</v>
      </c>
    </row>
    <row r="86" spans="1:2" x14ac:dyDescent="0.3">
      <c r="A86" s="13">
        <v>40628</v>
      </c>
      <c r="B86">
        <v>83</v>
      </c>
    </row>
    <row r="87" spans="1:2" x14ac:dyDescent="0.3">
      <c r="A87" s="13">
        <v>40629</v>
      </c>
      <c r="B87">
        <v>212</v>
      </c>
    </row>
    <row r="88" spans="1:2" x14ac:dyDescent="0.3">
      <c r="A88" s="13">
        <v>40630</v>
      </c>
      <c r="B88">
        <v>182</v>
      </c>
    </row>
    <row r="89" spans="1:2" x14ac:dyDescent="0.3">
      <c r="A89" s="13">
        <v>40631</v>
      </c>
      <c r="B89">
        <v>112</v>
      </c>
    </row>
    <row r="90" spans="1:2" x14ac:dyDescent="0.3">
      <c r="A90" s="13">
        <v>40632</v>
      </c>
      <c r="B90">
        <v>54</v>
      </c>
    </row>
    <row r="91" spans="1:2" x14ac:dyDescent="0.3">
      <c r="A91" s="13">
        <v>40633</v>
      </c>
      <c r="B91">
        <v>48</v>
      </c>
    </row>
    <row r="92" spans="1:2" x14ac:dyDescent="0.3">
      <c r="A92" s="13">
        <v>40634</v>
      </c>
      <c r="B92">
        <v>35</v>
      </c>
    </row>
    <row r="93" spans="1:2" x14ac:dyDescent="0.3">
      <c r="A93" s="13">
        <v>40635</v>
      </c>
      <c r="B93">
        <v>11</v>
      </c>
    </row>
    <row r="94" spans="1:2" x14ac:dyDescent="0.3">
      <c r="A94" s="13">
        <v>40636</v>
      </c>
      <c r="B94">
        <v>6</v>
      </c>
    </row>
    <row r="95" spans="1:2" x14ac:dyDescent="0.3">
      <c r="A95" s="13">
        <v>40637</v>
      </c>
      <c r="B95">
        <v>6</v>
      </c>
    </row>
    <row r="96" spans="1:2" x14ac:dyDescent="0.3">
      <c r="A96" s="13">
        <v>40638</v>
      </c>
      <c r="B96">
        <v>2</v>
      </c>
    </row>
    <row r="97" spans="1:2" x14ac:dyDescent="0.3">
      <c r="A97" s="13">
        <v>40639</v>
      </c>
      <c r="B97">
        <v>2</v>
      </c>
    </row>
    <row r="98" spans="1:2" x14ac:dyDescent="0.3">
      <c r="A98" s="13">
        <v>40640</v>
      </c>
      <c r="B98">
        <v>3</v>
      </c>
    </row>
    <row r="99" spans="1:2" x14ac:dyDescent="0.3">
      <c r="A99" s="13">
        <v>40641</v>
      </c>
      <c r="B99">
        <v>33</v>
      </c>
    </row>
    <row r="100" spans="1:2" x14ac:dyDescent="0.3">
      <c r="A100" s="13">
        <v>40642</v>
      </c>
      <c r="B100">
        <v>88</v>
      </c>
    </row>
    <row r="101" spans="1:2" x14ac:dyDescent="0.3">
      <c r="A101" s="13">
        <v>40643</v>
      </c>
      <c r="B101">
        <v>195</v>
      </c>
    </row>
    <row r="102" spans="1:2" x14ac:dyDescent="0.3">
      <c r="A102" s="13">
        <v>40644</v>
      </c>
      <c r="B102">
        <v>115</v>
      </c>
    </row>
    <row r="103" spans="1:2" x14ac:dyDescent="0.3">
      <c r="A103" s="13">
        <v>40645</v>
      </c>
      <c r="B103">
        <v>57</v>
      </c>
    </row>
    <row r="104" spans="1:2" x14ac:dyDescent="0.3">
      <c r="A104" s="13">
        <v>40646</v>
      </c>
      <c r="B104">
        <v>46</v>
      </c>
    </row>
    <row r="105" spans="1:2" x14ac:dyDescent="0.3">
      <c r="A105" s="13">
        <v>40647</v>
      </c>
      <c r="B105">
        <v>79</v>
      </c>
    </row>
    <row r="106" spans="1:2" x14ac:dyDescent="0.3">
      <c r="A106" s="13">
        <v>40648</v>
      </c>
      <c r="B106">
        <v>71</v>
      </c>
    </row>
    <row r="107" spans="1:2" x14ac:dyDescent="0.3">
      <c r="A107" s="13">
        <v>40649</v>
      </c>
      <c r="B107">
        <v>62</v>
      </c>
    </row>
    <row r="108" spans="1:2" x14ac:dyDescent="0.3">
      <c r="A108" s="13">
        <v>40650</v>
      </c>
      <c r="B108">
        <v>62</v>
      </c>
    </row>
    <row r="109" spans="1:2" x14ac:dyDescent="0.3">
      <c r="A109" s="13">
        <v>40651</v>
      </c>
      <c r="B109">
        <v>89</v>
      </c>
    </row>
    <row r="110" spans="1:2" x14ac:dyDescent="0.3">
      <c r="A110" s="13">
        <v>40652</v>
      </c>
      <c r="B110">
        <v>190</v>
      </c>
    </row>
    <row r="111" spans="1:2" x14ac:dyDescent="0.3">
      <c r="A111" s="13">
        <v>40653</v>
      </c>
      <c r="B111">
        <v>169</v>
      </c>
    </row>
    <row r="112" spans="1:2" x14ac:dyDescent="0.3">
      <c r="A112" s="13">
        <v>40654</v>
      </c>
      <c r="B112">
        <v>132</v>
      </c>
    </row>
    <row r="113" spans="1:2" x14ac:dyDescent="0.3">
      <c r="A113" s="13">
        <v>40655</v>
      </c>
      <c r="B113">
        <v>89</v>
      </c>
    </row>
    <row r="114" spans="1:2" x14ac:dyDescent="0.3">
      <c r="A114" s="13">
        <v>40656</v>
      </c>
      <c r="B114">
        <v>43</v>
      </c>
    </row>
    <row r="115" spans="1:2" x14ac:dyDescent="0.3">
      <c r="A115" s="13">
        <v>40657</v>
      </c>
      <c r="B115">
        <v>42</v>
      </c>
    </row>
    <row r="116" spans="1:2" x14ac:dyDescent="0.3">
      <c r="A116" s="13">
        <v>40658</v>
      </c>
      <c r="B116">
        <v>19</v>
      </c>
    </row>
    <row r="117" spans="1:2" x14ac:dyDescent="0.3">
      <c r="A117" s="13">
        <v>40659</v>
      </c>
      <c r="B117">
        <v>11</v>
      </c>
    </row>
    <row r="118" spans="1:2" x14ac:dyDescent="0.3">
      <c r="A118" s="13">
        <v>40660</v>
      </c>
      <c r="B118">
        <v>4</v>
      </c>
    </row>
    <row r="119" spans="1:2" x14ac:dyDescent="0.3">
      <c r="A119" s="13">
        <v>40661</v>
      </c>
      <c r="B119">
        <v>2</v>
      </c>
    </row>
    <row r="120" spans="1:2" x14ac:dyDescent="0.3">
      <c r="A120" s="13">
        <v>40662</v>
      </c>
      <c r="B120">
        <v>1</v>
      </c>
    </row>
    <row r="121" spans="1:2" x14ac:dyDescent="0.3">
      <c r="A121" s="13">
        <v>40663</v>
      </c>
      <c r="B121">
        <v>4</v>
      </c>
    </row>
    <row r="122" spans="1:2" x14ac:dyDescent="0.3">
      <c r="A122" s="13">
        <v>40664</v>
      </c>
      <c r="B122">
        <v>36</v>
      </c>
    </row>
    <row r="123" spans="1:2" x14ac:dyDescent="0.3">
      <c r="A123" s="13">
        <v>40665</v>
      </c>
      <c r="B123">
        <v>95</v>
      </c>
    </row>
    <row r="124" spans="1:2" x14ac:dyDescent="0.3">
      <c r="A124" s="13">
        <v>40666</v>
      </c>
      <c r="B124">
        <v>219</v>
      </c>
    </row>
    <row r="125" spans="1:2" x14ac:dyDescent="0.3">
      <c r="A125" s="13">
        <v>40667</v>
      </c>
      <c r="B125">
        <v>122</v>
      </c>
    </row>
    <row r="126" spans="1:2" x14ac:dyDescent="0.3">
      <c r="A126" s="13">
        <v>40668</v>
      </c>
      <c r="B126">
        <v>45</v>
      </c>
    </row>
    <row r="127" spans="1:2" x14ac:dyDescent="0.3">
      <c r="A127" s="13">
        <v>40669</v>
      </c>
      <c r="B127">
        <v>59</v>
      </c>
    </row>
    <row r="128" spans="1:2" x14ac:dyDescent="0.3">
      <c r="A128" s="13">
        <v>40670</v>
      </c>
      <c r="B128">
        <v>84</v>
      </c>
    </row>
    <row r="129" spans="1:2" x14ac:dyDescent="0.3">
      <c r="A129" s="13">
        <v>40671</v>
      </c>
      <c r="B129">
        <v>67</v>
      </c>
    </row>
    <row r="130" spans="1:2" x14ac:dyDescent="0.3">
      <c r="A130" s="13">
        <v>40672</v>
      </c>
      <c r="B130">
        <v>70</v>
      </c>
    </row>
    <row r="131" spans="1:2" x14ac:dyDescent="0.3">
      <c r="A131" s="13">
        <v>40673</v>
      </c>
      <c r="B131">
        <v>62</v>
      </c>
    </row>
    <row r="132" spans="1:2" x14ac:dyDescent="0.3">
      <c r="A132" s="13">
        <v>40674</v>
      </c>
      <c r="B132">
        <v>86</v>
      </c>
    </row>
    <row r="133" spans="1:2" x14ac:dyDescent="0.3">
      <c r="A133" s="13">
        <v>40675</v>
      </c>
      <c r="B133">
        <v>172</v>
      </c>
    </row>
    <row r="134" spans="1:2" x14ac:dyDescent="0.3">
      <c r="A134" s="13">
        <v>40676</v>
      </c>
      <c r="B134">
        <v>163</v>
      </c>
    </row>
    <row r="135" spans="1:2" x14ac:dyDescent="0.3">
      <c r="A135" s="13">
        <v>40677</v>
      </c>
      <c r="B135">
        <v>112</v>
      </c>
    </row>
    <row r="136" spans="1:2" x14ac:dyDescent="0.3">
      <c r="A136" s="13">
        <v>40678</v>
      </c>
      <c r="B136">
        <v>69</v>
      </c>
    </row>
    <row r="137" spans="1:2" x14ac:dyDescent="0.3">
      <c r="A137" s="13">
        <v>40679</v>
      </c>
      <c r="B137">
        <v>48</v>
      </c>
    </row>
    <row r="138" spans="1:2" x14ac:dyDescent="0.3">
      <c r="A138" s="13">
        <v>40680</v>
      </c>
      <c r="B138">
        <v>52</v>
      </c>
    </row>
    <row r="139" spans="1:2" x14ac:dyDescent="0.3">
      <c r="A139" s="13">
        <v>40681</v>
      </c>
      <c r="B139">
        <v>23</v>
      </c>
    </row>
    <row r="140" spans="1:2" x14ac:dyDescent="0.3">
      <c r="A140" s="13">
        <v>40682</v>
      </c>
      <c r="B140">
        <v>17</v>
      </c>
    </row>
    <row r="141" spans="1:2" x14ac:dyDescent="0.3">
      <c r="A141" s="13">
        <v>40683</v>
      </c>
      <c r="B141">
        <v>7</v>
      </c>
    </row>
    <row r="142" spans="1:2" x14ac:dyDescent="0.3">
      <c r="A142" s="13">
        <v>40684</v>
      </c>
      <c r="B142">
        <v>1</v>
      </c>
    </row>
    <row r="143" spans="1:2" x14ac:dyDescent="0.3">
      <c r="A143" s="13">
        <v>40685</v>
      </c>
      <c r="B143">
        <v>1</v>
      </c>
    </row>
    <row r="144" spans="1:2" x14ac:dyDescent="0.3">
      <c r="A144" s="13">
        <v>40686</v>
      </c>
      <c r="B144">
        <v>5</v>
      </c>
    </row>
    <row r="145" spans="1:2" x14ac:dyDescent="0.3">
      <c r="A145" s="13">
        <v>40687</v>
      </c>
      <c r="B145">
        <v>34</v>
      </c>
    </row>
    <row r="146" spans="1:2" x14ac:dyDescent="0.3">
      <c r="A146" s="13">
        <v>40688</v>
      </c>
      <c r="B146">
        <v>84</v>
      </c>
    </row>
    <row r="147" spans="1:2" x14ac:dyDescent="0.3">
      <c r="A147" s="13">
        <v>40689</v>
      </c>
      <c r="B147">
        <v>210</v>
      </c>
    </row>
    <row r="148" spans="1:2" x14ac:dyDescent="0.3">
      <c r="A148" s="13">
        <v>40690</v>
      </c>
      <c r="B148">
        <v>134</v>
      </c>
    </row>
    <row r="149" spans="1:2" x14ac:dyDescent="0.3">
      <c r="A149" s="13">
        <v>40691</v>
      </c>
      <c r="B149">
        <v>63</v>
      </c>
    </row>
    <row r="150" spans="1:2" x14ac:dyDescent="0.3">
      <c r="A150" s="13">
        <v>40692</v>
      </c>
      <c r="B150">
        <v>67</v>
      </c>
    </row>
    <row r="151" spans="1:2" x14ac:dyDescent="0.3">
      <c r="A151" s="13">
        <v>40693</v>
      </c>
      <c r="B151">
        <v>59</v>
      </c>
    </row>
    <row r="152" spans="1:2" x14ac:dyDescent="0.3">
      <c r="A152" s="13">
        <v>40694</v>
      </c>
      <c r="B152">
        <v>73</v>
      </c>
    </row>
    <row r="153" spans="1:2" x14ac:dyDescent="0.3">
      <c r="A153" s="13">
        <v>40695</v>
      </c>
      <c r="B153">
        <v>50</v>
      </c>
    </row>
    <row r="154" spans="1:2" x14ac:dyDescent="0.3">
      <c r="A154" s="13">
        <v>40696</v>
      </c>
      <c r="B154">
        <v>72</v>
      </c>
    </row>
    <row r="155" spans="1:2" x14ac:dyDescent="0.3">
      <c r="A155" s="13">
        <v>40697</v>
      </c>
      <c r="B155">
        <v>87</v>
      </c>
    </row>
    <row r="156" spans="1:2" x14ac:dyDescent="0.3">
      <c r="A156" s="13">
        <v>40698</v>
      </c>
      <c r="B156">
        <v>187</v>
      </c>
    </row>
    <row r="157" spans="1:2" x14ac:dyDescent="0.3">
      <c r="A157" s="13">
        <v>40699</v>
      </c>
      <c r="B157">
        <v>123</v>
      </c>
    </row>
    <row r="158" spans="1:2" x14ac:dyDescent="0.3">
      <c r="A158" s="13">
        <v>40700</v>
      </c>
      <c r="B158">
        <v>95</v>
      </c>
    </row>
    <row r="159" spans="1:2" x14ac:dyDescent="0.3">
      <c r="A159" s="13">
        <v>40701</v>
      </c>
      <c r="B159">
        <v>51</v>
      </c>
    </row>
    <row r="160" spans="1:2" x14ac:dyDescent="0.3">
      <c r="A160" s="13">
        <v>40702</v>
      </c>
      <c r="B160">
        <v>39</v>
      </c>
    </row>
    <row r="161" spans="1:2" x14ac:dyDescent="0.3">
      <c r="A161" s="13">
        <v>40703</v>
      </c>
      <c r="B161">
        <v>36</v>
      </c>
    </row>
    <row r="162" spans="1:2" x14ac:dyDescent="0.3">
      <c r="A162" s="13">
        <v>40704</v>
      </c>
      <c r="B162">
        <v>15</v>
      </c>
    </row>
    <row r="163" spans="1:2" x14ac:dyDescent="0.3">
      <c r="A163" s="13">
        <v>40705</v>
      </c>
      <c r="B163">
        <v>25</v>
      </c>
    </row>
    <row r="164" spans="1:2" x14ac:dyDescent="0.3">
      <c r="A164" s="13">
        <v>40706</v>
      </c>
      <c r="B164">
        <v>16</v>
      </c>
    </row>
    <row r="165" spans="1:2" x14ac:dyDescent="0.3">
      <c r="A165" s="13">
        <v>40707</v>
      </c>
      <c r="B165">
        <v>16</v>
      </c>
    </row>
    <row r="166" spans="1:2" x14ac:dyDescent="0.3">
      <c r="A166" s="13">
        <v>40708</v>
      </c>
      <c r="B166">
        <v>7</v>
      </c>
    </row>
    <row r="167" spans="1:2" x14ac:dyDescent="0.3">
      <c r="A167" s="13">
        <v>40709</v>
      </c>
      <c r="B167">
        <v>1</v>
      </c>
    </row>
    <row r="168" spans="1:2" x14ac:dyDescent="0.3">
      <c r="A168" s="13">
        <v>40710</v>
      </c>
      <c r="B168">
        <v>5</v>
      </c>
    </row>
    <row r="169" spans="1:2" x14ac:dyDescent="0.3">
      <c r="A169" s="13">
        <v>40711</v>
      </c>
      <c r="B169">
        <v>2</v>
      </c>
    </row>
    <row r="170" spans="1:2" x14ac:dyDescent="0.3">
      <c r="A170" s="13">
        <v>40712</v>
      </c>
      <c r="B170">
        <v>9</v>
      </c>
    </row>
    <row r="171" spans="1:2" x14ac:dyDescent="0.3">
      <c r="A171" s="13">
        <v>40713</v>
      </c>
      <c r="B171">
        <v>15</v>
      </c>
    </row>
    <row r="172" spans="1:2" x14ac:dyDescent="0.3">
      <c r="A172" s="13">
        <v>40714</v>
      </c>
      <c r="B172">
        <v>20</v>
      </c>
    </row>
    <row r="173" spans="1:2" x14ac:dyDescent="0.3">
      <c r="A173" s="13">
        <v>40715</v>
      </c>
      <c r="B173">
        <v>61</v>
      </c>
    </row>
    <row r="174" spans="1:2" x14ac:dyDescent="0.3">
      <c r="A174" s="13">
        <v>40716</v>
      </c>
      <c r="B174">
        <v>62</v>
      </c>
    </row>
    <row r="175" spans="1:2" x14ac:dyDescent="0.3">
      <c r="A175" s="13">
        <v>40717</v>
      </c>
      <c r="B175">
        <v>98</v>
      </c>
    </row>
    <row r="176" spans="1:2" x14ac:dyDescent="0.3">
      <c r="A176" s="13">
        <v>40718</v>
      </c>
      <c r="B176">
        <v>102</v>
      </c>
    </row>
    <row r="177" spans="1:2" x14ac:dyDescent="0.3">
      <c r="A177" s="13">
        <v>40719</v>
      </c>
      <c r="B177">
        <v>95</v>
      </c>
    </row>
    <row r="178" spans="1:2" x14ac:dyDescent="0.3">
      <c r="A178" s="13">
        <v>40720</v>
      </c>
      <c r="B178">
        <v>74</v>
      </c>
    </row>
    <row r="179" spans="1:2" x14ac:dyDescent="0.3">
      <c r="A179" s="13">
        <v>40721</v>
      </c>
      <c r="B179">
        <v>76</v>
      </c>
    </row>
    <row r="180" spans="1:2" x14ac:dyDescent="0.3">
      <c r="A180" s="13">
        <v>40722</v>
      </c>
      <c r="B180">
        <v>69</v>
      </c>
    </row>
    <row r="181" spans="1:2" x14ac:dyDescent="0.3">
      <c r="A181" s="13">
        <v>40723</v>
      </c>
      <c r="B181">
        <v>55</v>
      </c>
    </row>
    <row r="182" spans="1:2" x14ac:dyDescent="0.3">
      <c r="A182" s="13">
        <v>40724</v>
      </c>
      <c r="B182">
        <v>30</v>
      </c>
    </row>
    <row r="183" spans="1:2" x14ac:dyDescent="0.3">
      <c r="A183" s="13">
        <v>40725</v>
      </c>
      <c r="B183">
        <v>28</v>
      </c>
    </row>
    <row r="184" spans="1:2" x14ac:dyDescent="0.3">
      <c r="A184" s="13">
        <v>40726</v>
      </c>
      <c r="B184">
        <v>37</v>
      </c>
    </row>
    <row r="185" spans="1:2" x14ac:dyDescent="0.3">
      <c r="A185" s="13">
        <v>40727</v>
      </c>
      <c r="B185">
        <v>34</v>
      </c>
    </row>
    <row r="186" spans="1:2" x14ac:dyDescent="0.3">
      <c r="A186" s="13">
        <v>40728</v>
      </c>
      <c r="B186">
        <v>22</v>
      </c>
    </row>
    <row r="187" spans="1:2" x14ac:dyDescent="0.3">
      <c r="A187" s="13">
        <v>40729</v>
      </c>
      <c r="B187">
        <v>25</v>
      </c>
    </row>
    <row r="188" spans="1:2" x14ac:dyDescent="0.3">
      <c r="A188" s="13">
        <v>40730</v>
      </c>
      <c r="B188">
        <v>12</v>
      </c>
    </row>
    <row r="189" spans="1:2" x14ac:dyDescent="0.3">
      <c r="A189" s="13">
        <v>40731</v>
      </c>
      <c r="B189">
        <v>11</v>
      </c>
    </row>
    <row r="190" spans="1:2" x14ac:dyDescent="0.3">
      <c r="A190" s="13">
        <v>40732</v>
      </c>
      <c r="B190">
        <v>4</v>
      </c>
    </row>
    <row r="191" spans="1:2" x14ac:dyDescent="0.3">
      <c r="A191" s="13">
        <v>40733</v>
      </c>
      <c r="B191">
        <v>1</v>
      </c>
    </row>
    <row r="192" spans="1:2" x14ac:dyDescent="0.3">
      <c r="A192" s="13">
        <v>40734</v>
      </c>
      <c r="B192">
        <v>1</v>
      </c>
    </row>
    <row r="193" spans="1:2" x14ac:dyDescent="0.3">
      <c r="A193" s="13">
        <v>40735</v>
      </c>
      <c r="B193">
        <v>1</v>
      </c>
    </row>
    <row r="194" spans="1:2" x14ac:dyDescent="0.3">
      <c r="A194" s="13">
        <v>40736</v>
      </c>
      <c r="B194">
        <v>6</v>
      </c>
    </row>
    <row r="195" spans="1:2" x14ac:dyDescent="0.3">
      <c r="A195" s="13">
        <v>40737</v>
      </c>
      <c r="B195">
        <v>10</v>
      </c>
    </row>
    <row r="196" spans="1:2" x14ac:dyDescent="0.3">
      <c r="A196" s="13">
        <v>40738</v>
      </c>
      <c r="B196">
        <v>19</v>
      </c>
    </row>
    <row r="197" spans="1:2" x14ac:dyDescent="0.3">
      <c r="A197" s="13">
        <v>40739</v>
      </c>
      <c r="B197">
        <v>49</v>
      </c>
    </row>
    <row r="198" spans="1:2" x14ac:dyDescent="0.3">
      <c r="A198" s="13">
        <v>40740</v>
      </c>
      <c r="B198">
        <v>49</v>
      </c>
    </row>
    <row r="199" spans="1:2" x14ac:dyDescent="0.3">
      <c r="A199" s="13">
        <v>40741</v>
      </c>
      <c r="B199">
        <v>83</v>
      </c>
    </row>
    <row r="200" spans="1:2" x14ac:dyDescent="0.3">
      <c r="A200" s="13">
        <v>40742</v>
      </c>
      <c r="B200">
        <v>75</v>
      </c>
    </row>
    <row r="201" spans="1:2" x14ac:dyDescent="0.3">
      <c r="A201" s="13">
        <v>40743</v>
      </c>
      <c r="B201">
        <v>72</v>
      </c>
    </row>
    <row r="202" spans="1:2" x14ac:dyDescent="0.3">
      <c r="A202" s="13">
        <v>40744</v>
      </c>
      <c r="B202">
        <v>82</v>
      </c>
    </row>
    <row r="203" spans="1:2" x14ac:dyDescent="0.3">
      <c r="A203" s="13">
        <v>40745</v>
      </c>
      <c r="B203">
        <v>92</v>
      </c>
    </row>
    <row r="204" spans="1:2" x14ac:dyDescent="0.3">
      <c r="A204" s="13">
        <v>40746</v>
      </c>
      <c r="B204">
        <v>62</v>
      </c>
    </row>
    <row r="205" spans="1:2" x14ac:dyDescent="0.3">
      <c r="A205" s="13">
        <v>40747</v>
      </c>
      <c r="B205">
        <v>48</v>
      </c>
    </row>
    <row r="206" spans="1:2" x14ac:dyDescent="0.3">
      <c r="A206" s="13">
        <v>40748</v>
      </c>
      <c r="B206">
        <v>41</v>
      </c>
    </row>
    <row r="207" spans="1:2" x14ac:dyDescent="0.3">
      <c r="A207" s="13">
        <v>40749</v>
      </c>
      <c r="B207">
        <v>38</v>
      </c>
    </row>
    <row r="208" spans="1:2" x14ac:dyDescent="0.3">
      <c r="A208" s="13">
        <v>40750</v>
      </c>
      <c r="B208">
        <v>20</v>
      </c>
    </row>
    <row r="209" spans="1:2" x14ac:dyDescent="0.3">
      <c r="A209" s="13">
        <v>40751</v>
      </c>
      <c r="B209">
        <v>15</v>
      </c>
    </row>
    <row r="210" spans="1:2" x14ac:dyDescent="0.3">
      <c r="A210" s="13">
        <v>40752</v>
      </c>
      <c r="B210">
        <v>6</v>
      </c>
    </row>
    <row r="211" spans="1:2" x14ac:dyDescent="0.3">
      <c r="A211" s="13">
        <v>40753</v>
      </c>
      <c r="B211">
        <v>5</v>
      </c>
    </row>
    <row r="212" spans="1:2" x14ac:dyDescent="0.3">
      <c r="A212" s="13">
        <v>40754</v>
      </c>
      <c r="B212">
        <v>1</v>
      </c>
    </row>
    <row r="213" spans="1:2" x14ac:dyDescent="0.3">
      <c r="A213" s="13">
        <v>40755</v>
      </c>
      <c r="B213">
        <v>3</v>
      </c>
    </row>
    <row r="214" spans="1:2" x14ac:dyDescent="0.3">
      <c r="A214" s="13">
        <v>40756</v>
      </c>
      <c r="B214">
        <v>1</v>
      </c>
    </row>
    <row r="215" spans="1:2" x14ac:dyDescent="0.3">
      <c r="A215" s="13">
        <v>40757</v>
      </c>
      <c r="B215">
        <v>3</v>
      </c>
    </row>
    <row r="216" spans="1:2" x14ac:dyDescent="0.3">
      <c r="A216" s="13">
        <v>40758</v>
      </c>
      <c r="B216">
        <v>3</v>
      </c>
    </row>
    <row r="217" spans="1:2" x14ac:dyDescent="0.3">
      <c r="A217" s="13">
        <v>40759</v>
      </c>
      <c r="B217">
        <v>31</v>
      </c>
    </row>
    <row r="218" spans="1:2" x14ac:dyDescent="0.3">
      <c r="A218" s="13">
        <v>40760</v>
      </c>
      <c r="B218">
        <v>77</v>
      </c>
    </row>
    <row r="219" spans="1:2" x14ac:dyDescent="0.3">
      <c r="A219" s="13">
        <v>40761</v>
      </c>
      <c r="B219">
        <v>188</v>
      </c>
    </row>
    <row r="220" spans="1:2" x14ac:dyDescent="0.3">
      <c r="A220" s="13">
        <v>40762</v>
      </c>
      <c r="B220">
        <v>94</v>
      </c>
    </row>
    <row r="221" spans="1:2" x14ac:dyDescent="0.3">
      <c r="A221" s="13">
        <v>40763</v>
      </c>
      <c r="B221">
        <v>31</v>
      </c>
    </row>
    <row r="222" spans="1:2" x14ac:dyDescent="0.3">
      <c r="A222" s="13">
        <v>40764</v>
      </c>
      <c r="B222">
        <v>30</v>
      </c>
    </row>
    <row r="223" spans="1:2" x14ac:dyDescent="0.3">
      <c r="A223" s="13">
        <v>40765</v>
      </c>
      <c r="B223">
        <v>52</v>
      </c>
    </row>
    <row r="224" spans="1:2" x14ac:dyDescent="0.3">
      <c r="A224" s="13">
        <v>40766</v>
      </c>
      <c r="B224">
        <v>54</v>
      </c>
    </row>
    <row r="225" spans="1:2" x14ac:dyDescent="0.3">
      <c r="A225" s="13">
        <v>40767</v>
      </c>
      <c r="B225">
        <v>47</v>
      </c>
    </row>
    <row r="226" spans="1:2" x14ac:dyDescent="0.3">
      <c r="A226" s="13">
        <v>40768</v>
      </c>
      <c r="B226">
        <v>45</v>
      </c>
    </row>
    <row r="227" spans="1:2" x14ac:dyDescent="0.3">
      <c r="A227" s="13">
        <v>40769</v>
      </c>
      <c r="B227">
        <v>74</v>
      </c>
    </row>
    <row r="228" spans="1:2" x14ac:dyDescent="0.3">
      <c r="A228" s="13">
        <v>40770</v>
      </c>
      <c r="B228">
        <v>178</v>
      </c>
    </row>
    <row r="229" spans="1:2" x14ac:dyDescent="0.3">
      <c r="A229" s="13">
        <v>40771</v>
      </c>
      <c r="B229">
        <v>155</v>
      </c>
    </row>
    <row r="230" spans="1:2" x14ac:dyDescent="0.3">
      <c r="A230" s="13">
        <v>40772</v>
      </c>
      <c r="B230">
        <v>95</v>
      </c>
    </row>
    <row r="231" spans="1:2" x14ac:dyDescent="0.3">
      <c r="A231" s="13">
        <v>40773</v>
      </c>
      <c r="B231">
        <v>74</v>
      </c>
    </row>
    <row r="232" spans="1:2" x14ac:dyDescent="0.3">
      <c r="A232" s="13">
        <v>40774</v>
      </c>
      <c r="B232">
        <v>38</v>
      </c>
    </row>
    <row r="233" spans="1:2" x14ac:dyDescent="0.3">
      <c r="A233" s="13">
        <v>40775</v>
      </c>
      <c r="B233">
        <v>24</v>
      </c>
    </row>
    <row r="234" spans="1:2" x14ac:dyDescent="0.3">
      <c r="A234" s="13">
        <v>40776</v>
      </c>
      <c r="B234">
        <v>18</v>
      </c>
    </row>
    <row r="235" spans="1:2" x14ac:dyDescent="0.3">
      <c r="A235" s="13">
        <v>40777</v>
      </c>
      <c r="B235">
        <v>12</v>
      </c>
    </row>
    <row r="236" spans="1:2" x14ac:dyDescent="0.3">
      <c r="A236" s="13">
        <v>40778</v>
      </c>
      <c r="B236">
        <v>3</v>
      </c>
    </row>
    <row r="237" spans="1:2" x14ac:dyDescent="0.3">
      <c r="A237" s="13">
        <v>40779</v>
      </c>
      <c r="B237">
        <v>3</v>
      </c>
    </row>
    <row r="238" spans="1:2" x14ac:dyDescent="0.3">
      <c r="A238" s="13">
        <v>40780</v>
      </c>
      <c r="B238">
        <v>6</v>
      </c>
    </row>
    <row r="239" spans="1:2" x14ac:dyDescent="0.3">
      <c r="A239" s="13">
        <v>40781</v>
      </c>
      <c r="B239">
        <v>27</v>
      </c>
    </row>
    <row r="240" spans="1:2" x14ac:dyDescent="0.3">
      <c r="A240" s="13">
        <v>40782</v>
      </c>
      <c r="B240">
        <v>99</v>
      </c>
    </row>
    <row r="241" spans="1:2" x14ac:dyDescent="0.3">
      <c r="A241" s="13">
        <v>40783</v>
      </c>
      <c r="B241">
        <v>217</v>
      </c>
    </row>
    <row r="242" spans="1:2" x14ac:dyDescent="0.3">
      <c r="A242" s="13">
        <v>40784</v>
      </c>
      <c r="B242">
        <v>130</v>
      </c>
    </row>
    <row r="243" spans="1:2" x14ac:dyDescent="0.3">
      <c r="A243" s="13">
        <v>40785</v>
      </c>
      <c r="B243">
        <v>54</v>
      </c>
    </row>
    <row r="244" spans="1:2" x14ac:dyDescent="0.3">
      <c r="A244" s="13">
        <v>40786</v>
      </c>
      <c r="B244">
        <v>35</v>
      </c>
    </row>
    <row r="245" spans="1:2" x14ac:dyDescent="0.3">
      <c r="A245" s="13">
        <v>40787</v>
      </c>
      <c r="B245">
        <v>57</v>
      </c>
    </row>
    <row r="246" spans="1:2" x14ac:dyDescent="0.3">
      <c r="A246" s="13">
        <v>40788</v>
      </c>
      <c r="B246">
        <v>52</v>
      </c>
    </row>
    <row r="247" spans="1:2" x14ac:dyDescent="0.3">
      <c r="A247" s="13">
        <v>40789</v>
      </c>
      <c r="B247">
        <v>63</v>
      </c>
    </row>
    <row r="248" spans="1:2" x14ac:dyDescent="0.3">
      <c r="A248" s="13">
        <v>40790</v>
      </c>
      <c r="B248">
        <v>47</v>
      </c>
    </row>
    <row r="249" spans="1:2" x14ac:dyDescent="0.3">
      <c r="A249" s="13">
        <v>40791</v>
      </c>
      <c r="B249">
        <v>76</v>
      </c>
    </row>
    <row r="250" spans="1:2" x14ac:dyDescent="0.3">
      <c r="A250" s="13">
        <v>40792</v>
      </c>
      <c r="B250">
        <v>136</v>
      </c>
    </row>
    <row r="251" spans="1:2" x14ac:dyDescent="0.3">
      <c r="A251" s="13">
        <v>40793</v>
      </c>
      <c r="B251">
        <v>95</v>
      </c>
    </row>
    <row r="252" spans="1:2" x14ac:dyDescent="0.3">
      <c r="A252" s="13">
        <v>40794</v>
      </c>
      <c r="B252">
        <v>51</v>
      </c>
    </row>
    <row r="253" spans="1:2" x14ac:dyDescent="0.3">
      <c r="A253" s="13">
        <v>40795</v>
      </c>
      <c r="B253">
        <v>32</v>
      </c>
    </row>
    <row r="254" spans="1:2" x14ac:dyDescent="0.3">
      <c r="A254" s="13">
        <v>40796</v>
      </c>
      <c r="B254">
        <v>20</v>
      </c>
    </row>
    <row r="255" spans="1:2" x14ac:dyDescent="0.3">
      <c r="A255" s="13">
        <v>40797</v>
      </c>
      <c r="B255">
        <v>29</v>
      </c>
    </row>
    <row r="256" spans="1:2" x14ac:dyDescent="0.3">
      <c r="A256" s="13">
        <v>40798</v>
      </c>
      <c r="B256">
        <v>19</v>
      </c>
    </row>
    <row r="257" spans="1:2" x14ac:dyDescent="0.3">
      <c r="A257" s="13">
        <v>40799</v>
      </c>
      <c r="B257">
        <v>7</v>
      </c>
    </row>
    <row r="258" spans="1:2" x14ac:dyDescent="0.3">
      <c r="A258" s="13">
        <v>40800</v>
      </c>
      <c r="B258">
        <v>6</v>
      </c>
    </row>
    <row r="259" spans="1:2" x14ac:dyDescent="0.3">
      <c r="A259" s="13">
        <v>40801</v>
      </c>
      <c r="B259">
        <v>1</v>
      </c>
    </row>
    <row r="260" spans="1:2" x14ac:dyDescent="0.3">
      <c r="A260" s="13">
        <v>40802</v>
      </c>
      <c r="B260">
        <v>5</v>
      </c>
    </row>
    <row r="261" spans="1:2" x14ac:dyDescent="0.3">
      <c r="A261" s="13">
        <v>40803</v>
      </c>
      <c r="B261">
        <v>16</v>
      </c>
    </row>
    <row r="262" spans="1:2" x14ac:dyDescent="0.3">
      <c r="A262" s="13">
        <v>40804</v>
      </c>
      <c r="B262">
        <v>54</v>
      </c>
    </row>
    <row r="263" spans="1:2" x14ac:dyDescent="0.3">
      <c r="A263" s="13">
        <v>40805</v>
      </c>
      <c r="B263">
        <v>128</v>
      </c>
    </row>
    <row r="264" spans="1:2" x14ac:dyDescent="0.3">
      <c r="A264" s="13">
        <v>40806</v>
      </c>
      <c r="B264">
        <v>81</v>
      </c>
    </row>
    <row r="265" spans="1:2" x14ac:dyDescent="0.3">
      <c r="A265" s="13">
        <v>40807</v>
      </c>
      <c r="B265">
        <v>39</v>
      </c>
    </row>
    <row r="266" spans="1:2" x14ac:dyDescent="0.3">
      <c r="A266" s="13">
        <v>40808</v>
      </c>
      <c r="B266">
        <v>35</v>
      </c>
    </row>
    <row r="267" spans="1:2" x14ac:dyDescent="0.3">
      <c r="A267" s="13">
        <v>40809</v>
      </c>
      <c r="B267">
        <v>55</v>
      </c>
    </row>
    <row r="268" spans="1:2" x14ac:dyDescent="0.3">
      <c r="A268" s="13">
        <v>40810</v>
      </c>
      <c r="B268">
        <v>49</v>
      </c>
    </row>
    <row r="269" spans="1:2" x14ac:dyDescent="0.3">
      <c r="A269" s="13">
        <v>40811</v>
      </c>
      <c r="B269">
        <v>44</v>
      </c>
    </row>
    <row r="270" spans="1:2" x14ac:dyDescent="0.3">
      <c r="A270" s="13">
        <v>40812</v>
      </c>
      <c r="B270">
        <v>49</v>
      </c>
    </row>
    <row r="271" spans="1:2" x14ac:dyDescent="0.3">
      <c r="A271" s="13">
        <v>40813</v>
      </c>
      <c r="B271">
        <v>68</v>
      </c>
    </row>
    <row r="272" spans="1:2" x14ac:dyDescent="0.3">
      <c r="A272" s="13">
        <v>40814</v>
      </c>
      <c r="B272">
        <v>139</v>
      </c>
    </row>
    <row r="273" spans="1:2" x14ac:dyDescent="0.3">
      <c r="A273" s="13">
        <v>40815</v>
      </c>
      <c r="B273">
        <v>137</v>
      </c>
    </row>
    <row r="274" spans="1:2" x14ac:dyDescent="0.3">
      <c r="A274" s="13">
        <v>40816</v>
      </c>
      <c r="B274">
        <v>83</v>
      </c>
    </row>
    <row r="275" spans="1:2" x14ac:dyDescent="0.3">
      <c r="A275" s="13">
        <v>40817</v>
      </c>
      <c r="B275">
        <v>56</v>
      </c>
    </row>
    <row r="276" spans="1:2" x14ac:dyDescent="0.3">
      <c r="A276" s="13">
        <v>40818</v>
      </c>
      <c r="B276">
        <v>57</v>
      </c>
    </row>
    <row r="277" spans="1:2" x14ac:dyDescent="0.3">
      <c r="A277" s="13">
        <v>40819</v>
      </c>
      <c r="B277">
        <v>33</v>
      </c>
    </row>
    <row r="278" spans="1:2" x14ac:dyDescent="0.3">
      <c r="A278" s="13">
        <v>40820</v>
      </c>
      <c r="B278">
        <v>20</v>
      </c>
    </row>
    <row r="279" spans="1:2" x14ac:dyDescent="0.3">
      <c r="A279" s="13">
        <v>40821</v>
      </c>
      <c r="B279">
        <v>7</v>
      </c>
    </row>
    <row r="280" spans="1:2" x14ac:dyDescent="0.3">
      <c r="A280" s="13">
        <v>40822</v>
      </c>
      <c r="B280">
        <v>2</v>
      </c>
    </row>
    <row r="281" spans="1:2" x14ac:dyDescent="0.3">
      <c r="A281" s="13">
        <v>40823</v>
      </c>
      <c r="B281">
        <v>2</v>
      </c>
    </row>
    <row r="282" spans="1:2" x14ac:dyDescent="0.3">
      <c r="A282" s="13">
        <v>40824</v>
      </c>
      <c r="B282">
        <v>3</v>
      </c>
    </row>
    <row r="283" spans="1:2" x14ac:dyDescent="0.3">
      <c r="A283" s="13">
        <v>40825</v>
      </c>
      <c r="B283">
        <v>4</v>
      </c>
    </row>
    <row r="284" spans="1:2" x14ac:dyDescent="0.3">
      <c r="A284" s="13">
        <v>40826</v>
      </c>
      <c r="B284">
        <v>3</v>
      </c>
    </row>
    <row r="285" spans="1:2" x14ac:dyDescent="0.3">
      <c r="A285" s="13">
        <v>40827</v>
      </c>
      <c r="B285">
        <v>28</v>
      </c>
    </row>
    <row r="286" spans="1:2" x14ac:dyDescent="0.3">
      <c r="A286" s="13">
        <v>40828</v>
      </c>
      <c r="B286">
        <v>72</v>
      </c>
    </row>
    <row r="287" spans="1:2" x14ac:dyDescent="0.3">
      <c r="A287" s="13">
        <v>40829</v>
      </c>
      <c r="B287">
        <v>202</v>
      </c>
    </row>
    <row r="288" spans="1:2" x14ac:dyDescent="0.3">
      <c r="A288" s="13">
        <v>40830</v>
      </c>
      <c r="B288">
        <v>139</v>
      </c>
    </row>
    <row r="289" spans="1:2" x14ac:dyDescent="0.3">
      <c r="A289" s="13">
        <v>40831</v>
      </c>
      <c r="B289">
        <v>38</v>
      </c>
    </row>
    <row r="290" spans="1:2" x14ac:dyDescent="0.3">
      <c r="A290" s="13">
        <v>40832</v>
      </c>
      <c r="B290">
        <v>37</v>
      </c>
    </row>
    <row r="291" spans="1:2" x14ac:dyDescent="0.3">
      <c r="A291" s="13">
        <v>40833</v>
      </c>
      <c r="B291">
        <v>52</v>
      </c>
    </row>
    <row r="292" spans="1:2" x14ac:dyDescent="0.3">
      <c r="A292" s="13">
        <v>40834</v>
      </c>
      <c r="B292">
        <v>83</v>
      </c>
    </row>
    <row r="293" spans="1:2" x14ac:dyDescent="0.3">
      <c r="A293" s="13">
        <v>40835</v>
      </c>
      <c r="B293">
        <v>42</v>
      </c>
    </row>
    <row r="294" spans="1:2" x14ac:dyDescent="0.3">
      <c r="A294" s="13">
        <v>40836</v>
      </c>
      <c r="B294">
        <v>60</v>
      </c>
    </row>
    <row r="295" spans="1:2" x14ac:dyDescent="0.3">
      <c r="A295" s="13">
        <v>40837</v>
      </c>
      <c r="B295">
        <v>78</v>
      </c>
    </row>
    <row r="296" spans="1:2" x14ac:dyDescent="0.3">
      <c r="A296" s="13">
        <v>40838</v>
      </c>
      <c r="B296">
        <v>162</v>
      </c>
    </row>
    <row r="297" spans="1:2" x14ac:dyDescent="0.3">
      <c r="A297" s="13">
        <v>40839</v>
      </c>
      <c r="B297">
        <v>144</v>
      </c>
    </row>
    <row r="298" spans="1:2" x14ac:dyDescent="0.3">
      <c r="A298" s="13">
        <v>40840</v>
      </c>
      <c r="B298">
        <v>99</v>
      </c>
    </row>
    <row r="299" spans="1:2" x14ac:dyDescent="0.3">
      <c r="A299" s="13">
        <v>40841</v>
      </c>
      <c r="B299">
        <v>64</v>
      </c>
    </row>
    <row r="300" spans="1:2" x14ac:dyDescent="0.3">
      <c r="A300" s="13">
        <v>40842</v>
      </c>
      <c r="B300">
        <v>40</v>
      </c>
    </row>
    <row r="301" spans="1:2" x14ac:dyDescent="0.3">
      <c r="A301" s="13">
        <v>40843</v>
      </c>
      <c r="B301">
        <v>30</v>
      </c>
    </row>
    <row r="302" spans="1:2" x14ac:dyDescent="0.3">
      <c r="A302" s="13">
        <v>40844</v>
      </c>
      <c r="B302">
        <v>15</v>
      </c>
    </row>
    <row r="303" spans="1:2" x14ac:dyDescent="0.3">
      <c r="A303" s="13">
        <v>40845</v>
      </c>
      <c r="B303">
        <v>14</v>
      </c>
    </row>
    <row r="304" spans="1:2" x14ac:dyDescent="0.3">
      <c r="A304" s="13">
        <v>40846</v>
      </c>
      <c r="B304">
        <v>5</v>
      </c>
    </row>
    <row r="305" spans="1:2" x14ac:dyDescent="0.3">
      <c r="A305" s="13">
        <v>40847</v>
      </c>
      <c r="B305">
        <v>1</v>
      </c>
    </row>
    <row r="306" spans="1:2" x14ac:dyDescent="0.3">
      <c r="A306" s="13">
        <v>40848</v>
      </c>
      <c r="B306">
        <v>1</v>
      </c>
    </row>
    <row r="307" spans="1:2" x14ac:dyDescent="0.3">
      <c r="A307" s="13">
        <v>40849</v>
      </c>
      <c r="B307">
        <v>8</v>
      </c>
    </row>
    <row r="308" spans="1:2" x14ac:dyDescent="0.3">
      <c r="A308" s="13">
        <v>40850</v>
      </c>
      <c r="B308">
        <v>17</v>
      </c>
    </row>
    <row r="309" spans="1:2" x14ac:dyDescent="0.3">
      <c r="A309" s="13">
        <v>40851</v>
      </c>
      <c r="B309">
        <v>70</v>
      </c>
    </row>
    <row r="310" spans="1:2" x14ac:dyDescent="0.3">
      <c r="A310" s="13">
        <v>40852</v>
      </c>
      <c r="B310">
        <v>158</v>
      </c>
    </row>
    <row r="311" spans="1:2" x14ac:dyDescent="0.3">
      <c r="A311" s="13">
        <v>40853</v>
      </c>
      <c r="B311">
        <v>117</v>
      </c>
    </row>
    <row r="312" spans="1:2" x14ac:dyDescent="0.3">
      <c r="A312" s="13">
        <v>40854</v>
      </c>
      <c r="B312">
        <v>44</v>
      </c>
    </row>
    <row r="313" spans="1:2" x14ac:dyDescent="0.3">
      <c r="A313" s="13">
        <v>40855</v>
      </c>
      <c r="B313">
        <v>53</v>
      </c>
    </row>
    <row r="314" spans="1:2" x14ac:dyDescent="0.3">
      <c r="A314" s="13">
        <v>40856</v>
      </c>
      <c r="B314">
        <v>61</v>
      </c>
    </row>
    <row r="315" spans="1:2" x14ac:dyDescent="0.3">
      <c r="A315" s="13">
        <v>40857</v>
      </c>
      <c r="B315">
        <v>77</v>
      </c>
    </row>
    <row r="316" spans="1:2" x14ac:dyDescent="0.3">
      <c r="A316" s="13">
        <v>40858</v>
      </c>
      <c r="B316">
        <v>64</v>
      </c>
    </row>
    <row r="317" spans="1:2" x14ac:dyDescent="0.3">
      <c r="A317" s="13">
        <v>40859</v>
      </c>
      <c r="B317">
        <v>68</v>
      </c>
    </row>
    <row r="318" spans="1:2" x14ac:dyDescent="0.3">
      <c r="A318" s="13">
        <v>40860</v>
      </c>
      <c r="B318">
        <v>90</v>
      </c>
    </row>
    <row r="319" spans="1:2" x14ac:dyDescent="0.3">
      <c r="A319" s="13">
        <v>40861</v>
      </c>
      <c r="B319">
        <v>159</v>
      </c>
    </row>
    <row r="320" spans="1:2" x14ac:dyDescent="0.3">
      <c r="A320" s="13">
        <v>40862</v>
      </c>
      <c r="B320">
        <v>139</v>
      </c>
    </row>
    <row r="321" spans="1:2" x14ac:dyDescent="0.3">
      <c r="A321" s="13">
        <v>40863</v>
      </c>
      <c r="B321">
        <v>92</v>
      </c>
    </row>
    <row r="322" spans="1:2" x14ac:dyDescent="0.3">
      <c r="A322" s="13">
        <v>40864</v>
      </c>
      <c r="B322">
        <v>68</v>
      </c>
    </row>
    <row r="323" spans="1:2" x14ac:dyDescent="0.3">
      <c r="A323" s="13">
        <v>40865</v>
      </c>
      <c r="B323">
        <v>52</v>
      </c>
    </row>
    <row r="324" spans="1:2" x14ac:dyDescent="0.3">
      <c r="A324" s="13">
        <v>40866</v>
      </c>
      <c r="B324">
        <v>36</v>
      </c>
    </row>
    <row r="325" spans="1:2" x14ac:dyDescent="0.3">
      <c r="A325" s="13">
        <v>40867</v>
      </c>
      <c r="B325">
        <v>27</v>
      </c>
    </row>
    <row r="326" spans="1:2" x14ac:dyDescent="0.3">
      <c r="A326" s="13">
        <v>40868</v>
      </c>
      <c r="B326">
        <v>28</v>
      </c>
    </row>
    <row r="327" spans="1:2" x14ac:dyDescent="0.3">
      <c r="A327" s="13">
        <v>40869</v>
      </c>
      <c r="B327">
        <v>20</v>
      </c>
    </row>
    <row r="328" spans="1:2" x14ac:dyDescent="0.3">
      <c r="A328" s="13">
        <v>40870</v>
      </c>
      <c r="B328">
        <v>12</v>
      </c>
    </row>
    <row r="329" spans="1:2" x14ac:dyDescent="0.3">
      <c r="A329" s="13">
        <v>40871</v>
      </c>
      <c r="B329">
        <v>8</v>
      </c>
    </row>
    <row r="330" spans="1:2" x14ac:dyDescent="0.3">
      <c r="A330" s="13">
        <v>40872</v>
      </c>
      <c r="B330">
        <v>5</v>
      </c>
    </row>
    <row r="331" spans="1:2" x14ac:dyDescent="0.3">
      <c r="A331" s="13">
        <v>40873</v>
      </c>
      <c r="B331">
        <v>1</v>
      </c>
    </row>
    <row r="332" spans="1:2" x14ac:dyDescent="0.3">
      <c r="A332" s="13">
        <v>40874</v>
      </c>
      <c r="B332">
        <v>3</v>
      </c>
    </row>
    <row r="333" spans="1:2" x14ac:dyDescent="0.3">
      <c r="A333" s="13">
        <v>40875</v>
      </c>
      <c r="B333">
        <v>10</v>
      </c>
    </row>
    <row r="334" spans="1:2" x14ac:dyDescent="0.3">
      <c r="A334" s="13">
        <v>40876</v>
      </c>
      <c r="B334">
        <v>23</v>
      </c>
    </row>
    <row r="335" spans="1:2" x14ac:dyDescent="0.3">
      <c r="A335" s="13">
        <v>40877</v>
      </c>
      <c r="B335">
        <v>33</v>
      </c>
    </row>
    <row r="336" spans="1:2" x14ac:dyDescent="0.3">
      <c r="A336" s="13">
        <v>40878</v>
      </c>
      <c r="B336">
        <v>59</v>
      </c>
    </row>
    <row r="337" spans="1:2" x14ac:dyDescent="0.3">
      <c r="A337" s="13">
        <v>40879</v>
      </c>
      <c r="B337">
        <v>72</v>
      </c>
    </row>
    <row r="338" spans="1:2" x14ac:dyDescent="0.3">
      <c r="A338" s="13">
        <v>40880</v>
      </c>
      <c r="B338">
        <v>89</v>
      </c>
    </row>
    <row r="339" spans="1:2" x14ac:dyDescent="0.3">
      <c r="A339" s="13">
        <v>40881</v>
      </c>
      <c r="B339">
        <v>101</v>
      </c>
    </row>
    <row r="340" spans="1:2" x14ac:dyDescent="0.3">
      <c r="A340" s="13">
        <v>40882</v>
      </c>
      <c r="B340">
        <v>118</v>
      </c>
    </row>
    <row r="341" spans="1:2" x14ac:dyDescent="0.3">
      <c r="A341" s="13">
        <v>40883</v>
      </c>
      <c r="B341">
        <v>129</v>
      </c>
    </row>
    <row r="342" spans="1:2" x14ac:dyDescent="0.3">
      <c r="A342" s="13">
        <v>40884</v>
      </c>
      <c r="B342">
        <v>128</v>
      </c>
    </row>
    <row r="343" spans="1:2" x14ac:dyDescent="0.3">
      <c r="A343" s="13">
        <v>40885</v>
      </c>
      <c r="B343">
        <v>83</v>
      </c>
    </row>
    <row r="344" spans="1:2" x14ac:dyDescent="0.3">
      <c r="A344" s="13">
        <v>40886</v>
      </c>
      <c r="B344">
        <v>84</v>
      </c>
    </row>
    <row r="345" spans="1:2" x14ac:dyDescent="0.3">
      <c r="A345" s="13">
        <v>40887</v>
      </c>
      <c r="B345">
        <v>74</v>
      </c>
    </row>
    <row r="346" spans="1:2" x14ac:dyDescent="0.3">
      <c r="A346" s="13">
        <v>40888</v>
      </c>
      <c r="B346">
        <v>41</v>
      </c>
    </row>
    <row r="347" spans="1:2" x14ac:dyDescent="0.3">
      <c r="A347" s="13">
        <v>40889</v>
      </c>
      <c r="B347">
        <v>57</v>
      </c>
    </row>
    <row r="348" spans="1:2" x14ac:dyDescent="0.3">
      <c r="A348" s="13">
        <v>40890</v>
      </c>
      <c r="B348">
        <v>26</v>
      </c>
    </row>
    <row r="349" spans="1:2" x14ac:dyDescent="0.3">
      <c r="A349" s="13">
        <v>40891</v>
      </c>
      <c r="B349">
        <v>44</v>
      </c>
    </row>
    <row r="350" spans="1:2" x14ac:dyDescent="0.3">
      <c r="A350" s="13">
        <v>40892</v>
      </c>
      <c r="B350">
        <v>39</v>
      </c>
    </row>
    <row r="351" spans="1:2" x14ac:dyDescent="0.3">
      <c r="A351" s="13">
        <v>40893</v>
      </c>
      <c r="B351">
        <v>23</v>
      </c>
    </row>
    <row r="352" spans="1:2" x14ac:dyDescent="0.3">
      <c r="A352" s="13">
        <v>40894</v>
      </c>
      <c r="B352">
        <v>16</v>
      </c>
    </row>
    <row r="353" spans="1:2" x14ac:dyDescent="0.3">
      <c r="A353" s="13">
        <v>40895</v>
      </c>
      <c r="B353">
        <v>15</v>
      </c>
    </row>
    <row r="354" spans="1:2" x14ac:dyDescent="0.3">
      <c r="A354" s="13">
        <v>40896</v>
      </c>
      <c r="B354">
        <v>1</v>
      </c>
    </row>
    <row r="355" spans="1:2" x14ac:dyDescent="0.3">
      <c r="A355" s="13">
        <v>40897</v>
      </c>
      <c r="B355">
        <v>2</v>
      </c>
    </row>
    <row r="356" spans="1:2" x14ac:dyDescent="0.3">
      <c r="A356" s="13">
        <v>40898</v>
      </c>
      <c r="B356">
        <v>1</v>
      </c>
    </row>
    <row r="357" spans="1:2" x14ac:dyDescent="0.3">
      <c r="A357" s="13">
        <v>40899</v>
      </c>
      <c r="B357">
        <v>3</v>
      </c>
    </row>
    <row r="358" spans="1:2" x14ac:dyDescent="0.3">
      <c r="A358" s="13">
        <v>40900</v>
      </c>
      <c r="B358">
        <v>18</v>
      </c>
    </row>
    <row r="359" spans="1:2" x14ac:dyDescent="0.3">
      <c r="A359" s="13">
        <v>40901</v>
      </c>
      <c r="B359">
        <v>32</v>
      </c>
    </row>
    <row r="360" spans="1:2" x14ac:dyDescent="0.3">
      <c r="A360" s="13">
        <v>40902</v>
      </c>
      <c r="B360">
        <v>79</v>
      </c>
    </row>
    <row r="361" spans="1:2" x14ac:dyDescent="0.3">
      <c r="A361" s="13">
        <v>40903</v>
      </c>
      <c r="B361">
        <v>93</v>
      </c>
    </row>
    <row r="362" spans="1:2" x14ac:dyDescent="0.3">
      <c r="A362" s="13">
        <v>40904</v>
      </c>
      <c r="B362">
        <v>104</v>
      </c>
    </row>
    <row r="363" spans="1:2" x14ac:dyDescent="0.3">
      <c r="A363" s="13">
        <v>40905</v>
      </c>
      <c r="B363">
        <v>118</v>
      </c>
    </row>
    <row r="364" spans="1:2" x14ac:dyDescent="0.3">
      <c r="A364" s="13">
        <v>40906</v>
      </c>
      <c r="B364">
        <v>91</v>
      </c>
    </row>
    <row r="365" spans="1:2" x14ac:dyDescent="0.3">
      <c r="A365" s="13">
        <v>40907</v>
      </c>
      <c r="B365">
        <v>113</v>
      </c>
    </row>
    <row r="366" spans="1:2" x14ac:dyDescent="0.3">
      <c r="A366" s="13">
        <v>40908</v>
      </c>
      <c r="B366">
        <v>99</v>
      </c>
    </row>
    <row r="367" spans="1:2" x14ac:dyDescent="0.3">
      <c r="A367" s="13">
        <v>40909</v>
      </c>
      <c r="B367">
        <v>105</v>
      </c>
    </row>
    <row r="368" spans="1:2" x14ac:dyDescent="0.3">
      <c r="A368" s="13">
        <v>40910</v>
      </c>
      <c r="B368">
        <v>67</v>
      </c>
    </row>
    <row r="369" spans="1:2" x14ac:dyDescent="0.3">
      <c r="A369" s="13">
        <v>40911</v>
      </c>
      <c r="B369">
        <v>61</v>
      </c>
    </row>
    <row r="370" spans="1:2" x14ac:dyDescent="0.3">
      <c r="A370" s="13">
        <v>40912</v>
      </c>
      <c r="B370">
        <v>57</v>
      </c>
    </row>
    <row r="371" spans="1:2" x14ac:dyDescent="0.3">
      <c r="A371" s="13">
        <v>40913</v>
      </c>
      <c r="B371">
        <v>28</v>
      </c>
    </row>
    <row r="372" spans="1:2" x14ac:dyDescent="0.3">
      <c r="A372" s="13">
        <v>40914</v>
      </c>
      <c r="B372">
        <v>21</v>
      </c>
    </row>
    <row r="373" spans="1:2" x14ac:dyDescent="0.3">
      <c r="A373" s="13">
        <v>40915</v>
      </c>
      <c r="B373">
        <v>18</v>
      </c>
    </row>
    <row r="374" spans="1:2" x14ac:dyDescent="0.3">
      <c r="A374" s="13">
        <v>40916</v>
      </c>
      <c r="B374">
        <v>17</v>
      </c>
    </row>
    <row r="375" spans="1:2" x14ac:dyDescent="0.3">
      <c r="A375" s="13">
        <v>40917</v>
      </c>
      <c r="B375">
        <v>16</v>
      </c>
    </row>
    <row r="376" spans="1:2" x14ac:dyDescent="0.3">
      <c r="A376" s="13">
        <v>40918</v>
      </c>
      <c r="B376">
        <v>8</v>
      </c>
    </row>
    <row r="377" spans="1:2" x14ac:dyDescent="0.3">
      <c r="A377" s="13">
        <v>40919</v>
      </c>
      <c r="B377">
        <v>2</v>
      </c>
    </row>
    <row r="378" spans="1:2" x14ac:dyDescent="0.3">
      <c r="A378" s="13">
        <v>40920</v>
      </c>
      <c r="B378">
        <v>3</v>
      </c>
    </row>
    <row r="379" spans="1:2" x14ac:dyDescent="0.3">
      <c r="A379" s="13">
        <v>40921</v>
      </c>
      <c r="B379">
        <v>1</v>
      </c>
    </row>
    <row r="380" spans="1:2" x14ac:dyDescent="0.3">
      <c r="A380" s="13">
        <v>40922</v>
      </c>
      <c r="B380">
        <v>5</v>
      </c>
    </row>
    <row r="381" spans="1:2" x14ac:dyDescent="0.3">
      <c r="A381" s="13">
        <v>40923</v>
      </c>
      <c r="B381">
        <v>13</v>
      </c>
    </row>
    <row r="382" spans="1:2" x14ac:dyDescent="0.3">
      <c r="A382" s="13">
        <v>40924</v>
      </c>
      <c r="B382">
        <v>33</v>
      </c>
    </row>
    <row r="383" spans="1:2" x14ac:dyDescent="0.3">
      <c r="A383" s="13">
        <v>40925</v>
      </c>
      <c r="B383">
        <v>47</v>
      </c>
    </row>
    <row r="384" spans="1:2" x14ac:dyDescent="0.3">
      <c r="A384" s="13">
        <v>40926</v>
      </c>
      <c r="B384">
        <v>57</v>
      </c>
    </row>
    <row r="385" spans="1:2" x14ac:dyDescent="0.3">
      <c r="A385" s="13">
        <v>40927</v>
      </c>
      <c r="B385">
        <v>64</v>
      </c>
    </row>
    <row r="386" spans="1:2" x14ac:dyDescent="0.3">
      <c r="A386" s="13">
        <v>40928</v>
      </c>
      <c r="B386">
        <v>80</v>
      </c>
    </row>
    <row r="387" spans="1:2" x14ac:dyDescent="0.3">
      <c r="A387" s="13">
        <v>40929</v>
      </c>
      <c r="B387">
        <v>93</v>
      </c>
    </row>
    <row r="388" spans="1:2" x14ac:dyDescent="0.3">
      <c r="A388" s="13">
        <v>40930</v>
      </c>
      <c r="B388">
        <v>86</v>
      </c>
    </row>
    <row r="389" spans="1:2" x14ac:dyDescent="0.3">
      <c r="A389" s="13">
        <v>40931</v>
      </c>
      <c r="B389">
        <v>93</v>
      </c>
    </row>
    <row r="390" spans="1:2" x14ac:dyDescent="0.3">
      <c r="A390" s="13">
        <v>40932</v>
      </c>
      <c r="B390">
        <v>82</v>
      </c>
    </row>
    <row r="391" spans="1:2" x14ac:dyDescent="0.3">
      <c r="A391" s="13">
        <v>40933</v>
      </c>
      <c r="B391">
        <v>71</v>
      </c>
    </row>
    <row r="392" spans="1:2" x14ac:dyDescent="0.3">
      <c r="A392" s="13">
        <v>40934</v>
      </c>
      <c r="B392">
        <v>92</v>
      </c>
    </row>
    <row r="393" spans="1:2" x14ac:dyDescent="0.3">
      <c r="A393" s="13">
        <v>40935</v>
      </c>
      <c r="B393">
        <v>60</v>
      </c>
    </row>
    <row r="394" spans="1:2" x14ac:dyDescent="0.3">
      <c r="A394" s="13">
        <v>40936</v>
      </c>
      <c r="B394">
        <v>33</v>
      </c>
    </row>
    <row r="395" spans="1:2" x14ac:dyDescent="0.3">
      <c r="A395" s="13">
        <v>40937</v>
      </c>
      <c r="B395">
        <v>27</v>
      </c>
    </row>
    <row r="396" spans="1:2" x14ac:dyDescent="0.3">
      <c r="A396" s="13">
        <v>40938</v>
      </c>
      <c r="B396">
        <v>13</v>
      </c>
    </row>
    <row r="397" spans="1:2" x14ac:dyDescent="0.3">
      <c r="A397" s="13">
        <v>40939</v>
      </c>
      <c r="B397">
        <v>4</v>
      </c>
    </row>
    <row r="398" spans="1:2" x14ac:dyDescent="0.3">
      <c r="A398" s="13">
        <v>40940</v>
      </c>
      <c r="B398">
        <v>3</v>
      </c>
    </row>
    <row r="399" spans="1:2" x14ac:dyDescent="0.3">
      <c r="A399" s="13">
        <v>40941</v>
      </c>
      <c r="B399">
        <v>22</v>
      </c>
    </row>
    <row r="400" spans="1:2" x14ac:dyDescent="0.3">
      <c r="A400" s="13">
        <v>40942</v>
      </c>
      <c r="B400">
        <v>28</v>
      </c>
    </row>
    <row r="401" spans="1:2" x14ac:dyDescent="0.3">
      <c r="A401" s="13">
        <v>40943</v>
      </c>
      <c r="B401">
        <v>35</v>
      </c>
    </row>
    <row r="402" spans="1:2" x14ac:dyDescent="0.3">
      <c r="A402" s="13">
        <v>40944</v>
      </c>
      <c r="B402">
        <v>61</v>
      </c>
    </row>
    <row r="403" spans="1:2" x14ac:dyDescent="0.3">
      <c r="A403" s="13">
        <v>40945</v>
      </c>
      <c r="B403">
        <v>125</v>
      </c>
    </row>
    <row r="404" spans="1:2" x14ac:dyDescent="0.3">
      <c r="A404" s="13">
        <v>40946</v>
      </c>
      <c r="B404">
        <v>133</v>
      </c>
    </row>
    <row r="405" spans="1:2" x14ac:dyDescent="0.3">
      <c r="A405" s="13">
        <v>40947</v>
      </c>
      <c r="B405">
        <v>99</v>
      </c>
    </row>
    <row r="406" spans="1:2" x14ac:dyDescent="0.3">
      <c r="A406" s="13">
        <v>40948</v>
      </c>
      <c r="B406">
        <v>83</v>
      </c>
    </row>
    <row r="407" spans="1:2" x14ac:dyDescent="0.3">
      <c r="A407" s="13">
        <v>40949</v>
      </c>
      <c r="B407">
        <v>41</v>
      </c>
    </row>
    <row r="408" spans="1:2" x14ac:dyDescent="0.3">
      <c r="A408" s="13">
        <v>40950</v>
      </c>
      <c r="B408">
        <v>33</v>
      </c>
    </row>
    <row r="409" spans="1:2" x14ac:dyDescent="0.3">
      <c r="A409" s="13">
        <v>40951</v>
      </c>
      <c r="B409">
        <v>20</v>
      </c>
    </row>
    <row r="410" spans="1:2" x14ac:dyDescent="0.3">
      <c r="A410" s="13">
        <v>40952</v>
      </c>
      <c r="B410">
        <v>3</v>
      </c>
    </row>
    <row r="411" spans="1:2" x14ac:dyDescent="0.3">
      <c r="A411" s="13">
        <v>40953</v>
      </c>
      <c r="B411">
        <v>7</v>
      </c>
    </row>
    <row r="412" spans="1:2" x14ac:dyDescent="0.3">
      <c r="A412" s="13">
        <v>40954</v>
      </c>
      <c r="B412">
        <v>3</v>
      </c>
    </row>
    <row r="413" spans="1:2" x14ac:dyDescent="0.3">
      <c r="A413" s="13">
        <v>40955</v>
      </c>
      <c r="B413">
        <v>2</v>
      </c>
    </row>
    <row r="414" spans="1:2" x14ac:dyDescent="0.3">
      <c r="A414" s="13">
        <v>40956</v>
      </c>
      <c r="B414">
        <v>7</v>
      </c>
    </row>
    <row r="415" spans="1:2" x14ac:dyDescent="0.3">
      <c r="A415" s="13">
        <v>40957</v>
      </c>
      <c r="B415">
        <v>32</v>
      </c>
    </row>
    <row r="416" spans="1:2" x14ac:dyDescent="0.3">
      <c r="A416" s="13">
        <v>40958</v>
      </c>
      <c r="B416">
        <v>90</v>
      </c>
    </row>
    <row r="417" spans="1:2" x14ac:dyDescent="0.3">
      <c r="A417" s="13">
        <v>40959</v>
      </c>
      <c r="B417">
        <v>197</v>
      </c>
    </row>
    <row r="418" spans="1:2" x14ac:dyDescent="0.3">
      <c r="A418" s="13">
        <v>40960</v>
      </c>
      <c r="B418">
        <v>109</v>
      </c>
    </row>
    <row r="419" spans="1:2" x14ac:dyDescent="0.3">
      <c r="A419" s="13">
        <v>40961</v>
      </c>
      <c r="B419">
        <v>47</v>
      </c>
    </row>
    <row r="420" spans="1:2" x14ac:dyDescent="0.3">
      <c r="A420" s="13">
        <v>40962</v>
      </c>
      <c r="B420">
        <v>52</v>
      </c>
    </row>
    <row r="421" spans="1:2" x14ac:dyDescent="0.3">
      <c r="A421" s="13">
        <v>40963</v>
      </c>
      <c r="B421">
        <v>70</v>
      </c>
    </row>
    <row r="422" spans="1:2" x14ac:dyDescent="0.3">
      <c r="A422" s="13">
        <v>40964</v>
      </c>
      <c r="B422">
        <v>78</v>
      </c>
    </row>
    <row r="423" spans="1:2" x14ac:dyDescent="0.3">
      <c r="A423" s="13">
        <v>40965</v>
      </c>
      <c r="B423">
        <v>75</v>
      </c>
    </row>
    <row r="424" spans="1:2" x14ac:dyDescent="0.3">
      <c r="A424" s="13">
        <v>40966</v>
      </c>
      <c r="B424">
        <v>82</v>
      </c>
    </row>
    <row r="425" spans="1:2" x14ac:dyDescent="0.3">
      <c r="A425" s="13">
        <v>40967</v>
      </c>
      <c r="B425">
        <v>104</v>
      </c>
    </row>
    <row r="426" spans="1:2" x14ac:dyDescent="0.3">
      <c r="A426" s="13">
        <v>40968</v>
      </c>
      <c r="B426">
        <v>197</v>
      </c>
    </row>
    <row r="427" spans="1:2" x14ac:dyDescent="0.3">
      <c r="A427" s="13">
        <v>40969</v>
      </c>
      <c r="B427">
        <v>161</v>
      </c>
    </row>
    <row r="428" spans="1:2" x14ac:dyDescent="0.3">
      <c r="A428" s="13">
        <v>40970</v>
      </c>
      <c r="B428">
        <v>112</v>
      </c>
    </row>
    <row r="429" spans="1:2" x14ac:dyDescent="0.3">
      <c r="A429" s="13">
        <v>40971</v>
      </c>
      <c r="B429">
        <v>76</v>
      </c>
    </row>
    <row r="430" spans="1:2" x14ac:dyDescent="0.3">
      <c r="A430" s="13">
        <v>40972</v>
      </c>
      <c r="B430">
        <v>59</v>
      </c>
    </row>
    <row r="431" spans="1:2" x14ac:dyDescent="0.3">
      <c r="A431" s="13">
        <v>40973</v>
      </c>
      <c r="B431">
        <v>59</v>
      </c>
    </row>
    <row r="432" spans="1:2" x14ac:dyDescent="0.3">
      <c r="A432" s="13">
        <v>40974</v>
      </c>
      <c r="B432">
        <v>28</v>
      </c>
    </row>
    <row r="433" spans="1:2" x14ac:dyDescent="0.3">
      <c r="A433" s="13">
        <v>40975</v>
      </c>
      <c r="B433">
        <v>13</v>
      </c>
    </row>
    <row r="434" spans="1:2" x14ac:dyDescent="0.3">
      <c r="A434" s="13">
        <v>40976</v>
      </c>
      <c r="B434">
        <v>5</v>
      </c>
    </row>
    <row r="435" spans="1:2" x14ac:dyDescent="0.3">
      <c r="A435" s="13">
        <v>40977</v>
      </c>
      <c r="B435">
        <v>2</v>
      </c>
    </row>
    <row r="436" spans="1:2" x14ac:dyDescent="0.3">
      <c r="A436" s="13">
        <v>40978</v>
      </c>
      <c r="B436">
        <v>1</v>
      </c>
    </row>
    <row r="437" spans="1:2" x14ac:dyDescent="0.3">
      <c r="A437" s="13">
        <v>40979</v>
      </c>
      <c r="B437">
        <v>1</v>
      </c>
    </row>
    <row r="438" spans="1:2" x14ac:dyDescent="0.3">
      <c r="A438" s="13">
        <v>40980</v>
      </c>
      <c r="B438">
        <v>6</v>
      </c>
    </row>
    <row r="439" spans="1:2" x14ac:dyDescent="0.3">
      <c r="A439" s="13">
        <v>40981</v>
      </c>
      <c r="B439">
        <v>35</v>
      </c>
    </row>
    <row r="440" spans="1:2" x14ac:dyDescent="0.3">
      <c r="A440" s="13">
        <v>40982</v>
      </c>
      <c r="B440">
        <v>101</v>
      </c>
    </row>
    <row r="441" spans="1:2" x14ac:dyDescent="0.3">
      <c r="A441" s="13">
        <v>40983</v>
      </c>
      <c r="B441">
        <v>249</v>
      </c>
    </row>
    <row r="442" spans="1:2" x14ac:dyDescent="0.3">
      <c r="A442" s="13">
        <v>40984</v>
      </c>
      <c r="B442">
        <v>143</v>
      </c>
    </row>
    <row r="443" spans="1:2" x14ac:dyDescent="0.3">
      <c r="A443" s="13">
        <v>40985</v>
      </c>
      <c r="B443">
        <v>57</v>
      </c>
    </row>
    <row r="444" spans="1:2" x14ac:dyDescent="0.3">
      <c r="A444" s="13">
        <v>40986</v>
      </c>
      <c r="B444">
        <v>68</v>
      </c>
    </row>
    <row r="445" spans="1:2" x14ac:dyDescent="0.3">
      <c r="A445" s="13">
        <v>40987</v>
      </c>
      <c r="B445">
        <v>84</v>
      </c>
    </row>
    <row r="446" spans="1:2" x14ac:dyDescent="0.3">
      <c r="A446" s="13">
        <v>40988</v>
      </c>
      <c r="B446">
        <v>98</v>
      </c>
    </row>
    <row r="447" spans="1:2" x14ac:dyDescent="0.3">
      <c r="A447" s="13">
        <v>40989</v>
      </c>
      <c r="B447">
        <v>81</v>
      </c>
    </row>
    <row r="448" spans="1:2" x14ac:dyDescent="0.3">
      <c r="A448" s="13">
        <v>40990</v>
      </c>
      <c r="B448">
        <v>70</v>
      </c>
    </row>
    <row r="449" spans="1:2" x14ac:dyDescent="0.3">
      <c r="A449" s="13">
        <v>40991</v>
      </c>
      <c r="B449">
        <v>91</v>
      </c>
    </row>
    <row r="450" spans="1:2" x14ac:dyDescent="0.3">
      <c r="A450" s="13">
        <v>40992</v>
      </c>
      <c r="B450">
        <v>215</v>
      </c>
    </row>
    <row r="451" spans="1:2" x14ac:dyDescent="0.3">
      <c r="A451" s="13">
        <v>40993</v>
      </c>
      <c r="B451">
        <v>185</v>
      </c>
    </row>
    <row r="452" spans="1:2" x14ac:dyDescent="0.3">
      <c r="A452" s="13">
        <v>40994</v>
      </c>
      <c r="B452">
        <v>152</v>
      </c>
    </row>
    <row r="453" spans="1:2" x14ac:dyDescent="0.3">
      <c r="A453" s="13">
        <v>40995</v>
      </c>
      <c r="B453">
        <v>126</v>
      </c>
    </row>
    <row r="454" spans="1:2" x14ac:dyDescent="0.3">
      <c r="A454" s="13">
        <v>40996</v>
      </c>
      <c r="B454">
        <v>57</v>
      </c>
    </row>
    <row r="455" spans="1:2" x14ac:dyDescent="0.3">
      <c r="A455" s="13">
        <v>40997</v>
      </c>
      <c r="B455">
        <v>56</v>
      </c>
    </row>
    <row r="456" spans="1:2" x14ac:dyDescent="0.3">
      <c r="A456" s="13">
        <v>40998</v>
      </c>
      <c r="B456">
        <v>31</v>
      </c>
    </row>
    <row r="457" spans="1:2" x14ac:dyDescent="0.3">
      <c r="A457" s="13">
        <v>40999</v>
      </c>
      <c r="B457">
        <v>21</v>
      </c>
    </row>
    <row r="458" spans="1:2" x14ac:dyDescent="0.3">
      <c r="A458" s="13">
        <v>41000</v>
      </c>
      <c r="B458">
        <v>6</v>
      </c>
    </row>
    <row r="459" spans="1:2" x14ac:dyDescent="0.3">
      <c r="A459" s="13">
        <v>41001</v>
      </c>
      <c r="B459">
        <v>2</v>
      </c>
    </row>
    <row r="460" spans="1:2" x14ac:dyDescent="0.3">
      <c r="A460" s="13">
        <v>41002</v>
      </c>
      <c r="B460">
        <v>1</v>
      </c>
    </row>
    <row r="461" spans="1:2" x14ac:dyDescent="0.3">
      <c r="A461" s="13">
        <v>41003</v>
      </c>
      <c r="B461">
        <v>1</v>
      </c>
    </row>
    <row r="462" spans="1:2" x14ac:dyDescent="0.3">
      <c r="A462" s="13">
        <v>41004</v>
      </c>
      <c r="B462">
        <v>5</v>
      </c>
    </row>
    <row r="463" spans="1:2" x14ac:dyDescent="0.3">
      <c r="A463" s="13">
        <v>41005</v>
      </c>
      <c r="B463">
        <v>27</v>
      </c>
    </row>
    <row r="464" spans="1:2" x14ac:dyDescent="0.3">
      <c r="A464" s="13">
        <v>41006</v>
      </c>
      <c r="B464">
        <v>68</v>
      </c>
    </row>
    <row r="465" spans="1:2" x14ac:dyDescent="0.3">
      <c r="A465" s="13">
        <v>41007</v>
      </c>
      <c r="B465">
        <v>217</v>
      </c>
    </row>
    <row r="466" spans="1:2" x14ac:dyDescent="0.3">
      <c r="A466" s="13">
        <v>41008</v>
      </c>
      <c r="B466">
        <v>166</v>
      </c>
    </row>
    <row r="467" spans="1:2" x14ac:dyDescent="0.3">
      <c r="A467" s="13">
        <v>41009</v>
      </c>
      <c r="B467">
        <v>63</v>
      </c>
    </row>
    <row r="468" spans="1:2" x14ac:dyDescent="0.3">
      <c r="A468" s="13">
        <v>41010</v>
      </c>
      <c r="B468">
        <v>59</v>
      </c>
    </row>
    <row r="469" spans="1:2" x14ac:dyDescent="0.3">
      <c r="A469" s="13">
        <v>41011</v>
      </c>
      <c r="B469">
        <v>78</v>
      </c>
    </row>
    <row r="470" spans="1:2" x14ac:dyDescent="0.3">
      <c r="A470" s="13">
        <v>41012</v>
      </c>
      <c r="B470">
        <v>73</v>
      </c>
    </row>
    <row r="471" spans="1:2" x14ac:dyDescent="0.3">
      <c r="A471" s="13">
        <v>41013</v>
      </c>
      <c r="B471">
        <v>62</v>
      </c>
    </row>
    <row r="472" spans="1:2" x14ac:dyDescent="0.3">
      <c r="A472" s="13">
        <v>41014</v>
      </c>
      <c r="B472">
        <v>65</v>
      </c>
    </row>
    <row r="473" spans="1:2" x14ac:dyDescent="0.3">
      <c r="A473" s="13">
        <v>41015</v>
      </c>
      <c r="B473">
        <v>97</v>
      </c>
    </row>
    <row r="474" spans="1:2" x14ac:dyDescent="0.3">
      <c r="A474" s="13">
        <v>41016</v>
      </c>
      <c r="B474">
        <v>161</v>
      </c>
    </row>
    <row r="475" spans="1:2" x14ac:dyDescent="0.3">
      <c r="A475" s="13">
        <v>41017</v>
      </c>
      <c r="B475">
        <v>120</v>
      </c>
    </row>
    <row r="476" spans="1:2" x14ac:dyDescent="0.3">
      <c r="A476" s="13">
        <v>41018</v>
      </c>
      <c r="B476">
        <v>96</v>
      </c>
    </row>
    <row r="477" spans="1:2" x14ac:dyDescent="0.3">
      <c r="A477" s="13">
        <v>41019</v>
      </c>
      <c r="B477">
        <v>53</v>
      </c>
    </row>
    <row r="478" spans="1:2" x14ac:dyDescent="0.3">
      <c r="A478" s="13">
        <v>41020</v>
      </c>
      <c r="B478">
        <v>41</v>
      </c>
    </row>
    <row r="479" spans="1:2" x14ac:dyDescent="0.3">
      <c r="A479" s="13">
        <v>41021</v>
      </c>
      <c r="B479">
        <v>34</v>
      </c>
    </row>
    <row r="480" spans="1:2" x14ac:dyDescent="0.3">
      <c r="A480" s="13">
        <v>41022</v>
      </c>
      <c r="B480">
        <v>27</v>
      </c>
    </row>
    <row r="481" spans="1:2" x14ac:dyDescent="0.3">
      <c r="A481" s="13">
        <v>41023</v>
      </c>
      <c r="B481">
        <v>13</v>
      </c>
    </row>
    <row r="482" spans="1:2" x14ac:dyDescent="0.3">
      <c r="A482" s="13">
        <v>41024</v>
      </c>
      <c r="B482">
        <v>12</v>
      </c>
    </row>
    <row r="483" spans="1:2" x14ac:dyDescent="0.3">
      <c r="A483" s="13">
        <v>41025</v>
      </c>
      <c r="B483">
        <v>11</v>
      </c>
    </row>
    <row r="484" spans="1:2" x14ac:dyDescent="0.3">
      <c r="A484" s="13">
        <v>41026</v>
      </c>
      <c r="B484">
        <v>7</v>
      </c>
    </row>
    <row r="485" spans="1:2" x14ac:dyDescent="0.3">
      <c r="A485" s="13">
        <v>41027</v>
      </c>
      <c r="B485">
        <v>3</v>
      </c>
    </row>
    <row r="486" spans="1:2" x14ac:dyDescent="0.3">
      <c r="A486" s="13">
        <v>41028</v>
      </c>
      <c r="B486">
        <v>2</v>
      </c>
    </row>
    <row r="487" spans="1:2" x14ac:dyDescent="0.3">
      <c r="A487" s="13">
        <v>41029</v>
      </c>
      <c r="B487">
        <v>8</v>
      </c>
    </row>
    <row r="488" spans="1:2" x14ac:dyDescent="0.3">
      <c r="A488" s="13">
        <v>41030</v>
      </c>
      <c r="B488">
        <v>27</v>
      </c>
    </row>
    <row r="489" spans="1:2" x14ac:dyDescent="0.3">
      <c r="A489" s="13">
        <v>41031</v>
      </c>
      <c r="B489">
        <v>40</v>
      </c>
    </row>
    <row r="490" spans="1:2" x14ac:dyDescent="0.3">
      <c r="A490" s="13">
        <v>41032</v>
      </c>
      <c r="B490">
        <v>53</v>
      </c>
    </row>
    <row r="491" spans="1:2" x14ac:dyDescent="0.3">
      <c r="A491" s="13">
        <v>41033</v>
      </c>
      <c r="B491">
        <v>63</v>
      </c>
    </row>
    <row r="492" spans="1:2" x14ac:dyDescent="0.3">
      <c r="A492" s="13">
        <v>41034</v>
      </c>
      <c r="B492">
        <v>70</v>
      </c>
    </row>
    <row r="493" spans="1:2" x14ac:dyDescent="0.3">
      <c r="A493" s="13">
        <v>41035</v>
      </c>
      <c r="B493">
        <v>84</v>
      </c>
    </row>
    <row r="494" spans="1:2" x14ac:dyDescent="0.3">
      <c r="A494" s="13">
        <v>41036</v>
      </c>
      <c r="B494">
        <v>75</v>
      </c>
    </row>
    <row r="495" spans="1:2" x14ac:dyDescent="0.3">
      <c r="A495" s="13">
        <v>41037</v>
      </c>
      <c r="B495">
        <v>103</v>
      </c>
    </row>
    <row r="496" spans="1:2" x14ac:dyDescent="0.3">
      <c r="A496" s="13">
        <v>41038</v>
      </c>
      <c r="B496">
        <v>83</v>
      </c>
    </row>
    <row r="497" spans="1:2" x14ac:dyDescent="0.3">
      <c r="A497" s="13">
        <v>41039</v>
      </c>
      <c r="B497">
        <v>67</v>
      </c>
    </row>
    <row r="498" spans="1:2" x14ac:dyDescent="0.3">
      <c r="A498" s="13">
        <v>41040</v>
      </c>
      <c r="B498">
        <v>54</v>
      </c>
    </row>
    <row r="499" spans="1:2" x14ac:dyDescent="0.3">
      <c r="A499" s="13">
        <v>41041</v>
      </c>
      <c r="B499">
        <v>59</v>
      </c>
    </row>
    <row r="500" spans="1:2" x14ac:dyDescent="0.3">
      <c r="A500" s="13">
        <v>41042</v>
      </c>
      <c r="B500">
        <v>45</v>
      </c>
    </row>
    <row r="501" spans="1:2" x14ac:dyDescent="0.3">
      <c r="A501" s="13">
        <v>41043</v>
      </c>
      <c r="B501">
        <v>39</v>
      </c>
    </row>
    <row r="502" spans="1:2" x14ac:dyDescent="0.3">
      <c r="A502" s="13">
        <v>41044</v>
      </c>
      <c r="B502">
        <v>30</v>
      </c>
    </row>
    <row r="503" spans="1:2" x14ac:dyDescent="0.3">
      <c r="A503" s="13">
        <v>41045</v>
      </c>
      <c r="B503">
        <v>33</v>
      </c>
    </row>
    <row r="504" spans="1:2" x14ac:dyDescent="0.3">
      <c r="A504" s="13">
        <v>41046</v>
      </c>
      <c r="B504">
        <v>22</v>
      </c>
    </row>
    <row r="505" spans="1:2" x14ac:dyDescent="0.3">
      <c r="A505" s="13">
        <v>41047</v>
      </c>
      <c r="B505">
        <v>13</v>
      </c>
    </row>
    <row r="506" spans="1:2" x14ac:dyDescent="0.3">
      <c r="A506" s="13">
        <v>41048</v>
      </c>
      <c r="B506">
        <v>18</v>
      </c>
    </row>
    <row r="507" spans="1:2" x14ac:dyDescent="0.3">
      <c r="A507" s="13">
        <v>41049</v>
      </c>
      <c r="B507">
        <v>5</v>
      </c>
    </row>
    <row r="508" spans="1:2" x14ac:dyDescent="0.3">
      <c r="A508" s="13">
        <v>41050</v>
      </c>
      <c r="B508">
        <v>3</v>
      </c>
    </row>
    <row r="509" spans="1:2" x14ac:dyDescent="0.3">
      <c r="A509" s="13">
        <v>41051</v>
      </c>
      <c r="B509">
        <v>1</v>
      </c>
    </row>
    <row r="510" spans="1:2" x14ac:dyDescent="0.3">
      <c r="A510" s="13">
        <v>41052</v>
      </c>
      <c r="B510">
        <v>2</v>
      </c>
    </row>
    <row r="511" spans="1:2" x14ac:dyDescent="0.3">
      <c r="A511" s="13">
        <v>41053</v>
      </c>
      <c r="B511">
        <v>19</v>
      </c>
    </row>
    <row r="512" spans="1:2" x14ac:dyDescent="0.3">
      <c r="A512" s="13">
        <v>41054</v>
      </c>
      <c r="B512">
        <v>28</v>
      </c>
    </row>
    <row r="513" spans="1:2" x14ac:dyDescent="0.3">
      <c r="A513" s="13">
        <v>41055</v>
      </c>
      <c r="B513">
        <v>58</v>
      </c>
    </row>
    <row r="514" spans="1:2" x14ac:dyDescent="0.3">
      <c r="A514" s="13">
        <v>41056</v>
      </c>
      <c r="B514">
        <v>99</v>
      </c>
    </row>
    <row r="515" spans="1:2" x14ac:dyDescent="0.3">
      <c r="A515" s="13">
        <v>41057</v>
      </c>
      <c r="B515">
        <v>116</v>
      </c>
    </row>
    <row r="516" spans="1:2" x14ac:dyDescent="0.3">
      <c r="A516" s="13">
        <v>41058</v>
      </c>
      <c r="B516">
        <v>87</v>
      </c>
    </row>
    <row r="517" spans="1:2" x14ac:dyDescent="0.3">
      <c r="A517" s="13">
        <v>41059</v>
      </c>
      <c r="B517">
        <v>110</v>
      </c>
    </row>
    <row r="518" spans="1:2" x14ac:dyDescent="0.3">
      <c r="A518" s="13">
        <v>41060</v>
      </c>
      <c r="B518">
        <v>77</v>
      </c>
    </row>
    <row r="519" spans="1:2" x14ac:dyDescent="0.3">
      <c r="A519" s="13">
        <v>41061</v>
      </c>
      <c r="B519">
        <v>65</v>
      </c>
    </row>
    <row r="520" spans="1:2" x14ac:dyDescent="0.3">
      <c r="A520" s="13">
        <v>41062</v>
      </c>
      <c r="B520">
        <v>55</v>
      </c>
    </row>
    <row r="521" spans="1:2" x14ac:dyDescent="0.3">
      <c r="A521" s="13">
        <v>41063</v>
      </c>
      <c r="B521">
        <v>49</v>
      </c>
    </row>
    <row r="522" spans="1:2" x14ac:dyDescent="0.3">
      <c r="A522" s="13">
        <v>41064</v>
      </c>
      <c r="B522">
        <v>50</v>
      </c>
    </row>
    <row r="523" spans="1:2" x14ac:dyDescent="0.3">
      <c r="A523" s="13">
        <v>41065</v>
      </c>
      <c r="B523">
        <v>35</v>
      </c>
    </row>
    <row r="524" spans="1:2" x14ac:dyDescent="0.3">
      <c r="A524" s="13">
        <v>41066</v>
      </c>
      <c r="B524">
        <v>25</v>
      </c>
    </row>
    <row r="525" spans="1:2" x14ac:dyDescent="0.3">
      <c r="A525" s="13">
        <v>41067</v>
      </c>
      <c r="B525">
        <v>28</v>
      </c>
    </row>
    <row r="526" spans="1:2" x14ac:dyDescent="0.3">
      <c r="A526" s="13">
        <v>41068</v>
      </c>
      <c r="B526">
        <v>21</v>
      </c>
    </row>
    <row r="527" spans="1:2" x14ac:dyDescent="0.3">
      <c r="A527" s="13">
        <v>41069</v>
      </c>
      <c r="B527">
        <v>7</v>
      </c>
    </row>
    <row r="528" spans="1:2" x14ac:dyDescent="0.3">
      <c r="A528" s="13">
        <v>41070</v>
      </c>
      <c r="B528">
        <v>1</v>
      </c>
    </row>
    <row r="529" spans="1:2" x14ac:dyDescent="0.3">
      <c r="A529" s="13">
        <v>41071</v>
      </c>
      <c r="B529">
        <v>1</v>
      </c>
    </row>
    <row r="530" spans="1:2" x14ac:dyDescent="0.3">
      <c r="A530" s="13">
        <v>41072</v>
      </c>
      <c r="B530">
        <v>1</v>
      </c>
    </row>
    <row r="531" spans="1:2" x14ac:dyDescent="0.3">
      <c r="A531" s="13">
        <v>41073</v>
      </c>
      <c r="B531">
        <v>5</v>
      </c>
    </row>
    <row r="532" spans="1:2" x14ac:dyDescent="0.3">
      <c r="A532" s="13">
        <v>41074</v>
      </c>
      <c r="B532">
        <v>15</v>
      </c>
    </row>
    <row r="533" spans="1:2" x14ac:dyDescent="0.3">
      <c r="A533" s="13">
        <v>41075</v>
      </c>
      <c r="B533">
        <v>84</v>
      </c>
    </row>
    <row r="534" spans="1:2" x14ac:dyDescent="0.3">
      <c r="A534" s="13">
        <v>41076</v>
      </c>
      <c r="B534">
        <v>177</v>
      </c>
    </row>
    <row r="535" spans="1:2" x14ac:dyDescent="0.3">
      <c r="A535" s="13">
        <v>41077</v>
      </c>
      <c r="B535">
        <v>102</v>
      </c>
    </row>
    <row r="536" spans="1:2" x14ac:dyDescent="0.3">
      <c r="A536" s="13">
        <v>41078</v>
      </c>
      <c r="B536">
        <v>40</v>
      </c>
    </row>
    <row r="537" spans="1:2" x14ac:dyDescent="0.3">
      <c r="A537" s="13">
        <v>41079</v>
      </c>
      <c r="B537">
        <v>46</v>
      </c>
    </row>
    <row r="538" spans="1:2" x14ac:dyDescent="0.3">
      <c r="A538" s="13">
        <v>41080</v>
      </c>
      <c r="B538">
        <v>63</v>
      </c>
    </row>
    <row r="539" spans="1:2" x14ac:dyDescent="0.3">
      <c r="A539" s="13">
        <v>41081</v>
      </c>
      <c r="B539">
        <v>60</v>
      </c>
    </row>
    <row r="540" spans="1:2" x14ac:dyDescent="0.3">
      <c r="A540" s="13">
        <v>41082</v>
      </c>
      <c r="B540">
        <v>45</v>
      </c>
    </row>
    <row r="541" spans="1:2" x14ac:dyDescent="0.3">
      <c r="A541" s="13">
        <v>41083</v>
      </c>
      <c r="B541">
        <v>57</v>
      </c>
    </row>
    <row r="542" spans="1:2" x14ac:dyDescent="0.3">
      <c r="A542" s="13">
        <v>41084</v>
      </c>
      <c r="B542">
        <v>70</v>
      </c>
    </row>
    <row r="543" spans="1:2" x14ac:dyDescent="0.3">
      <c r="A543" s="13">
        <v>41085</v>
      </c>
      <c r="B543">
        <v>184</v>
      </c>
    </row>
    <row r="544" spans="1:2" x14ac:dyDescent="0.3">
      <c r="A544" s="13">
        <v>41086</v>
      </c>
      <c r="B544">
        <v>153</v>
      </c>
    </row>
    <row r="545" spans="1:2" x14ac:dyDescent="0.3">
      <c r="A545" s="13">
        <v>41087</v>
      </c>
      <c r="B545">
        <v>106</v>
      </c>
    </row>
    <row r="546" spans="1:2" x14ac:dyDescent="0.3">
      <c r="A546" s="13">
        <v>41088</v>
      </c>
      <c r="B546">
        <v>81</v>
      </c>
    </row>
    <row r="547" spans="1:2" x14ac:dyDescent="0.3">
      <c r="A547" s="13">
        <v>41089</v>
      </c>
      <c r="B547">
        <v>59</v>
      </c>
    </row>
    <row r="548" spans="1:2" x14ac:dyDescent="0.3">
      <c r="A548" s="13">
        <v>41090</v>
      </c>
      <c r="B548">
        <v>35</v>
      </c>
    </row>
    <row r="549" spans="1:2" x14ac:dyDescent="0.3">
      <c r="A549" s="13">
        <v>41091</v>
      </c>
      <c r="B549">
        <v>24</v>
      </c>
    </row>
    <row r="550" spans="1:2" x14ac:dyDescent="0.3">
      <c r="A550" s="13">
        <v>41092</v>
      </c>
      <c r="B550">
        <v>9</v>
      </c>
    </row>
    <row r="551" spans="1:2" x14ac:dyDescent="0.3">
      <c r="A551" s="13">
        <v>41093</v>
      </c>
      <c r="B551">
        <v>5</v>
      </c>
    </row>
    <row r="552" spans="1:2" x14ac:dyDescent="0.3">
      <c r="A552" s="13">
        <v>41094</v>
      </c>
      <c r="B552">
        <v>2</v>
      </c>
    </row>
    <row r="553" spans="1:2" x14ac:dyDescent="0.3">
      <c r="A553" s="13">
        <v>41095</v>
      </c>
      <c r="B553">
        <v>1</v>
      </c>
    </row>
    <row r="554" spans="1:2" x14ac:dyDescent="0.3">
      <c r="A554" s="13">
        <v>41096</v>
      </c>
      <c r="B554">
        <v>9</v>
      </c>
    </row>
    <row r="555" spans="1:2" x14ac:dyDescent="0.3">
      <c r="A555" s="13">
        <v>41097</v>
      </c>
      <c r="B555">
        <v>36</v>
      </c>
    </row>
    <row r="556" spans="1:2" x14ac:dyDescent="0.3">
      <c r="A556" s="13">
        <v>41098</v>
      </c>
      <c r="B556">
        <v>108</v>
      </c>
    </row>
    <row r="557" spans="1:2" x14ac:dyDescent="0.3">
      <c r="A557" s="13">
        <v>41099</v>
      </c>
      <c r="B557">
        <v>238</v>
      </c>
    </row>
    <row r="558" spans="1:2" x14ac:dyDescent="0.3">
      <c r="A558" s="13">
        <v>41100</v>
      </c>
      <c r="B558">
        <v>144</v>
      </c>
    </row>
    <row r="559" spans="1:2" x14ac:dyDescent="0.3">
      <c r="A559" s="13">
        <v>41101</v>
      </c>
      <c r="B559">
        <v>55</v>
      </c>
    </row>
    <row r="560" spans="1:2" x14ac:dyDescent="0.3">
      <c r="A560" s="13">
        <v>41102</v>
      </c>
      <c r="B560">
        <v>61</v>
      </c>
    </row>
    <row r="561" spans="1:2" x14ac:dyDescent="0.3">
      <c r="A561" s="13">
        <v>41103</v>
      </c>
      <c r="B561">
        <v>106</v>
      </c>
    </row>
    <row r="562" spans="1:2" x14ac:dyDescent="0.3">
      <c r="A562" s="13">
        <v>41104</v>
      </c>
      <c r="B562">
        <v>93</v>
      </c>
    </row>
    <row r="563" spans="1:2" x14ac:dyDescent="0.3">
      <c r="A563" s="13">
        <v>41105</v>
      </c>
      <c r="B563">
        <v>68</v>
      </c>
    </row>
    <row r="564" spans="1:2" x14ac:dyDescent="0.3">
      <c r="A564" s="13">
        <v>41106</v>
      </c>
      <c r="B564">
        <v>84</v>
      </c>
    </row>
    <row r="565" spans="1:2" x14ac:dyDescent="0.3">
      <c r="A565" s="13">
        <v>41107</v>
      </c>
      <c r="B565">
        <v>116</v>
      </c>
    </row>
    <row r="566" spans="1:2" x14ac:dyDescent="0.3">
      <c r="A566" s="13">
        <v>41108</v>
      </c>
      <c r="B566">
        <v>222</v>
      </c>
    </row>
    <row r="567" spans="1:2" x14ac:dyDescent="0.3">
      <c r="A567" s="13">
        <v>41109</v>
      </c>
      <c r="B567">
        <v>225</v>
      </c>
    </row>
    <row r="568" spans="1:2" x14ac:dyDescent="0.3">
      <c r="A568" s="13">
        <v>41110</v>
      </c>
      <c r="B568">
        <v>146</v>
      </c>
    </row>
    <row r="569" spans="1:2" x14ac:dyDescent="0.3">
      <c r="A569" s="13">
        <v>41111</v>
      </c>
      <c r="B569">
        <v>119</v>
      </c>
    </row>
    <row r="570" spans="1:2" x14ac:dyDescent="0.3">
      <c r="A570" s="13">
        <v>41112</v>
      </c>
      <c r="B570">
        <v>45</v>
      </c>
    </row>
    <row r="571" spans="1:2" x14ac:dyDescent="0.3">
      <c r="A571" s="13">
        <v>41113</v>
      </c>
      <c r="B571">
        <v>53</v>
      </c>
    </row>
    <row r="572" spans="1:2" x14ac:dyDescent="0.3">
      <c r="A572" s="13">
        <v>41114</v>
      </c>
      <c r="B572">
        <v>40</v>
      </c>
    </row>
    <row r="573" spans="1:2" x14ac:dyDescent="0.3">
      <c r="A573" s="13">
        <v>41115</v>
      </c>
      <c r="B573">
        <v>17</v>
      </c>
    </row>
    <row r="574" spans="1:2" x14ac:dyDescent="0.3">
      <c r="A574" s="13">
        <v>41116</v>
      </c>
      <c r="B574">
        <v>5</v>
      </c>
    </row>
    <row r="575" spans="1:2" x14ac:dyDescent="0.3">
      <c r="A575" s="13">
        <v>41117</v>
      </c>
      <c r="B575">
        <v>10</v>
      </c>
    </row>
    <row r="576" spans="1:2" x14ac:dyDescent="0.3">
      <c r="A576" s="13">
        <v>41118</v>
      </c>
      <c r="B576">
        <v>1</v>
      </c>
    </row>
    <row r="577" spans="1:2" x14ac:dyDescent="0.3">
      <c r="A577" s="13">
        <v>41119</v>
      </c>
      <c r="B577">
        <v>8</v>
      </c>
    </row>
    <row r="578" spans="1:2" x14ac:dyDescent="0.3">
      <c r="A578" s="13">
        <v>41120</v>
      </c>
      <c r="B578">
        <v>30</v>
      </c>
    </row>
    <row r="579" spans="1:2" x14ac:dyDescent="0.3">
      <c r="A579" s="13">
        <v>41121</v>
      </c>
      <c r="B579">
        <v>72</v>
      </c>
    </row>
    <row r="580" spans="1:2" x14ac:dyDescent="0.3">
      <c r="A580" s="13">
        <v>41122</v>
      </c>
      <c r="B580">
        <v>58</v>
      </c>
    </row>
    <row r="581" spans="1:2" x14ac:dyDescent="0.3">
      <c r="A581" s="13">
        <v>41123</v>
      </c>
      <c r="B581">
        <v>28</v>
      </c>
    </row>
    <row r="582" spans="1:2" x14ac:dyDescent="0.3">
      <c r="A582" s="13">
        <v>41124</v>
      </c>
      <c r="B582">
        <v>41</v>
      </c>
    </row>
    <row r="583" spans="1:2" x14ac:dyDescent="0.3">
      <c r="A583" s="13">
        <v>41125</v>
      </c>
      <c r="B583">
        <v>48</v>
      </c>
    </row>
    <row r="584" spans="1:2" x14ac:dyDescent="0.3">
      <c r="A584" s="13">
        <v>41126</v>
      </c>
      <c r="B584">
        <v>47</v>
      </c>
    </row>
    <row r="585" spans="1:2" x14ac:dyDescent="0.3">
      <c r="A585" s="13">
        <v>41127</v>
      </c>
      <c r="B585">
        <v>36</v>
      </c>
    </row>
    <row r="586" spans="1:2" x14ac:dyDescent="0.3">
      <c r="A586" s="13">
        <v>41128</v>
      </c>
      <c r="B586">
        <v>43</v>
      </c>
    </row>
    <row r="587" spans="1:2" x14ac:dyDescent="0.3">
      <c r="A587" s="13">
        <v>41129</v>
      </c>
      <c r="B587">
        <v>36</v>
      </c>
    </row>
    <row r="588" spans="1:2" x14ac:dyDescent="0.3">
      <c r="A588" s="13">
        <v>41130</v>
      </c>
      <c r="B588">
        <v>26</v>
      </c>
    </row>
    <row r="589" spans="1:2" x14ac:dyDescent="0.3">
      <c r="A589" s="13">
        <v>41131</v>
      </c>
      <c r="B589">
        <v>24</v>
      </c>
    </row>
    <row r="590" spans="1:2" x14ac:dyDescent="0.3">
      <c r="A590" s="13">
        <v>41132</v>
      </c>
      <c r="B590">
        <v>84</v>
      </c>
    </row>
    <row r="591" spans="1:2" x14ac:dyDescent="0.3">
      <c r="A591" s="13">
        <v>41133</v>
      </c>
      <c r="B591">
        <v>104</v>
      </c>
    </row>
    <row r="592" spans="1:2" x14ac:dyDescent="0.3">
      <c r="A592" s="13">
        <v>41134</v>
      </c>
      <c r="B592">
        <v>79</v>
      </c>
    </row>
    <row r="593" spans="1:2" x14ac:dyDescent="0.3">
      <c r="A593" s="13">
        <v>41135</v>
      </c>
      <c r="B593">
        <v>59</v>
      </c>
    </row>
    <row r="594" spans="1:2" x14ac:dyDescent="0.3">
      <c r="A594" s="13">
        <v>41136</v>
      </c>
      <c r="B594">
        <v>38</v>
      </c>
    </row>
    <row r="595" spans="1:2" x14ac:dyDescent="0.3">
      <c r="A595" s="13">
        <v>41137</v>
      </c>
      <c r="B595">
        <v>27</v>
      </c>
    </row>
    <row r="596" spans="1:2" x14ac:dyDescent="0.3">
      <c r="A596" s="13">
        <v>41138</v>
      </c>
      <c r="B596">
        <v>16</v>
      </c>
    </row>
    <row r="597" spans="1:2" x14ac:dyDescent="0.3">
      <c r="A597" s="13">
        <v>41139</v>
      </c>
      <c r="B597">
        <v>9</v>
      </c>
    </row>
    <row r="598" spans="1:2" x14ac:dyDescent="0.3">
      <c r="A598" s="13">
        <v>41140</v>
      </c>
      <c r="B598">
        <v>3</v>
      </c>
    </row>
    <row r="599" spans="1:2" x14ac:dyDescent="0.3">
      <c r="A599" s="13">
        <v>41141</v>
      </c>
      <c r="B599">
        <v>2</v>
      </c>
    </row>
    <row r="600" spans="1:2" x14ac:dyDescent="0.3">
      <c r="A600" s="13">
        <v>41142</v>
      </c>
      <c r="B600">
        <v>1</v>
      </c>
    </row>
    <row r="601" spans="1:2" x14ac:dyDescent="0.3">
      <c r="A601" s="13">
        <v>41143</v>
      </c>
      <c r="B601">
        <v>4</v>
      </c>
    </row>
    <row r="602" spans="1:2" x14ac:dyDescent="0.3">
      <c r="A602" s="13">
        <v>41144</v>
      </c>
      <c r="B602">
        <v>16</v>
      </c>
    </row>
    <row r="603" spans="1:2" x14ac:dyDescent="0.3">
      <c r="A603" s="13">
        <v>41145</v>
      </c>
      <c r="B603">
        <v>60</v>
      </c>
    </row>
    <row r="604" spans="1:2" x14ac:dyDescent="0.3">
      <c r="A604" s="13">
        <v>41146</v>
      </c>
      <c r="B604">
        <v>157</v>
      </c>
    </row>
    <row r="605" spans="1:2" x14ac:dyDescent="0.3">
      <c r="A605" s="13">
        <v>41147</v>
      </c>
      <c r="B605">
        <v>101</v>
      </c>
    </row>
    <row r="606" spans="1:2" x14ac:dyDescent="0.3">
      <c r="A606" s="13">
        <v>41148</v>
      </c>
      <c r="B606">
        <v>49</v>
      </c>
    </row>
    <row r="607" spans="1:2" x14ac:dyDescent="0.3">
      <c r="A607" s="13">
        <v>41149</v>
      </c>
      <c r="B607">
        <v>30</v>
      </c>
    </row>
    <row r="608" spans="1:2" x14ac:dyDescent="0.3">
      <c r="A608" s="13">
        <v>41150</v>
      </c>
      <c r="B608">
        <v>29</v>
      </c>
    </row>
    <row r="609" spans="1:5" x14ac:dyDescent="0.3">
      <c r="A609" s="13">
        <v>41151</v>
      </c>
      <c r="B609">
        <v>31</v>
      </c>
    </row>
    <row r="610" spans="1:5" x14ac:dyDescent="0.3">
      <c r="A610" s="13">
        <v>41152</v>
      </c>
      <c r="B610">
        <v>38</v>
      </c>
    </row>
    <row r="611" spans="1:5" x14ac:dyDescent="0.3">
      <c r="A611" s="13">
        <v>41153</v>
      </c>
      <c r="B611">
        <v>41</v>
      </c>
      <c r="C611">
        <v>41</v>
      </c>
      <c r="D611" s="14">
        <v>41</v>
      </c>
      <c r="E611" s="14">
        <v>41</v>
      </c>
    </row>
    <row r="612" spans="1:5" x14ac:dyDescent="0.3">
      <c r="A612" s="13">
        <v>41154</v>
      </c>
      <c r="C612">
        <f t="shared" ref="C612:C643" si="0">_xlfn.FORECAST.ETS(A612,$B$2:$B$611,$A$2:$A$611,1,1)</f>
        <v>91.697595557319133</v>
      </c>
      <c r="D612" s="14">
        <f t="shared" ref="D612:D643" si="1">C612-_xlfn.FORECAST.ETS.CONFINT(A612,$B$2:$B$611,$A$2:$A$611,0.95,1,1)</f>
        <v>5.8891725160811745</v>
      </c>
      <c r="E612" s="14">
        <f t="shared" ref="E612:E643" si="2">C612+_xlfn.FORECAST.ETS.CONFINT(A612,$B$2:$B$611,$A$2:$A$611,0.95,1,1)</f>
        <v>177.50601859855709</v>
      </c>
    </row>
    <row r="613" spans="1:5" x14ac:dyDescent="0.3">
      <c r="A613" s="13">
        <v>41155</v>
      </c>
      <c r="C613">
        <f t="shared" si="0"/>
        <v>116.7547167251706</v>
      </c>
      <c r="D613" s="14">
        <f t="shared" si="1"/>
        <v>30.945907546897757</v>
      </c>
      <c r="E613" s="14">
        <f t="shared" si="2"/>
        <v>202.56352590344343</v>
      </c>
    </row>
    <row r="614" spans="1:5" x14ac:dyDescent="0.3">
      <c r="A614" s="13">
        <v>41156</v>
      </c>
      <c r="C614">
        <f t="shared" si="0"/>
        <v>100.56556926077971</v>
      </c>
      <c r="D614" s="14">
        <f t="shared" si="1"/>
        <v>14.756073620957437</v>
      </c>
      <c r="E614" s="14">
        <f t="shared" si="2"/>
        <v>186.37506490060198</v>
      </c>
    </row>
    <row r="615" spans="1:5" x14ac:dyDescent="0.3">
      <c r="A615" s="13">
        <v>41157</v>
      </c>
      <c r="C615">
        <f t="shared" si="0"/>
        <v>75.472122860970472</v>
      </c>
      <c r="D615" s="14">
        <f t="shared" si="1"/>
        <v>-10.338445364029056</v>
      </c>
      <c r="E615" s="14">
        <f t="shared" si="2"/>
        <v>161.28269108596999</v>
      </c>
    </row>
    <row r="616" spans="1:5" x14ac:dyDescent="0.3">
      <c r="A616" s="13">
        <v>41158</v>
      </c>
      <c r="C616">
        <f t="shared" si="0"/>
        <v>42.960517834198392</v>
      </c>
      <c r="D616" s="14">
        <f t="shared" si="1"/>
        <v>-42.851594889903858</v>
      </c>
      <c r="E616" s="14">
        <f t="shared" si="2"/>
        <v>128.77263055830065</v>
      </c>
    </row>
    <row r="617" spans="1:5" x14ac:dyDescent="0.3">
      <c r="A617" s="13">
        <v>41159</v>
      </c>
      <c r="C617">
        <f t="shared" si="0"/>
        <v>30.84548984443213</v>
      </c>
      <c r="D617" s="14">
        <f t="shared" si="1"/>
        <v>-54.968725069891981</v>
      </c>
      <c r="E617" s="14">
        <f t="shared" si="2"/>
        <v>116.65970475875625</v>
      </c>
    </row>
    <row r="618" spans="1:5" x14ac:dyDescent="0.3">
      <c r="A618" s="13">
        <v>41160</v>
      </c>
      <c r="C618">
        <f t="shared" si="0"/>
        <v>20.060757411601465</v>
      </c>
      <c r="D618" s="14">
        <f t="shared" si="1"/>
        <v>-65.756203143008946</v>
      </c>
      <c r="E618" s="14">
        <f t="shared" si="2"/>
        <v>105.87771796621186</v>
      </c>
    </row>
    <row r="619" spans="1:5" x14ac:dyDescent="0.3">
      <c r="A619" s="13">
        <v>41161</v>
      </c>
      <c r="C619">
        <f t="shared" si="0"/>
        <v>5.2305320182495052</v>
      </c>
      <c r="D619" s="14">
        <f t="shared" si="1"/>
        <v>-80.589903361409384</v>
      </c>
      <c r="E619" s="14">
        <f t="shared" si="2"/>
        <v>91.050967397908394</v>
      </c>
    </row>
    <row r="620" spans="1:5" x14ac:dyDescent="0.3">
      <c r="A620" s="13">
        <v>41162</v>
      </c>
      <c r="C620">
        <f t="shared" si="0"/>
        <v>-2.6110068123687853</v>
      </c>
      <c r="D620" s="14">
        <f t="shared" si="1"/>
        <v>-88.435731905436754</v>
      </c>
      <c r="E620" s="14">
        <f t="shared" si="2"/>
        <v>83.213718280699183</v>
      </c>
    </row>
    <row r="621" spans="1:5" x14ac:dyDescent="0.3">
      <c r="A621" s="13">
        <v>41163</v>
      </c>
      <c r="C621">
        <f t="shared" si="0"/>
        <v>-4.7408263668318043</v>
      </c>
      <c r="D621" s="14">
        <f t="shared" si="1"/>
        <v>-90.570741726465798</v>
      </c>
      <c r="E621" s="14">
        <f t="shared" si="2"/>
        <v>81.089088992802175</v>
      </c>
    </row>
    <row r="622" spans="1:5" x14ac:dyDescent="0.3">
      <c r="A622" s="13">
        <v>41164</v>
      </c>
      <c r="C622">
        <f t="shared" si="0"/>
        <v>-8.1100206634579592</v>
      </c>
      <c r="D622" s="14">
        <f t="shared" si="1"/>
        <v>-93.946112460259087</v>
      </c>
      <c r="E622" s="14">
        <f t="shared" si="2"/>
        <v>77.726071133343169</v>
      </c>
    </row>
    <row r="623" spans="1:5" x14ac:dyDescent="0.3">
      <c r="A623" s="13">
        <v>41165</v>
      </c>
      <c r="C623">
        <f t="shared" si="0"/>
        <v>-5.6044947505001943</v>
      </c>
      <c r="D623" s="14">
        <f t="shared" si="1"/>
        <v>-91.4478347157673</v>
      </c>
      <c r="E623" s="14">
        <f t="shared" si="2"/>
        <v>80.238845214766911</v>
      </c>
    </row>
    <row r="624" spans="1:5" x14ac:dyDescent="0.3">
      <c r="A624" s="13">
        <v>41166</v>
      </c>
      <c r="C624">
        <f t="shared" si="0"/>
        <v>5.8243600622869138</v>
      </c>
      <c r="D624" s="14">
        <f t="shared" si="1"/>
        <v>-80.02738529646237</v>
      </c>
      <c r="E624" s="14">
        <f t="shared" si="2"/>
        <v>91.676105421036198</v>
      </c>
    </row>
    <row r="625" spans="1:5" x14ac:dyDescent="0.3">
      <c r="A625" s="13">
        <v>41167</v>
      </c>
      <c r="C625">
        <f t="shared" si="0"/>
        <v>36.429345347415556</v>
      </c>
      <c r="D625" s="14">
        <f t="shared" si="1"/>
        <v>-49.432048045500657</v>
      </c>
      <c r="E625" s="14">
        <f t="shared" si="2"/>
        <v>122.29073874033176</v>
      </c>
    </row>
    <row r="626" spans="1:5" x14ac:dyDescent="0.3">
      <c r="A626" s="13">
        <v>41168</v>
      </c>
      <c r="C626">
        <f t="shared" si="0"/>
        <v>78.439243315956745</v>
      </c>
      <c r="D626" s="14">
        <f t="shared" si="1"/>
        <v>-7.433126077533899</v>
      </c>
      <c r="E626" s="14">
        <f t="shared" si="2"/>
        <v>164.31161270944739</v>
      </c>
    </row>
    <row r="627" spans="1:5" x14ac:dyDescent="0.3">
      <c r="A627" s="13">
        <v>41169</v>
      </c>
      <c r="C627">
        <f t="shared" si="0"/>
        <v>102.81836691155024</v>
      </c>
      <c r="D627" s="14">
        <f t="shared" si="1"/>
        <v>16.933608328018991</v>
      </c>
      <c r="E627" s="14">
        <f t="shared" si="2"/>
        <v>188.70312549508151</v>
      </c>
    </row>
    <row r="628" spans="1:5" x14ac:dyDescent="0.3">
      <c r="A628" s="13">
        <v>41170</v>
      </c>
      <c r="C628">
        <f t="shared" si="0"/>
        <v>63.374849530762248</v>
      </c>
      <c r="D628" s="14">
        <f t="shared" si="1"/>
        <v>-22.523796539138345</v>
      </c>
      <c r="E628" s="14">
        <f t="shared" si="2"/>
        <v>149.27349560066284</v>
      </c>
    </row>
    <row r="629" spans="1:5" x14ac:dyDescent="0.3">
      <c r="A629" s="13">
        <v>41171</v>
      </c>
      <c r="C629">
        <f t="shared" si="0"/>
        <v>41.641547831761379</v>
      </c>
      <c r="D629" s="14">
        <f t="shared" si="1"/>
        <v>-44.272568997167546</v>
      </c>
      <c r="E629" s="14">
        <f t="shared" si="2"/>
        <v>127.5556646606903</v>
      </c>
    </row>
    <row r="630" spans="1:5" x14ac:dyDescent="0.3">
      <c r="A630" s="13">
        <v>41172</v>
      </c>
      <c r="C630">
        <f t="shared" si="0"/>
        <v>39.386351819469219</v>
      </c>
      <c r="D630" s="14">
        <f t="shared" si="1"/>
        <v>-46.544903871814476</v>
      </c>
      <c r="E630" s="14">
        <f t="shared" si="2"/>
        <v>125.31760751075291</v>
      </c>
    </row>
    <row r="631" spans="1:5" x14ac:dyDescent="0.3">
      <c r="A631" s="13">
        <v>41173</v>
      </c>
      <c r="C631">
        <f t="shared" si="0"/>
        <v>33.598435571279055</v>
      </c>
      <c r="D631" s="14">
        <f t="shared" si="1"/>
        <v>-52.351711754777142</v>
      </c>
      <c r="E631" s="14">
        <f t="shared" si="2"/>
        <v>119.54858289733525</v>
      </c>
    </row>
    <row r="632" spans="1:5" x14ac:dyDescent="0.3">
      <c r="A632" s="13">
        <v>41174</v>
      </c>
      <c r="C632">
        <f t="shared" si="0"/>
        <v>32.872118995089373</v>
      </c>
      <c r="D632" s="14">
        <f t="shared" si="1"/>
        <v>-53.098757228988624</v>
      </c>
      <c r="E632" s="14">
        <f t="shared" si="2"/>
        <v>118.84299521916736</v>
      </c>
    </row>
    <row r="633" spans="1:5" x14ac:dyDescent="0.3">
      <c r="A633" s="13">
        <v>41175</v>
      </c>
      <c r="C633">
        <f t="shared" si="0"/>
        <v>37.199499828519428</v>
      </c>
      <c r="D633" s="14">
        <f t="shared" si="1"/>
        <v>-48.794026851961767</v>
      </c>
      <c r="E633" s="14">
        <f t="shared" si="2"/>
        <v>123.19302650900062</v>
      </c>
    </row>
    <row r="634" spans="1:5" x14ac:dyDescent="0.3">
      <c r="A634" s="13">
        <v>41176</v>
      </c>
      <c r="C634">
        <f t="shared" si="0"/>
        <v>41.094701641713407</v>
      </c>
      <c r="D634" s="14">
        <f t="shared" si="1"/>
        <v>-44.923481134804085</v>
      </c>
      <c r="E634" s="14">
        <f t="shared" si="2"/>
        <v>127.11288441823089</v>
      </c>
    </row>
    <row r="635" spans="1:5" x14ac:dyDescent="0.3">
      <c r="A635" s="13">
        <v>41177</v>
      </c>
      <c r="C635">
        <f t="shared" si="0"/>
        <v>91.792297199032532</v>
      </c>
      <c r="D635" s="14">
        <f t="shared" si="1"/>
        <v>-5.3085689115048211</v>
      </c>
      <c r="E635" s="14">
        <f t="shared" si="2"/>
        <v>188.8931633095699</v>
      </c>
    </row>
    <row r="636" spans="1:5" x14ac:dyDescent="0.3">
      <c r="A636" s="13">
        <v>41178</v>
      </c>
      <c r="C636">
        <f t="shared" si="0"/>
        <v>116.84941836688401</v>
      </c>
      <c r="D636" s="14">
        <f t="shared" si="1"/>
        <v>19.72292535292452</v>
      </c>
      <c r="E636" s="14">
        <f t="shared" si="2"/>
        <v>213.97591138084351</v>
      </c>
    </row>
    <row r="637" spans="1:5" x14ac:dyDescent="0.3">
      <c r="A637" s="13">
        <v>41179</v>
      </c>
      <c r="C637">
        <f t="shared" si="0"/>
        <v>100.66027090249311</v>
      </c>
      <c r="D637" s="14">
        <f t="shared" si="1"/>
        <v>3.5061493507309365</v>
      </c>
      <c r="E637" s="14">
        <f t="shared" si="2"/>
        <v>197.81439245425528</v>
      </c>
    </row>
    <row r="638" spans="1:5" x14ac:dyDescent="0.3">
      <c r="A638" s="13">
        <v>41180</v>
      </c>
      <c r="C638">
        <f t="shared" si="0"/>
        <v>75.566824502683872</v>
      </c>
      <c r="D638" s="14">
        <f t="shared" si="1"/>
        <v>-21.617001278662073</v>
      </c>
      <c r="E638" s="14">
        <f t="shared" si="2"/>
        <v>172.7506502840298</v>
      </c>
    </row>
    <row r="639" spans="1:5" x14ac:dyDescent="0.3">
      <c r="A639" s="13">
        <v>41181</v>
      </c>
      <c r="C639">
        <f t="shared" si="0"/>
        <v>43.055219475911798</v>
      </c>
      <c r="D639" s="14">
        <f t="shared" si="1"/>
        <v>-54.160460063835899</v>
      </c>
      <c r="E639" s="14">
        <f t="shared" si="2"/>
        <v>140.2708990156595</v>
      </c>
    </row>
    <row r="640" spans="1:5" x14ac:dyDescent="0.3">
      <c r="A640" s="13">
        <v>41182</v>
      </c>
      <c r="C640">
        <f t="shared" si="0"/>
        <v>30.940191486145537</v>
      </c>
      <c r="D640" s="14">
        <f t="shared" si="1"/>
        <v>-66.309564941792431</v>
      </c>
      <c r="E640" s="14">
        <f t="shared" si="2"/>
        <v>128.18994791408352</v>
      </c>
    </row>
    <row r="641" spans="1:5" x14ac:dyDescent="0.3">
      <c r="A641" s="13">
        <v>41183</v>
      </c>
      <c r="C641">
        <f t="shared" si="0"/>
        <v>20.155459053314878</v>
      </c>
      <c r="D641" s="14">
        <f t="shared" si="1"/>
        <v>-77.130670741352958</v>
      </c>
      <c r="E641" s="14">
        <f t="shared" si="2"/>
        <v>117.4415888479827</v>
      </c>
    </row>
    <row r="642" spans="1:5" x14ac:dyDescent="0.3">
      <c r="A642" s="13">
        <v>41184</v>
      </c>
      <c r="C642">
        <f t="shared" si="0"/>
        <v>5.3252336599629189</v>
      </c>
      <c r="D642" s="14">
        <f t="shared" si="1"/>
        <v>-91.99963905991757</v>
      </c>
      <c r="E642" s="14">
        <f t="shared" si="2"/>
        <v>102.65010637984341</v>
      </c>
    </row>
    <row r="643" spans="1:5" x14ac:dyDescent="0.3">
      <c r="A643" s="13">
        <v>41185</v>
      </c>
      <c r="C643">
        <f t="shared" si="0"/>
        <v>-2.5163051706553787</v>
      </c>
      <c r="D643" s="14">
        <f t="shared" si="1"/>
        <v>-99.882363168358722</v>
      </c>
      <c r="E643" s="14">
        <f t="shared" si="2"/>
        <v>94.849752827047951</v>
      </c>
    </row>
    <row r="644" spans="1:5" x14ac:dyDescent="0.3">
      <c r="A644" s="13">
        <v>41186</v>
      </c>
      <c r="C644">
        <f t="shared" ref="C644:C675" si="3">_xlfn.FORECAST.ETS(A644,$B$2:$B$611,$A$2:$A$611,1,1)</f>
        <v>-4.6461247251183977</v>
      </c>
      <c r="D644" s="14">
        <f t="shared" ref="D644:D675" si="4">C644-_xlfn.FORECAST.ETS.CONFINT(A644,$B$2:$B$611,$A$2:$A$611,0.95,1,1)</f>
        <v>-102.05588284415627</v>
      </c>
      <c r="E644" s="14">
        <f t="shared" ref="E644:E675" si="5">C644+_xlfn.FORECAST.ETS.CONFINT(A644,$B$2:$B$611,$A$2:$A$611,0.95,1,1)</f>
        <v>92.763633393919477</v>
      </c>
    </row>
    <row r="645" spans="1:5" x14ac:dyDescent="0.3">
      <c r="A645" s="13">
        <v>41187</v>
      </c>
      <c r="C645">
        <f t="shared" si="3"/>
        <v>-8.0153190217445527</v>
      </c>
      <c r="D645" s="14">
        <f t="shared" si="4"/>
        <v>-105.47136427550947</v>
      </c>
      <c r="E645" s="14">
        <f t="shared" si="5"/>
        <v>89.440726232020381</v>
      </c>
    </row>
    <row r="646" spans="1:5" x14ac:dyDescent="0.3">
      <c r="A646" s="13">
        <v>41188</v>
      </c>
      <c r="C646">
        <f t="shared" si="3"/>
        <v>-5.5097931087867877</v>
      </c>
      <c r="D646" s="14">
        <f t="shared" si="4"/>
        <v>-103.01478434137081</v>
      </c>
      <c r="E646" s="14">
        <f t="shared" si="5"/>
        <v>91.995198123797252</v>
      </c>
    </row>
    <row r="647" spans="1:5" x14ac:dyDescent="0.3">
      <c r="A647" s="13">
        <v>41189</v>
      </c>
      <c r="C647">
        <f t="shared" si="3"/>
        <v>5.9190617040003275</v>
      </c>
      <c r="D647" s="14">
        <f t="shared" si="4"/>
        <v>-91.637605824506565</v>
      </c>
      <c r="E647" s="14">
        <f t="shared" si="5"/>
        <v>103.47572923250722</v>
      </c>
    </row>
    <row r="648" spans="1:5" x14ac:dyDescent="0.3">
      <c r="A648" s="13">
        <v>41190</v>
      </c>
      <c r="C648">
        <f t="shared" si="3"/>
        <v>36.524046989128962</v>
      </c>
      <c r="D648" s="14">
        <f t="shared" si="4"/>
        <v>-61.087098248896183</v>
      </c>
      <c r="E648" s="14">
        <f t="shared" si="5"/>
        <v>134.13519222715411</v>
      </c>
    </row>
    <row r="649" spans="1:5" x14ac:dyDescent="0.3">
      <c r="A649" s="13">
        <v>41191</v>
      </c>
      <c r="C649">
        <f t="shared" si="3"/>
        <v>78.533944957670144</v>
      </c>
      <c r="D649" s="14">
        <f t="shared" si="4"/>
        <v>-19.134550104303827</v>
      </c>
      <c r="E649" s="14">
        <f t="shared" si="5"/>
        <v>176.20244001964411</v>
      </c>
    </row>
    <row r="650" spans="1:5" x14ac:dyDescent="0.3">
      <c r="A650" s="13">
        <v>41192</v>
      </c>
      <c r="C650">
        <f t="shared" si="3"/>
        <v>102.91306855326366</v>
      </c>
      <c r="D650" s="14">
        <f t="shared" si="4"/>
        <v>5.1842812671494727</v>
      </c>
      <c r="E650" s="14">
        <f t="shared" si="5"/>
        <v>200.64185583937785</v>
      </c>
    </row>
    <row r="651" spans="1:5" x14ac:dyDescent="0.3">
      <c r="A651" s="13">
        <v>41193</v>
      </c>
      <c r="C651">
        <f t="shared" si="3"/>
        <v>63.469551172475654</v>
      </c>
      <c r="D651" s="14">
        <f t="shared" si="4"/>
        <v>-34.322540588979784</v>
      </c>
      <c r="E651" s="14">
        <f t="shared" si="5"/>
        <v>161.26164293393109</v>
      </c>
    </row>
    <row r="652" spans="1:5" x14ac:dyDescent="0.3">
      <c r="A652" s="13">
        <v>41194</v>
      </c>
      <c r="C652">
        <f t="shared" si="3"/>
        <v>41.736249473474793</v>
      </c>
      <c r="D652" s="14">
        <f t="shared" si="4"/>
        <v>-56.12222841087037</v>
      </c>
      <c r="E652" s="14">
        <f t="shared" si="5"/>
        <v>139.59472735781995</v>
      </c>
    </row>
    <row r="653" spans="1:5" x14ac:dyDescent="0.3">
      <c r="A653" s="13">
        <v>41195</v>
      </c>
      <c r="C653">
        <f t="shared" si="3"/>
        <v>39.481053461182626</v>
      </c>
      <c r="D653" s="14">
        <f t="shared" si="4"/>
        <v>-58.446961115164896</v>
      </c>
      <c r="E653" s="14">
        <f t="shared" si="5"/>
        <v>137.40906803753015</v>
      </c>
    </row>
    <row r="654" spans="1:5" x14ac:dyDescent="0.3">
      <c r="A654" s="13">
        <v>41196</v>
      </c>
      <c r="C654">
        <f t="shared" si="3"/>
        <v>33.693137212992461</v>
      </c>
      <c r="D654" s="14">
        <f t="shared" si="4"/>
        <v>-64.307633050945952</v>
      </c>
      <c r="E654" s="14">
        <f t="shared" si="5"/>
        <v>131.69390747693086</v>
      </c>
    </row>
    <row r="655" spans="1:5" x14ac:dyDescent="0.3">
      <c r="A655" s="13">
        <v>41197</v>
      </c>
      <c r="C655">
        <f t="shared" si="3"/>
        <v>32.96682063680278</v>
      </c>
      <c r="D655" s="14">
        <f t="shared" si="4"/>
        <v>-65.109992221239764</v>
      </c>
      <c r="E655" s="14">
        <f t="shared" si="5"/>
        <v>131.04363349484532</v>
      </c>
    </row>
    <row r="656" spans="1:5" x14ac:dyDescent="0.3">
      <c r="A656" s="13">
        <v>41198</v>
      </c>
      <c r="C656">
        <f t="shared" si="3"/>
        <v>37.294201470232835</v>
      </c>
      <c r="D656" s="14">
        <f t="shared" si="4"/>
        <v>-60.862008263207187</v>
      </c>
      <c r="E656" s="14">
        <f t="shared" si="5"/>
        <v>135.45041120367284</v>
      </c>
    </row>
    <row r="657" spans="1:5" x14ac:dyDescent="0.3">
      <c r="A657" s="13">
        <v>41199</v>
      </c>
      <c r="C657">
        <f t="shared" si="3"/>
        <v>41.18940328342682</v>
      </c>
      <c r="D657" s="14">
        <f t="shared" si="4"/>
        <v>-57.049624424642765</v>
      </c>
      <c r="E657" s="14">
        <f t="shared" si="5"/>
        <v>139.42843099149641</v>
      </c>
    </row>
    <row r="658" spans="1:5" x14ac:dyDescent="0.3">
      <c r="A658" s="13">
        <v>41200</v>
      </c>
      <c r="C658">
        <f t="shared" si="3"/>
        <v>91.886998840745946</v>
      </c>
      <c r="D658" s="14">
        <f t="shared" si="4"/>
        <v>-17.02613435472955</v>
      </c>
      <c r="E658" s="14">
        <f t="shared" si="5"/>
        <v>200.80013203622144</v>
      </c>
    </row>
    <row r="659" spans="1:5" x14ac:dyDescent="0.3">
      <c r="A659" s="13">
        <v>41201</v>
      </c>
      <c r="C659">
        <f t="shared" si="3"/>
        <v>116.94412000859742</v>
      </c>
      <c r="D659" s="14">
        <f t="shared" si="4"/>
        <v>7.9498570831735407</v>
      </c>
      <c r="E659" s="14">
        <f t="shared" si="5"/>
        <v>225.93838293402132</v>
      </c>
    </row>
    <row r="660" spans="1:5" x14ac:dyDescent="0.3">
      <c r="A660" s="13">
        <v>41202</v>
      </c>
      <c r="C660">
        <f t="shared" si="3"/>
        <v>100.75497254420651</v>
      </c>
      <c r="D660" s="14">
        <f t="shared" si="4"/>
        <v>-8.3237011932316847</v>
      </c>
      <c r="E660" s="14">
        <f t="shared" si="5"/>
        <v>209.83364628164469</v>
      </c>
    </row>
    <row r="661" spans="1:5" x14ac:dyDescent="0.3">
      <c r="A661" s="13">
        <v>41203</v>
      </c>
      <c r="C661">
        <f t="shared" si="3"/>
        <v>75.661526144397271</v>
      </c>
      <c r="D661" s="14">
        <f t="shared" si="4"/>
        <v>-33.504899324299359</v>
      </c>
      <c r="E661" s="14">
        <f t="shared" si="5"/>
        <v>184.82795161309389</v>
      </c>
    </row>
    <row r="662" spans="1:5" x14ac:dyDescent="0.3">
      <c r="A662" s="13">
        <v>41204</v>
      </c>
      <c r="C662">
        <f t="shared" si="3"/>
        <v>43.149921117625205</v>
      </c>
      <c r="D662" s="14">
        <f t="shared" si="4"/>
        <v>-66.107656343662939</v>
      </c>
      <c r="E662" s="14">
        <f t="shared" si="5"/>
        <v>152.40749857891336</v>
      </c>
    </row>
    <row r="663" spans="1:5" x14ac:dyDescent="0.3">
      <c r="A663" s="13">
        <v>41205</v>
      </c>
      <c r="C663">
        <f t="shared" si="3"/>
        <v>31.03489312785895</v>
      </c>
      <c r="D663" s="14">
        <f t="shared" si="4"/>
        <v>-78.317295418050236</v>
      </c>
      <c r="E663" s="14">
        <f t="shared" si="5"/>
        <v>140.38708167376814</v>
      </c>
    </row>
    <row r="664" spans="1:5" x14ac:dyDescent="0.3">
      <c r="A664" s="13">
        <v>41206</v>
      </c>
      <c r="C664">
        <f t="shared" si="3"/>
        <v>20.250160695028285</v>
      </c>
      <c r="D664" s="14">
        <f t="shared" si="4"/>
        <v>-89.200156330531314</v>
      </c>
      <c r="E664" s="14">
        <f t="shared" si="5"/>
        <v>129.70047772058788</v>
      </c>
    </row>
    <row r="665" spans="1:5" x14ac:dyDescent="0.3">
      <c r="A665" s="13">
        <v>41207</v>
      </c>
      <c r="C665">
        <f t="shared" si="3"/>
        <v>5.4199353016763254</v>
      </c>
      <c r="D665" s="14">
        <f t="shared" si="4"/>
        <v>-104.13208535758213</v>
      </c>
      <c r="E665" s="14">
        <f t="shared" si="5"/>
        <v>114.97195596093479</v>
      </c>
    </row>
    <row r="666" spans="1:5" x14ac:dyDescent="0.3">
      <c r="A666" s="13">
        <v>41208</v>
      </c>
      <c r="C666">
        <f t="shared" si="3"/>
        <v>-2.4216035289419722</v>
      </c>
      <c r="D666" s="14">
        <f t="shared" si="4"/>
        <v>-112.07896017474243</v>
      </c>
      <c r="E666" s="14">
        <f t="shared" si="5"/>
        <v>107.23575311685849</v>
      </c>
    </row>
    <row r="667" spans="1:5" x14ac:dyDescent="0.3">
      <c r="A667" s="13">
        <v>41209</v>
      </c>
      <c r="C667">
        <f t="shared" si="3"/>
        <v>-4.5514230834049911</v>
      </c>
      <c r="D667" s="14">
        <f t="shared" si="4"/>
        <v>-114.3178046909787</v>
      </c>
      <c r="E667" s="14">
        <f t="shared" si="5"/>
        <v>105.21495852416871</v>
      </c>
    </row>
    <row r="668" spans="1:5" x14ac:dyDescent="0.3">
      <c r="A668" s="13">
        <v>41210</v>
      </c>
      <c r="C668">
        <f t="shared" si="3"/>
        <v>-7.920617380031139</v>
      </c>
      <c r="D668" s="14">
        <f t="shared" si="4"/>
        <v>-117.79976895449116</v>
      </c>
      <c r="E668" s="14">
        <f t="shared" si="5"/>
        <v>101.95853419442889</v>
      </c>
    </row>
    <row r="669" spans="1:5" x14ac:dyDescent="0.3">
      <c r="A669" s="13">
        <v>41211</v>
      </c>
      <c r="C669">
        <f t="shared" si="3"/>
        <v>-5.4150914670733741</v>
      </c>
      <c r="D669" s="14">
        <f t="shared" si="4"/>
        <v>-115.41081343491271</v>
      </c>
      <c r="E669" s="14">
        <f t="shared" si="5"/>
        <v>104.58063050076598</v>
      </c>
    </row>
    <row r="670" spans="1:5" x14ac:dyDescent="0.3">
      <c r="A670" s="13">
        <v>41212</v>
      </c>
      <c r="C670">
        <f t="shared" si="3"/>
        <v>6.0137633457137341</v>
      </c>
      <c r="D670" s="14">
        <f t="shared" si="4"/>
        <v>-104.10238423900512</v>
      </c>
      <c r="E670" s="14">
        <f t="shared" si="5"/>
        <v>116.12991093043257</v>
      </c>
    </row>
    <row r="671" spans="1:5" x14ac:dyDescent="0.3">
      <c r="A671" s="13">
        <v>41213</v>
      </c>
      <c r="C671">
        <f t="shared" si="3"/>
        <v>36.618748630842369</v>
      </c>
      <c r="D671" s="14">
        <f t="shared" si="4"/>
        <v>-73.621733951166448</v>
      </c>
      <c r="E671" s="14">
        <f t="shared" si="5"/>
        <v>146.8592312128512</v>
      </c>
    </row>
    <row r="672" spans="1:5" x14ac:dyDescent="0.3">
      <c r="A672" s="13">
        <v>41214</v>
      </c>
      <c r="C672">
        <f t="shared" si="3"/>
        <v>78.628646599383558</v>
      </c>
      <c r="D672" s="14">
        <f t="shared" si="4"/>
        <v>-31.740133861582734</v>
      </c>
      <c r="E672" s="14">
        <f t="shared" si="5"/>
        <v>188.99742706034985</v>
      </c>
    </row>
    <row r="673" spans="1:5" x14ac:dyDescent="0.3">
      <c r="A673" s="13">
        <v>41215</v>
      </c>
      <c r="C673">
        <f t="shared" si="3"/>
        <v>103.00777019497707</v>
      </c>
      <c r="D673" s="14">
        <f t="shared" si="4"/>
        <v>-7.4933238568505942</v>
      </c>
      <c r="E673" s="14">
        <f t="shared" si="5"/>
        <v>213.50886424680473</v>
      </c>
    </row>
    <row r="674" spans="1:5" x14ac:dyDescent="0.3">
      <c r="A674" s="13">
        <v>41216</v>
      </c>
      <c r="C674">
        <f t="shared" si="3"/>
        <v>63.564252814189068</v>
      </c>
      <c r="D674" s="14">
        <f t="shared" si="4"/>
        <v>-47.073222684462742</v>
      </c>
      <c r="E674" s="14">
        <f t="shared" si="5"/>
        <v>174.20172831284088</v>
      </c>
    </row>
    <row r="675" spans="1:5" x14ac:dyDescent="0.3">
      <c r="A675" s="13">
        <v>41217</v>
      </c>
      <c r="C675">
        <f t="shared" si="3"/>
        <v>41.830951115188199</v>
      </c>
      <c r="D675" s="14">
        <f t="shared" si="4"/>
        <v>-68.947025129206438</v>
      </c>
      <c r="E675" s="14">
        <f t="shared" si="5"/>
        <v>152.60892735958282</v>
      </c>
    </row>
    <row r="676" spans="1:5" x14ac:dyDescent="0.3">
      <c r="A676" s="13">
        <v>41218</v>
      </c>
      <c r="C676">
        <f t="shared" ref="C676:C707" si="6">_xlfn.FORECAST.ETS(A676,$B$2:$B$611,$A$2:$A$611,1,1)</f>
        <v>39.575755102896032</v>
      </c>
      <c r="D676" s="14">
        <f t="shared" ref="D676:D707" si="7">C676-_xlfn.FORECAST.ETS.CONFINT(A676,$B$2:$B$611,$A$2:$A$611,0.95,1,1)</f>
        <v>-71.346891913339732</v>
      </c>
      <c r="E676" s="14">
        <f t="shared" ref="E676:E707" si="8">C676+_xlfn.FORECAST.ETS.CONFINT(A676,$B$2:$B$611,$A$2:$A$611,0.95,1,1)</f>
        <v>150.49840211913178</v>
      </c>
    </row>
    <row r="677" spans="1:5" x14ac:dyDescent="0.3">
      <c r="A677" s="13">
        <v>41219</v>
      </c>
      <c r="C677">
        <f t="shared" si="6"/>
        <v>33.787838854705868</v>
      </c>
      <c r="D677" s="14">
        <f t="shared" si="7"/>
        <v>-77.28369895647252</v>
      </c>
      <c r="E677" s="14">
        <f t="shared" si="8"/>
        <v>144.85937666588427</v>
      </c>
    </row>
    <row r="678" spans="1:5" x14ac:dyDescent="0.3">
      <c r="A678" s="13">
        <v>41220</v>
      </c>
      <c r="C678">
        <f t="shared" si="6"/>
        <v>33.061522278516186</v>
      </c>
      <c r="D678" s="14">
        <f t="shared" si="7"/>
        <v>-78.163175603426282</v>
      </c>
      <c r="E678" s="14">
        <f t="shared" si="8"/>
        <v>144.28622016045864</v>
      </c>
    </row>
    <row r="679" spans="1:5" x14ac:dyDescent="0.3">
      <c r="A679" s="13">
        <v>41221</v>
      </c>
      <c r="C679">
        <f t="shared" si="6"/>
        <v>37.388903111946249</v>
      </c>
      <c r="D679" s="14">
        <f t="shared" si="7"/>
        <v>-73.993272611225024</v>
      </c>
      <c r="E679" s="14">
        <f t="shared" si="8"/>
        <v>148.77107883511752</v>
      </c>
    </row>
    <row r="680" spans="1:5" x14ac:dyDescent="0.3">
      <c r="A680" s="13">
        <v>41222</v>
      </c>
      <c r="C680">
        <f t="shared" si="6"/>
        <v>41.284104925140227</v>
      </c>
      <c r="D680" s="14">
        <f t="shared" si="7"/>
        <v>-70.259914132830971</v>
      </c>
      <c r="E680" s="14">
        <f t="shared" si="8"/>
        <v>152.82812398311142</v>
      </c>
    </row>
    <row r="681" spans="1:5" x14ac:dyDescent="0.3">
      <c r="A681" s="13">
        <v>41223</v>
      </c>
      <c r="C681">
        <f t="shared" si="6"/>
        <v>91.98170048245936</v>
      </c>
      <c r="D681" s="14">
        <f t="shared" si="7"/>
        <v>-29.849067124257061</v>
      </c>
      <c r="E681" s="14">
        <f t="shared" si="8"/>
        <v>213.81246808917578</v>
      </c>
    </row>
    <row r="682" spans="1:5" x14ac:dyDescent="0.3">
      <c r="A682" s="13">
        <v>41224</v>
      </c>
      <c r="C682">
        <f t="shared" si="6"/>
        <v>117.03882165031082</v>
      </c>
      <c r="D682" s="14">
        <f t="shared" si="7"/>
        <v>-4.9484980624011001</v>
      </c>
      <c r="E682" s="14">
        <f t="shared" si="8"/>
        <v>239.02614136302276</v>
      </c>
    </row>
    <row r="683" spans="1:5" x14ac:dyDescent="0.3">
      <c r="A683" s="13">
        <v>41225</v>
      </c>
      <c r="C683">
        <f t="shared" si="6"/>
        <v>100.84967418591992</v>
      </c>
      <c r="D683" s="14">
        <f t="shared" si="7"/>
        <v>-21.298367358484057</v>
      </c>
      <c r="E683" s="14">
        <f t="shared" si="8"/>
        <v>222.9977157303239</v>
      </c>
    </row>
    <row r="684" spans="1:5" x14ac:dyDescent="0.3">
      <c r="A684" s="13">
        <v>41226</v>
      </c>
      <c r="C684">
        <f t="shared" si="6"/>
        <v>75.756227786110685</v>
      </c>
      <c r="D684" s="14">
        <f t="shared" si="7"/>
        <v>-46.556749077093869</v>
      </c>
      <c r="E684" s="14">
        <f t="shared" si="8"/>
        <v>198.06920464931522</v>
      </c>
    </row>
    <row r="685" spans="1:5" x14ac:dyDescent="0.3">
      <c r="A685" s="13">
        <v>41227</v>
      </c>
      <c r="C685">
        <f t="shared" si="6"/>
        <v>43.244622759338618</v>
      </c>
      <c r="D685" s="14">
        <f t="shared" si="7"/>
        <v>-79.237546003622356</v>
      </c>
      <c r="E685" s="14">
        <f t="shared" si="8"/>
        <v>165.72679152229958</v>
      </c>
    </row>
    <row r="686" spans="1:5" x14ac:dyDescent="0.3">
      <c r="A686" s="13">
        <v>41228</v>
      </c>
      <c r="C686">
        <f t="shared" si="6"/>
        <v>31.129594769572357</v>
      </c>
      <c r="D686" s="14">
        <f t="shared" si="7"/>
        <v>-91.526064889993592</v>
      </c>
      <c r="E686" s="14">
        <f t="shared" si="8"/>
        <v>153.78525442913832</v>
      </c>
    </row>
    <row r="687" spans="1:5" x14ac:dyDescent="0.3">
      <c r="A687" s="13">
        <v>41229</v>
      </c>
      <c r="C687">
        <f t="shared" si="6"/>
        <v>20.344862336741691</v>
      </c>
      <c r="D687" s="14">
        <f t="shared" si="7"/>
        <v>-102.48862894411468</v>
      </c>
      <c r="E687" s="14">
        <f t="shared" si="8"/>
        <v>143.17835361759808</v>
      </c>
    </row>
    <row r="688" spans="1:5" x14ac:dyDescent="0.3">
      <c r="A688" s="13">
        <v>41230</v>
      </c>
      <c r="C688">
        <f t="shared" si="6"/>
        <v>5.514636943389732</v>
      </c>
      <c r="D688" s="14">
        <f t="shared" si="7"/>
        <v>-117.50106771342311</v>
      </c>
      <c r="E688" s="14">
        <f t="shared" si="8"/>
        <v>128.53034160020258</v>
      </c>
    </row>
    <row r="689" spans="1:5" x14ac:dyDescent="0.3">
      <c r="A689" s="13">
        <v>41231</v>
      </c>
      <c r="C689">
        <f t="shared" si="6"/>
        <v>-2.3269018872285656</v>
      </c>
      <c r="D689" s="14">
        <f t="shared" si="7"/>
        <v>-125.52924199730185</v>
      </c>
      <c r="E689" s="14">
        <f t="shared" si="8"/>
        <v>120.87543822284471</v>
      </c>
    </row>
    <row r="690" spans="1:5" x14ac:dyDescent="0.3">
      <c r="A690" s="13">
        <v>41232</v>
      </c>
      <c r="C690">
        <f t="shared" si="6"/>
        <v>-4.4567214416915775</v>
      </c>
      <c r="D690" s="14">
        <f t="shared" si="7"/>
        <v>-127.85015868846352</v>
      </c>
      <c r="E690" s="14">
        <f t="shared" si="8"/>
        <v>118.93671580508035</v>
      </c>
    </row>
    <row r="691" spans="1:5" x14ac:dyDescent="0.3">
      <c r="A691" s="13">
        <v>41233</v>
      </c>
      <c r="C691">
        <f t="shared" si="6"/>
        <v>-7.8259157383177325</v>
      </c>
      <c r="D691" s="14">
        <f t="shared" si="7"/>
        <v>-131.41495068603371</v>
      </c>
      <c r="E691" s="14">
        <f t="shared" si="8"/>
        <v>115.76311920939823</v>
      </c>
    </row>
    <row r="692" spans="1:5" x14ac:dyDescent="0.3">
      <c r="A692" s="13">
        <v>41234</v>
      </c>
      <c r="C692">
        <f t="shared" si="6"/>
        <v>-5.3203898253599675</v>
      </c>
      <c r="D692" s="14">
        <f t="shared" si="7"/>
        <v>-129.10956118527025</v>
      </c>
      <c r="E692" s="14">
        <f t="shared" si="8"/>
        <v>118.46878153455032</v>
      </c>
    </row>
    <row r="693" spans="1:5" x14ac:dyDescent="0.3">
      <c r="A693" s="13">
        <v>41235</v>
      </c>
      <c r="C693">
        <f t="shared" si="6"/>
        <v>6.1084649874271406</v>
      </c>
      <c r="D693" s="14">
        <f t="shared" si="7"/>
        <v>-117.88541890101473</v>
      </c>
      <c r="E693" s="14">
        <f t="shared" si="8"/>
        <v>130.10234887586901</v>
      </c>
    </row>
    <row r="694" spans="1:5" x14ac:dyDescent="0.3">
      <c r="A694" s="13">
        <v>41236</v>
      </c>
      <c r="C694">
        <f t="shared" si="6"/>
        <v>36.713450272555775</v>
      </c>
      <c r="D694" s="14">
        <f t="shared" si="7"/>
        <v>-87.489758916177379</v>
      </c>
      <c r="E694" s="14">
        <f t="shared" si="8"/>
        <v>160.91665946128893</v>
      </c>
    </row>
    <row r="695" spans="1:5" x14ac:dyDescent="0.3">
      <c r="A695" s="13">
        <v>41237</v>
      </c>
      <c r="C695">
        <f t="shared" si="6"/>
        <v>78.723348241096971</v>
      </c>
      <c r="D695" s="14">
        <f t="shared" si="7"/>
        <v>-45.693834918077471</v>
      </c>
      <c r="E695" s="14">
        <f t="shared" si="8"/>
        <v>203.14053140027141</v>
      </c>
    </row>
    <row r="696" spans="1:5" x14ac:dyDescent="0.3">
      <c r="A696" s="13">
        <v>41238</v>
      </c>
      <c r="C696">
        <f t="shared" si="6"/>
        <v>103.10247183669048</v>
      </c>
      <c r="D696" s="14">
        <f t="shared" si="7"/>
        <v>-21.533369097454127</v>
      </c>
      <c r="E696" s="14">
        <f t="shared" si="8"/>
        <v>227.73831277083508</v>
      </c>
    </row>
    <row r="697" spans="1:5" x14ac:dyDescent="0.3">
      <c r="A697" s="13">
        <v>41239</v>
      </c>
      <c r="C697">
        <f t="shared" si="6"/>
        <v>63.658954455902474</v>
      </c>
      <c r="D697" s="14">
        <f t="shared" si="7"/>
        <v>-61.200262421525721</v>
      </c>
      <c r="E697" s="14">
        <f t="shared" si="8"/>
        <v>188.51817133333066</v>
      </c>
    </row>
    <row r="698" spans="1:5" x14ac:dyDescent="0.3">
      <c r="A698" s="13">
        <v>41240</v>
      </c>
      <c r="C698">
        <f t="shared" si="6"/>
        <v>41.925652756901606</v>
      </c>
      <c r="D698" s="14">
        <f t="shared" si="7"/>
        <v>-83.161691819135541</v>
      </c>
      <c r="E698" s="14">
        <f t="shared" si="8"/>
        <v>167.01299733293877</v>
      </c>
    </row>
    <row r="699" spans="1:5" x14ac:dyDescent="0.3">
      <c r="A699" s="13">
        <v>41241</v>
      </c>
      <c r="C699">
        <f t="shared" si="6"/>
        <v>39.670456744609439</v>
      </c>
      <c r="D699" s="14">
        <f t="shared" si="7"/>
        <v>-85.649800089834997</v>
      </c>
      <c r="E699" s="14">
        <f t="shared" si="8"/>
        <v>164.99071357905387</v>
      </c>
    </row>
    <row r="700" spans="1:5" x14ac:dyDescent="0.3">
      <c r="A700" s="13">
        <v>41242</v>
      </c>
      <c r="C700">
        <f t="shared" si="6"/>
        <v>33.882540496419274</v>
      </c>
      <c r="D700" s="14">
        <f t="shared" si="7"/>
        <v>-91.675445172817206</v>
      </c>
      <c r="E700" s="14">
        <f t="shared" si="8"/>
        <v>159.44052616565577</v>
      </c>
    </row>
    <row r="701" spans="1:5" x14ac:dyDescent="0.3">
      <c r="A701" s="13">
        <v>41243</v>
      </c>
      <c r="C701">
        <f t="shared" si="6"/>
        <v>33.1562239202296</v>
      </c>
      <c r="D701" s="14">
        <f t="shared" si="7"/>
        <v>-92.644338383960445</v>
      </c>
      <c r="E701" s="14">
        <f t="shared" si="8"/>
        <v>158.95678622441963</v>
      </c>
    </row>
    <row r="702" spans="1:5" x14ac:dyDescent="0.3">
      <c r="A702" s="13">
        <v>41244</v>
      </c>
      <c r="C702">
        <f t="shared" si="6"/>
        <v>37.483604753659655</v>
      </c>
      <c r="D702" s="14">
        <f t="shared" si="7"/>
        <v>-88.564412412119964</v>
      </c>
      <c r="E702" s="14">
        <f t="shared" si="8"/>
        <v>163.53162191943926</v>
      </c>
    </row>
    <row r="703" spans="1:5" x14ac:dyDescent="0.3">
      <c r="A703" s="13">
        <v>41245</v>
      </c>
      <c r="C703">
        <f t="shared" si="6"/>
        <v>41.378806566853633</v>
      </c>
      <c r="D703" s="14">
        <f t="shared" si="7"/>
        <v>-84.921573312266048</v>
      </c>
      <c r="E703" s="14">
        <f t="shared" si="8"/>
        <v>167.6791864459733</v>
      </c>
    </row>
    <row r="704" spans="1:5" x14ac:dyDescent="0.3">
      <c r="A704" s="13">
        <v>41246</v>
      </c>
      <c r="C704">
        <f t="shared" si="6"/>
        <v>92.076402124172773</v>
      </c>
      <c r="D704" s="14">
        <f t="shared" si="7"/>
        <v>-44.121055930948785</v>
      </c>
      <c r="E704" s="14">
        <f t="shared" si="8"/>
        <v>228.27386017929433</v>
      </c>
    </row>
    <row r="705" spans="1:5" x14ac:dyDescent="0.3">
      <c r="A705" s="13">
        <v>41247</v>
      </c>
      <c r="C705">
        <f t="shared" si="6"/>
        <v>117.13352329202422</v>
      </c>
      <c r="D705" s="14">
        <f t="shared" si="7"/>
        <v>-19.307670733081835</v>
      </c>
      <c r="E705" s="14">
        <f t="shared" si="8"/>
        <v>253.57471731713028</v>
      </c>
    </row>
    <row r="706" spans="1:5" x14ac:dyDescent="0.3">
      <c r="A706" s="13">
        <v>41248</v>
      </c>
      <c r="C706">
        <f t="shared" si="6"/>
        <v>100.94437582763334</v>
      </c>
      <c r="D706" s="14">
        <f t="shared" si="7"/>
        <v>-35.745263950370514</v>
      </c>
      <c r="E706" s="14">
        <f t="shared" si="8"/>
        <v>237.63401560563719</v>
      </c>
    </row>
    <row r="707" spans="1:5" x14ac:dyDescent="0.3">
      <c r="A707" s="13">
        <v>41249</v>
      </c>
      <c r="C707">
        <f t="shared" si="6"/>
        <v>75.850929427824099</v>
      </c>
      <c r="D707" s="14">
        <f t="shared" si="7"/>
        <v>-61.091894019697179</v>
      </c>
      <c r="E707" s="14">
        <f t="shared" si="8"/>
        <v>212.79375287534538</v>
      </c>
    </row>
    <row r="708" spans="1:5" x14ac:dyDescent="0.3">
      <c r="A708" s="13">
        <v>41250</v>
      </c>
      <c r="C708">
        <f t="shared" ref="C708:C739" si="9">_xlfn.FORECAST.ETS(A708,$B$2:$B$611,$A$2:$A$611,1,1)</f>
        <v>43.339324401052025</v>
      </c>
      <c r="D708" s="14">
        <f t="shared" ref="D708:D739" si="10">C708-_xlfn.FORECAST.ETS.CONFINT(A708,$B$2:$B$611,$A$2:$A$611,0.95,1,1)</f>
        <v>-93.861448069744043</v>
      </c>
      <c r="E708" s="14">
        <f t="shared" ref="E708:E739" si="11">C708+_xlfn.FORECAST.ETS.CONFINT(A708,$B$2:$B$611,$A$2:$A$611,0.95,1,1)</f>
        <v>180.54009687184811</v>
      </c>
    </row>
    <row r="709" spans="1:5" x14ac:dyDescent="0.3">
      <c r="A709" s="13">
        <v>41251</v>
      </c>
      <c r="C709">
        <f t="shared" si="9"/>
        <v>31.224296411285763</v>
      </c>
      <c r="D709" s="14">
        <f t="shared" si="10"/>
        <v>-106.23921717404312</v>
      </c>
      <c r="E709" s="14">
        <f t="shared" si="11"/>
        <v>168.68780999661465</v>
      </c>
    </row>
    <row r="710" spans="1:5" x14ac:dyDescent="0.3">
      <c r="A710" s="13">
        <v>41252</v>
      </c>
      <c r="C710">
        <f t="shared" si="9"/>
        <v>20.439563978455098</v>
      </c>
      <c r="D710" s="14">
        <f t="shared" si="10"/>
        <v>-117.29150884780346</v>
      </c>
      <c r="E710" s="14">
        <f t="shared" si="11"/>
        <v>158.17063680471364</v>
      </c>
    </row>
    <row r="711" spans="1:5" x14ac:dyDescent="0.3">
      <c r="A711" s="13">
        <v>41253</v>
      </c>
      <c r="C711">
        <f t="shared" si="9"/>
        <v>5.6093385851031456</v>
      </c>
      <c r="D711" s="14">
        <f t="shared" si="10"/>
        <v>-132.39413693888071</v>
      </c>
      <c r="E711" s="14">
        <f t="shared" si="11"/>
        <v>143.61281410908703</v>
      </c>
    </row>
    <row r="712" spans="1:5" x14ac:dyDescent="0.3">
      <c r="A712" s="13">
        <v>41254</v>
      </c>
      <c r="C712">
        <f t="shared" si="9"/>
        <v>-2.2322002455151519</v>
      </c>
      <c r="D712" s="14">
        <f t="shared" si="10"/>
        <v>-140.51294654764803</v>
      </c>
      <c r="E712" s="14">
        <f t="shared" si="11"/>
        <v>136.04854605661774</v>
      </c>
    </row>
    <row r="713" spans="1:5" x14ac:dyDescent="0.3">
      <c r="A713" s="13">
        <v>41255</v>
      </c>
      <c r="C713">
        <f t="shared" si="9"/>
        <v>-4.3620197999781709</v>
      </c>
      <c r="D713" s="14">
        <f t="shared" si="10"/>
        <v>-142.92492887586025</v>
      </c>
      <c r="E713" s="14">
        <f t="shared" si="11"/>
        <v>134.20088927590388</v>
      </c>
    </row>
    <row r="714" spans="1:5" x14ac:dyDescent="0.3">
      <c r="A714" s="13">
        <v>41256</v>
      </c>
      <c r="C714">
        <f t="shared" si="9"/>
        <v>-7.7312140966043259</v>
      </c>
      <c r="D714" s="14">
        <f t="shared" si="10"/>
        <v>-146.58120114722919</v>
      </c>
      <c r="E714" s="14">
        <f t="shared" si="11"/>
        <v>131.11877295402053</v>
      </c>
    </row>
    <row r="715" spans="1:5" x14ac:dyDescent="0.3">
      <c r="A715" s="13">
        <v>41257</v>
      </c>
      <c r="C715">
        <f t="shared" si="9"/>
        <v>-5.225688183646561</v>
      </c>
      <c r="D715" s="14">
        <f t="shared" si="10"/>
        <v>-144.36769090463795</v>
      </c>
      <c r="E715" s="14">
        <f t="shared" si="11"/>
        <v>133.91631453734485</v>
      </c>
    </row>
    <row r="716" spans="1:5" x14ac:dyDescent="0.3">
      <c r="A716" s="13">
        <v>41258</v>
      </c>
      <c r="C716">
        <f t="shared" si="9"/>
        <v>6.2031666291405472</v>
      </c>
      <c r="D716" s="14">
        <f t="shared" si="10"/>
        <v>-133.23581124107741</v>
      </c>
      <c r="E716" s="14">
        <f t="shared" si="11"/>
        <v>145.64214449935852</v>
      </c>
    </row>
    <row r="717" spans="1:5" x14ac:dyDescent="0.3">
      <c r="A717" s="13">
        <v>41259</v>
      </c>
      <c r="C717">
        <f t="shared" si="9"/>
        <v>36.808151914269189</v>
      </c>
      <c r="D717" s="14">
        <f t="shared" si="10"/>
        <v>-102.93278165559755</v>
      </c>
      <c r="E717" s="14">
        <f t="shared" si="11"/>
        <v>176.54908548413593</v>
      </c>
    </row>
    <row r="718" spans="1:5" x14ac:dyDescent="0.3">
      <c r="A718" s="13">
        <v>41260</v>
      </c>
      <c r="C718">
        <f t="shared" si="9"/>
        <v>78.818049882810385</v>
      </c>
      <c r="D718" s="14">
        <f t="shared" si="10"/>
        <v>-61.229840297083513</v>
      </c>
      <c r="E718" s="14">
        <f t="shared" si="11"/>
        <v>218.86594006270428</v>
      </c>
    </row>
    <row r="719" spans="1:5" x14ac:dyDescent="0.3">
      <c r="A719" s="13">
        <v>41261</v>
      </c>
      <c r="C719">
        <f t="shared" si="9"/>
        <v>103.19717347840388</v>
      </c>
      <c r="D719" s="14">
        <f t="shared" si="10"/>
        <v>-37.162693870661357</v>
      </c>
      <c r="E719" s="14">
        <f t="shared" si="11"/>
        <v>243.55704082746911</v>
      </c>
    </row>
    <row r="720" spans="1:5" x14ac:dyDescent="0.3">
      <c r="A720" s="13">
        <v>41262</v>
      </c>
      <c r="C720">
        <f t="shared" si="9"/>
        <v>63.753656097615881</v>
      </c>
      <c r="D720" s="14">
        <f t="shared" si="10"/>
        <v>-76.923227918101389</v>
      </c>
      <c r="E720" s="14">
        <f t="shared" si="11"/>
        <v>204.43054011333314</v>
      </c>
    </row>
    <row r="721" spans="1:5" x14ac:dyDescent="0.3">
      <c r="A721" s="13">
        <v>41263</v>
      </c>
      <c r="C721">
        <f t="shared" si="9"/>
        <v>42.020354398615012</v>
      </c>
      <c r="D721" s="14">
        <f t="shared" si="10"/>
        <v>-98.978604010245817</v>
      </c>
      <c r="E721" s="14">
        <f t="shared" si="11"/>
        <v>183.01931280747584</v>
      </c>
    </row>
    <row r="722" spans="1:5" x14ac:dyDescent="0.3">
      <c r="A722" s="13">
        <v>41264</v>
      </c>
      <c r="C722">
        <f t="shared" si="9"/>
        <v>39.765158386322852</v>
      </c>
      <c r="D722" s="14">
        <f t="shared" si="10"/>
        <v>-101.56094966330262</v>
      </c>
      <c r="E722" s="14">
        <f t="shared" si="11"/>
        <v>181.09126643594834</v>
      </c>
    </row>
    <row r="723" spans="1:5" x14ac:dyDescent="0.3">
      <c r="A723" s="13">
        <v>41265</v>
      </c>
      <c r="C723">
        <f t="shared" si="9"/>
        <v>33.977242138132688</v>
      </c>
      <c r="D723" s="14">
        <f t="shared" si="10"/>
        <v>-107.6811076149078</v>
      </c>
      <c r="E723" s="14">
        <f t="shared" si="11"/>
        <v>175.63559189117316</v>
      </c>
    </row>
    <row r="724" spans="1:5" x14ac:dyDescent="0.3">
      <c r="A724" s="13">
        <v>41266</v>
      </c>
      <c r="C724">
        <f t="shared" si="9"/>
        <v>33.250925561943006</v>
      </c>
      <c r="D724" s="14">
        <f t="shared" si="10"/>
        <v>-108.74477406820637</v>
      </c>
      <c r="E724" s="14">
        <f t="shared" si="11"/>
        <v>175.24662519209238</v>
      </c>
    </row>
    <row r="725" spans="1:5" x14ac:dyDescent="0.3">
      <c r="A725" s="13">
        <v>41267</v>
      </c>
      <c r="C725">
        <f t="shared" si="9"/>
        <v>37.578306395373062</v>
      </c>
      <c r="D725" s="14">
        <f t="shared" si="10"/>
        <v>-104.75986669508043</v>
      </c>
      <c r="E725" s="14">
        <f t="shared" si="11"/>
        <v>179.91647948582656</v>
      </c>
    </row>
    <row r="726" spans="1:5" x14ac:dyDescent="0.3">
      <c r="A726" s="13">
        <v>41268</v>
      </c>
      <c r="C726">
        <f t="shared" si="9"/>
        <v>41.47350820856704</v>
      </c>
      <c r="D726" s="14">
        <f t="shared" si="10"/>
        <v>-101.21227663611387</v>
      </c>
      <c r="E726" s="14">
        <f t="shared" si="11"/>
        <v>184.15929305324795</v>
      </c>
    </row>
    <row r="727" spans="1:5" x14ac:dyDescent="0.3">
      <c r="A727" s="13">
        <v>41269</v>
      </c>
      <c r="C727">
        <f t="shared" si="9"/>
        <v>92.171103765886173</v>
      </c>
      <c r="D727" s="14">
        <f t="shared" si="10"/>
        <v>-60.020482201475957</v>
      </c>
      <c r="E727" s="14">
        <f t="shared" si="11"/>
        <v>244.36268973324832</v>
      </c>
    </row>
    <row r="728" spans="1:5" x14ac:dyDescent="0.3">
      <c r="A728" s="13">
        <v>41270</v>
      </c>
      <c r="C728">
        <f t="shared" si="9"/>
        <v>117.22822493373764</v>
      </c>
      <c r="D728" s="14">
        <f t="shared" si="10"/>
        <v>-35.299813279809172</v>
      </c>
      <c r="E728" s="14">
        <f t="shared" si="11"/>
        <v>269.75626314728447</v>
      </c>
    </row>
    <row r="729" spans="1:5" x14ac:dyDescent="0.3">
      <c r="A729" s="13">
        <v>41271</v>
      </c>
      <c r="C729">
        <f t="shared" si="9"/>
        <v>101.03907746934675</v>
      </c>
      <c r="D729" s="14">
        <f t="shared" si="10"/>
        <v>-51.83038022099953</v>
      </c>
      <c r="E729" s="14">
        <f t="shared" si="11"/>
        <v>253.90853515969303</v>
      </c>
    </row>
    <row r="730" spans="1:5" x14ac:dyDescent="0.3">
      <c r="A730" s="13">
        <v>41272</v>
      </c>
      <c r="C730">
        <f t="shared" si="9"/>
        <v>75.945631069537512</v>
      </c>
      <c r="D730" s="14">
        <f t="shared" si="10"/>
        <v>-77.27022817889025</v>
      </c>
      <c r="E730" s="14">
        <f t="shared" si="11"/>
        <v>229.16149031796527</v>
      </c>
    </row>
    <row r="731" spans="1:5" x14ac:dyDescent="0.3">
      <c r="A731" s="13">
        <v>41273</v>
      </c>
      <c r="C731">
        <f t="shared" si="9"/>
        <v>43.434026042765431</v>
      </c>
      <c r="D731" s="14">
        <f t="shared" si="10"/>
        <v>-110.13323107776961</v>
      </c>
      <c r="E731" s="14">
        <f t="shared" si="11"/>
        <v>197.00128316330046</v>
      </c>
    </row>
    <row r="732" spans="1:5" x14ac:dyDescent="0.3">
      <c r="A732" s="13">
        <v>41274</v>
      </c>
      <c r="C732">
        <f t="shared" si="9"/>
        <v>31.31899805299917</v>
      </c>
      <c r="D732" s="14">
        <f t="shared" si="10"/>
        <v>-122.60466687082911</v>
      </c>
      <c r="E732" s="14">
        <f t="shared" si="11"/>
        <v>185.24266297682746</v>
      </c>
    </row>
    <row r="733" spans="1:5" x14ac:dyDescent="0.3">
      <c r="A733" s="13">
        <v>41275</v>
      </c>
      <c r="C733">
        <f t="shared" si="9"/>
        <v>20.534265620168512</v>
      </c>
      <c r="D733" s="14">
        <f t="shared" si="10"/>
        <v>-133.75083004231044</v>
      </c>
      <c r="E733" s="14">
        <f t="shared" si="11"/>
        <v>174.81936128264749</v>
      </c>
    </row>
    <row r="734" spans="1:5" x14ac:dyDescent="0.3">
      <c r="A734" s="13">
        <v>41276</v>
      </c>
      <c r="C734">
        <f t="shared" si="9"/>
        <v>5.7040402268165522</v>
      </c>
      <c r="D734" s="14">
        <f t="shared" si="10"/>
        <v>-148.94752150369885</v>
      </c>
      <c r="E734" s="14">
        <f t="shared" si="11"/>
        <v>160.35560195733194</v>
      </c>
    </row>
    <row r="735" spans="1:5" x14ac:dyDescent="0.3">
      <c r="A735" s="13">
        <v>41277</v>
      </c>
      <c r="C735">
        <f t="shared" si="9"/>
        <v>-2.1374986038017454</v>
      </c>
      <c r="D735" s="14">
        <f t="shared" si="10"/>
        <v>-157.1605735187166</v>
      </c>
      <c r="E735" s="14">
        <f t="shared" si="11"/>
        <v>152.88557631111308</v>
      </c>
    </row>
    <row r="736" spans="1:5" x14ac:dyDescent="0.3">
      <c r="A736" s="13">
        <v>41278</v>
      </c>
      <c r="C736">
        <f t="shared" si="9"/>
        <v>-4.2673181582647643</v>
      </c>
      <c r="D736" s="14">
        <f t="shared" si="10"/>
        <v>-159.66696455720239</v>
      </c>
      <c r="E736" s="14">
        <f t="shared" si="11"/>
        <v>151.13232824067285</v>
      </c>
    </row>
    <row r="737" spans="1:5" x14ac:dyDescent="0.3">
      <c r="A737" s="13">
        <v>41279</v>
      </c>
      <c r="C737">
        <f t="shared" si="9"/>
        <v>-7.6365124548909193</v>
      </c>
      <c r="D737" s="14">
        <f t="shared" si="10"/>
        <v>-163.41779922059007</v>
      </c>
      <c r="E737" s="14">
        <f t="shared" si="11"/>
        <v>148.14477431080823</v>
      </c>
    </row>
    <row r="738" spans="1:5" x14ac:dyDescent="0.3">
      <c r="A738" s="13">
        <v>41280</v>
      </c>
      <c r="C738">
        <f t="shared" si="9"/>
        <v>-5.1309865419331473</v>
      </c>
      <c r="D738" s="14">
        <f t="shared" si="10"/>
        <v>-161.29899254390742</v>
      </c>
      <c r="E738" s="14">
        <f t="shared" si="11"/>
        <v>151.03701946004114</v>
      </c>
    </row>
    <row r="739" spans="1:5" x14ac:dyDescent="0.3">
      <c r="A739" s="13">
        <v>41281</v>
      </c>
      <c r="C739">
        <f t="shared" si="9"/>
        <v>6.2978682708539608</v>
      </c>
      <c r="D739" s="14">
        <f t="shared" si="10"/>
        <v>-150.26194523137528</v>
      </c>
      <c r="E739" s="14">
        <f t="shared" si="11"/>
        <v>162.85768177308321</v>
      </c>
    </row>
    <row r="740" spans="1:5" x14ac:dyDescent="0.3">
      <c r="A740" s="13">
        <v>41282</v>
      </c>
      <c r="C740">
        <f t="shared" ref="C740:C764" si="12">_xlfn.FORECAST.ETS(A740,$B$2:$B$611,$A$2:$A$611,1,1)</f>
        <v>36.902853555982595</v>
      </c>
      <c r="D740" s="14">
        <f t="shared" ref="D740:D764" si="13">C740-_xlfn.FORECAST.ETS.CONFINT(A740,$B$2:$B$611,$A$2:$A$611,0.95,1,1)</f>
        <v>-120.05386451689358</v>
      </c>
      <c r="E740" s="14">
        <f t="shared" ref="E740:E764" si="14">C740+_xlfn.FORECAST.ETS.CONFINT(A740,$B$2:$B$611,$A$2:$A$611,0.95,1,1)</f>
        <v>193.85957162885879</v>
      </c>
    </row>
    <row r="741" spans="1:5" x14ac:dyDescent="0.3">
      <c r="A741" s="13">
        <v>41283</v>
      </c>
      <c r="C741">
        <f t="shared" si="12"/>
        <v>78.912751524523784</v>
      </c>
      <c r="D741" s="14">
        <f t="shared" si="13"/>
        <v>-78.445976412220077</v>
      </c>
      <c r="E741" s="14">
        <f t="shared" si="14"/>
        <v>236.27147946126763</v>
      </c>
    </row>
    <row r="742" spans="1:5" x14ac:dyDescent="0.3">
      <c r="A742" s="13">
        <v>41284</v>
      </c>
      <c r="C742">
        <f t="shared" si="12"/>
        <v>103.29187512011728</v>
      </c>
      <c r="D742" s="14">
        <f t="shared" si="13"/>
        <v>-54.473975617643049</v>
      </c>
      <c r="E742" s="14">
        <f t="shared" si="14"/>
        <v>261.05772585787759</v>
      </c>
    </row>
    <row r="743" spans="1:5" x14ac:dyDescent="0.3">
      <c r="A743" s="13">
        <v>41285</v>
      </c>
      <c r="C743">
        <f t="shared" si="12"/>
        <v>63.848357739329288</v>
      </c>
      <c r="D743" s="14">
        <f t="shared" si="13"/>
        <v>-94.329735806510826</v>
      </c>
      <c r="E743" s="14">
        <f t="shared" si="14"/>
        <v>222.0264512851694</v>
      </c>
    </row>
    <row r="744" spans="1:5" x14ac:dyDescent="0.3">
      <c r="A744" s="13">
        <v>41286</v>
      </c>
      <c r="C744">
        <f t="shared" si="12"/>
        <v>42.115056040328426</v>
      </c>
      <c r="D744" s="14">
        <f t="shared" si="13"/>
        <v>-116.48040682164287</v>
      </c>
      <c r="E744" s="14">
        <f t="shared" si="14"/>
        <v>200.71051890229973</v>
      </c>
    </row>
    <row r="745" spans="1:5" x14ac:dyDescent="0.3">
      <c r="A745" s="13">
        <v>41287</v>
      </c>
      <c r="C745">
        <f t="shared" si="12"/>
        <v>39.859860028036259</v>
      </c>
      <c r="D745" s="14">
        <f t="shared" si="13"/>
        <v>-119.15810459545946</v>
      </c>
      <c r="E745" s="14">
        <f t="shared" si="14"/>
        <v>198.87782465153197</v>
      </c>
    </row>
    <row r="746" spans="1:5" x14ac:dyDescent="0.3">
      <c r="A746" s="13">
        <v>41288</v>
      </c>
      <c r="C746">
        <f t="shared" si="12"/>
        <v>34.071943779846094</v>
      </c>
      <c r="D746" s="14">
        <f t="shared" si="13"/>
        <v>-125.3736604297298</v>
      </c>
      <c r="E746" s="14">
        <f t="shared" si="14"/>
        <v>193.51754798942198</v>
      </c>
    </row>
    <row r="747" spans="1:5" x14ac:dyDescent="0.3">
      <c r="A747" s="13">
        <v>41289</v>
      </c>
      <c r="C747">
        <f t="shared" si="12"/>
        <v>33.345627203656413</v>
      </c>
      <c r="D747" s="14">
        <f t="shared" si="13"/>
        <v>-126.5327592431864</v>
      </c>
      <c r="E747" s="14">
        <f t="shared" si="14"/>
        <v>193.22401365049924</v>
      </c>
    </row>
    <row r="748" spans="1:5" x14ac:dyDescent="0.3">
      <c r="A748" s="13">
        <v>41290</v>
      </c>
      <c r="C748">
        <f t="shared" si="12"/>
        <v>37.673008037086468</v>
      </c>
      <c r="D748" s="14">
        <f t="shared" si="13"/>
        <v>-122.6433075781313</v>
      </c>
      <c r="E748" s="14">
        <f t="shared" si="14"/>
        <v>197.98932365230425</v>
      </c>
    </row>
    <row r="749" spans="1:5" x14ac:dyDescent="0.3">
      <c r="A749" s="13">
        <v>41291</v>
      </c>
      <c r="C749">
        <f t="shared" si="12"/>
        <v>41.568209850280454</v>
      </c>
      <c r="D749" s="14">
        <f t="shared" si="13"/>
        <v>-119.19118560362136</v>
      </c>
      <c r="E749" s="14">
        <f t="shared" si="14"/>
        <v>202.32760530418227</v>
      </c>
    </row>
    <row r="750" spans="1:5" x14ac:dyDescent="0.3">
      <c r="A750" s="13">
        <v>41292</v>
      </c>
      <c r="C750">
        <f t="shared" si="12"/>
        <v>92.265805407599586</v>
      </c>
      <c r="D750" s="14">
        <f t="shared" si="13"/>
        <v>-77.615044110808228</v>
      </c>
      <c r="E750" s="14">
        <f t="shared" si="14"/>
        <v>262.14665492600739</v>
      </c>
    </row>
    <row r="751" spans="1:5" x14ac:dyDescent="0.3">
      <c r="A751" s="13">
        <v>41293</v>
      </c>
      <c r="C751">
        <f t="shared" si="12"/>
        <v>117.32292657545105</v>
      </c>
      <c r="D751" s="14">
        <f t="shared" si="13"/>
        <v>-52.988225540968187</v>
      </c>
      <c r="E751" s="14">
        <f t="shared" si="14"/>
        <v>287.63407869187029</v>
      </c>
    </row>
    <row r="752" spans="1:5" x14ac:dyDescent="0.3">
      <c r="A752" s="13">
        <v>41294</v>
      </c>
      <c r="C752">
        <f t="shared" si="12"/>
        <v>101.13377911106015</v>
      </c>
      <c r="D752" s="14">
        <f t="shared" si="13"/>
        <v>-69.612693152746218</v>
      </c>
      <c r="E752" s="14">
        <f t="shared" si="14"/>
        <v>271.88025137486653</v>
      </c>
    </row>
    <row r="753" spans="1:5" x14ac:dyDescent="0.3">
      <c r="A753" s="13">
        <v>41295</v>
      </c>
      <c r="C753">
        <f t="shared" si="12"/>
        <v>76.040332711250912</v>
      </c>
      <c r="D753" s="14">
        <f t="shared" si="13"/>
        <v>-95.146481983120296</v>
      </c>
      <c r="E753" s="14">
        <f t="shared" si="14"/>
        <v>247.22714740562213</v>
      </c>
    </row>
    <row r="754" spans="1:5" x14ac:dyDescent="0.3">
      <c r="A754" s="13">
        <v>41296</v>
      </c>
      <c r="C754">
        <f t="shared" si="12"/>
        <v>43.528727684478845</v>
      </c>
      <c r="D754" s="14">
        <f t="shared" si="13"/>
        <v>-128.10345596824865</v>
      </c>
      <c r="E754" s="14">
        <f t="shared" si="14"/>
        <v>215.16091133720633</v>
      </c>
    </row>
    <row r="755" spans="1:5" x14ac:dyDescent="0.3">
      <c r="A755" s="13">
        <v>41297</v>
      </c>
      <c r="C755">
        <f t="shared" si="12"/>
        <v>31.413699694712584</v>
      </c>
      <c r="D755" s="14">
        <f t="shared" si="13"/>
        <v>-140.66888320460788</v>
      </c>
      <c r="E755" s="14">
        <f t="shared" si="14"/>
        <v>203.49628259403306</v>
      </c>
    </row>
    <row r="756" spans="1:5" x14ac:dyDescent="0.3">
      <c r="A756" s="13">
        <v>41298</v>
      </c>
      <c r="C756">
        <f t="shared" si="12"/>
        <v>20.628967261881918</v>
      </c>
      <c r="D756" s="14">
        <f t="shared" si="13"/>
        <v>-151.90904845369798</v>
      </c>
      <c r="E756" s="14">
        <f t="shared" si="14"/>
        <v>193.1669829774618</v>
      </c>
    </row>
    <row r="757" spans="1:5" x14ac:dyDescent="0.3">
      <c r="A757" s="13">
        <v>41299</v>
      </c>
      <c r="C757">
        <f t="shared" si="12"/>
        <v>5.7987418685299588</v>
      </c>
      <c r="D757" s="14">
        <f t="shared" si="13"/>
        <v>-167.19974304067114</v>
      </c>
      <c r="E757" s="14">
        <f t="shared" si="14"/>
        <v>178.79722677773105</v>
      </c>
    </row>
    <row r="758" spans="1:5" x14ac:dyDescent="0.3">
      <c r="A758" s="13">
        <v>41300</v>
      </c>
      <c r="C758">
        <f t="shared" si="12"/>
        <v>-2.0427969620883388</v>
      </c>
      <c r="D758" s="14">
        <f t="shared" si="13"/>
        <v>-175.50678978163745</v>
      </c>
      <c r="E758" s="14">
        <f t="shared" si="14"/>
        <v>171.42119585746076</v>
      </c>
    </row>
    <row r="759" spans="1:5" x14ac:dyDescent="0.3">
      <c r="A759" s="13">
        <v>41301</v>
      </c>
      <c r="C759">
        <f t="shared" si="12"/>
        <v>-4.1726165165513578</v>
      </c>
      <c r="D759" s="14">
        <f t="shared" si="13"/>
        <v>-178.10715783973174</v>
      </c>
      <c r="E759" s="14">
        <f t="shared" si="14"/>
        <v>169.76192480662903</v>
      </c>
    </row>
    <row r="760" spans="1:5" x14ac:dyDescent="0.3">
      <c r="A760" s="13">
        <v>41302</v>
      </c>
      <c r="C760">
        <f t="shared" si="12"/>
        <v>-7.5418108131775057</v>
      </c>
      <c r="D760" s="14">
        <f t="shared" si="13"/>
        <v>-181.95194265265431</v>
      </c>
      <c r="E760" s="14">
        <f t="shared" si="14"/>
        <v>166.8683210262993</v>
      </c>
    </row>
    <row r="761" spans="1:5" x14ac:dyDescent="0.3">
      <c r="A761" s="13">
        <v>41303</v>
      </c>
      <c r="C761">
        <f t="shared" si="12"/>
        <v>-5.0362849002197407</v>
      </c>
      <c r="D761" s="14">
        <f t="shared" si="13"/>
        <v>-179.92705023660659</v>
      </c>
      <c r="E761" s="14">
        <f t="shared" si="14"/>
        <v>169.85448043616714</v>
      </c>
    </row>
    <row r="762" spans="1:5" x14ac:dyDescent="0.3">
      <c r="A762" s="13">
        <v>41304</v>
      </c>
      <c r="C762">
        <f t="shared" si="12"/>
        <v>6.3925699125673674</v>
      </c>
      <c r="D762" s="14">
        <f t="shared" si="13"/>
        <v>-168.98387242370092</v>
      </c>
      <c r="E762" s="14">
        <f t="shared" si="14"/>
        <v>181.76901224883562</v>
      </c>
    </row>
    <row r="763" spans="1:5" x14ac:dyDescent="0.3">
      <c r="A763" s="13">
        <v>41305</v>
      </c>
      <c r="C763">
        <f t="shared" si="12"/>
        <v>36.997555197696002</v>
      </c>
      <c r="D763" s="14">
        <f t="shared" si="13"/>
        <v>-138.86960772413119</v>
      </c>
      <c r="E763" s="14">
        <f t="shared" si="14"/>
        <v>212.86471811952316</v>
      </c>
    </row>
    <row r="764" spans="1:5" x14ac:dyDescent="0.3">
      <c r="A764" s="13">
        <v>41306</v>
      </c>
      <c r="C764">
        <f t="shared" si="12"/>
        <v>79.007453166237184</v>
      </c>
      <c r="D764" s="14">
        <f t="shared" si="13"/>
        <v>-97.35547357591085</v>
      </c>
      <c r="E764" s="14">
        <f t="shared" si="14"/>
        <v>255.37037990838522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dataset_a</vt:lpstr>
      <vt:lpstr>dashboard</vt:lpstr>
      <vt:lpstr>Analysis </vt: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BAJAJ</dc:creator>
  <cp:lastModifiedBy>raj bajaj</cp:lastModifiedBy>
  <dcterms:created xsi:type="dcterms:W3CDTF">2015-06-05T18:17:20Z</dcterms:created>
  <dcterms:modified xsi:type="dcterms:W3CDTF">2026-01-19T16:49:13Z</dcterms:modified>
</cp:coreProperties>
</file>